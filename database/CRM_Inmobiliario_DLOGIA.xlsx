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🏠 Proyectos" sheetId="1" state="visible" r:id="rId1"/>
    <sheet xmlns:r="http://schemas.openxmlformats.org/officeDocument/2006/relationships" name="👥 Clientes" sheetId="2" state="visible" r:id="rId2"/>
    <sheet xmlns:r="http://schemas.openxmlformats.org/officeDocument/2006/relationships" name="📋 Pipeline Comercial" sheetId="3" state="visible" r:id="rId3"/>
    <sheet xmlns:r="http://schemas.openxmlformats.org/officeDocument/2006/relationships" name="💰 Financier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yyyy-mm-dd h:mm:ss"/>
    <numFmt numFmtId="166" formatCode="yyyy-mm-dd"/>
  </numFmts>
  <fonts count="5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Arial"/>
      <b val="1"/>
      <color rgb="FFFFFFFF"/>
      <sz val="10"/>
    </font>
    <font>
      <name val="Arial"/>
      <color rgb="FF404040"/>
      <sz val="10"/>
    </font>
  </fonts>
  <fills count="16">
    <fill>
      <patternFill/>
    </fill>
    <fill>
      <patternFill patternType="lightGray"/>
    </fill>
    <fill>
      <patternFill patternType="solid">
        <fgColor rgb="FF1A3C5E"/>
        <bgColor rgb="FF1A3C5E"/>
      </patternFill>
    </fill>
    <fill>
      <patternFill patternType="solid">
        <fgColor rgb="FF2E6DA4"/>
        <bgColor rgb="FF2E6DA4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FCCCC"/>
        <bgColor rgb="FFFFCCCC"/>
      </patternFill>
    </fill>
    <fill>
      <patternFill patternType="solid">
        <fgColor rgb="FFFFF2CC"/>
        <bgColor rgb="FFFFF2CC"/>
      </patternFill>
    </fill>
    <fill>
      <patternFill patternType="solid">
        <fgColor rgb="FFBDD7EE"/>
        <bgColor rgb="FFBDD7EE"/>
      </patternFill>
    </fill>
    <fill>
      <patternFill patternType="solid">
        <fgColor rgb="FFE8F4FD"/>
        <bgColor rgb="FFE8F4FD"/>
      </patternFill>
    </fill>
    <fill>
      <patternFill patternType="solid">
        <fgColor rgb="FFE8F8E8"/>
        <bgColor rgb="FFE8F8E8"/>
      </patternFill>
    </fill>
    <fill>
      <patternFill patternType="solid">
        <fgColor rgb="FFFCE4D6"/>
        <bgColor rgb="FFFCE4D6"/>
      </patternFill>
    </fill>
    <fill>
      <patternFill patternType="solid">
        <fgColor rgb="FFFFF9C4"/>
        <bgColor rgb="FFFFF9C4"/>
      </patternFill>
    </fill>
    <fill>
      <patternFill patternType="solid">
        <fgColor rgb="FFD5E8D4"/>
        <bgColor rgb="FFD5E8D4"/>
      </patternFill>
    </fill>
    <fill>
      <patternFill patternType="solid">
        <fgColor rgb="FF1E7145"/>
        <bgColor rgb="FF1E7145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3" borderId="4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/>
    </xf>
    <xf numFmtId="3" fontId="4" fillId="4" borderId="5" applyAlignment="1" pivotButton="0" quotePrefix="0" xfId="0">
      <alignment horizontal="center" vertical="center"/>
    </xf>
    <xf numFmtId="0" fontId="4" fillId="5" borderId="5" applyAlignment="1" pivotButton="0" quotePrefix="0" xfId="0">
      <alignment horizontal="center" vertical="center"/>
    </xf>
    <xf numFmtId="0" fontId="4" fillId="6" borderId="5" applyAlignment="1" pivotButton="0" quotePrefix="0" xfId="0">
      <alignment horizontal="center" vertical="center"/>
    </xf>
    <xf numFmtId="3" fontId="4" fillId="6" borderId="5" applyAlignment="1" pivotButton="0" quotePrefix="0" xfId="0">
      <alignment horizontal="center" vertical="center"/>
    </xf>
    <xf numFmtId="0" fontId="4" fillId="7" borderId="5" applyAlignment="1" pivotButton="0" quotePrefix="0" xfId="0">
      <alignment horizontal="center" vertical="center"/>
    </xf>
    <xf numFmtId="0" fontId="4" fillId="8" borderId="5" applyAlignment="1" pivotButton="0" quotePrefix="0" xfId="0">
      <alignment horizontal="center" vertical="center"/>
    </xf>
    <xf numFmtId="0" fontId="4" fillId="4" borderId="5" applyAlignment="1" pivotButton="0" quotePrefix="0" xfId="0">
      <alignment horizontal="left" vertical="center"/>
    </xf>
    <xf numFmtId="0" fontId="4" fillId="6" borderId="5" applyAlignment="1" pivotButton="0" quotePrefix="0" xfId="0">
      <alignment horizontal="left" vertical="center"/>
    </xf>
    <xf numFmtId="0" fontId="4" fillId="9" borderId="5" applyAlignment="1" pivotButton="0" quotePrefix="0" xfId="0">
      <alignment horizontal="center" vertical="center"/>
    </xf>
    <xf numFmtId="0" fontId="4" fillId="10" borderId="5" applyAlignment="1" pivotButton="0" quotePrefix="0" xfId="0">
      <alignment horizontal="center" vertical="center"/>
    </xf>
    <xf numFmtId="0" fontId="4" fillId="11" borderId="5" applyAlignment="1" pivotButton="0" quotePrefix="0" xfId="0">
      <alignment horizontal="center" vertical="center"/>
    </xf>
    <xf numFmtId="0" fontId="4" fillId="12" borderId="5" applyAlignment="1" pivotButton="0" quotePrefix="0" xfId="0">
      <alignment horizontal="center" vertical="center"/>
    </xf>
    <xf numFmtId="164" fontId="4" fillId="4" borderId="5" applyAlignment="1" pivotButton="0" quotePrefix="0" xfId="0">
      <alignment horizontal="center" vertical="center"/>
    </xf>
    <xf numFmtId="9" fontId="4" fillId="4" borderId="5" applyAlignment="1" pivotButton="0" quotePrefix="0" xfId="0">
      <alignment horizontal="center" vertical="center"/>
    </xf>
    <xf numFmtId="164" fontId="4" fillId="6" borderId="5" applyAlignment="1" pivotButton="0" quotePrefix="0" xfId="0">
      <alignment horizontal="center" vertical="center"/>
    </xf>
    <xf numFmtId="9" fontId="4" fillId="6" borderId="5" applyAlignment="1" pivotButton="0" quotePrefix="0" xfId="0">
      <alignment horizontal="center" vertical="center"/>
    </xf>
    <xf numFmtId="0" fontId="4" fillId="13" borderId="5" applyAlignment="1" pivotButton="0" quotePrefix="0" xfId="0">
      <alignment horizontal="center" vertical="center"/>
    </xf>
    <xf numFmtId="0" fontId="4" fillId="14" borderId="5" applyAlignment="1" pivotButton="0" quotePrefix="0" xfId="0">
      <alignment horizontal="center" vertical="center"/>
    </xf>
    <xf numFmtId="0" fontId="3" fillId="15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A3C5E"/>
    <outlinePr summaryBelow="1" summaryRight="1"/>
    <pageSetUpPr/>
  </sheetPr>
  <dimension ref="A1:K1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4.43" defaultRowHeight="15" customHeight="1"/>
  <cols>
    <col width="10" customWidth="1" style="25" min="1" max="1"/>
    <col width="28" customWidth="1" style="25" min="2" max="2"/>
    <col width="20" customWidth="1" style="25" min="3" max="3"/>
    <col width="14" customWidth="1" style="25" min="4" max="4"/>
    <col width="20" customWidth="1" style="25" min="5" max="5"/>
    <col width="14" customWidth="1" style="25" min="6" max="6"/>
    <col width="12" customWidth="1" style="25" min="7" max="7"/>
    <col width="14" customWidth="1" style="25" min="8" max="9"/>
    <col width="18" customWidth="1" style="25" min="10" max="10"/>
    <col width="15" customWidth="1" style="25" min="11" max="11"/>
    <col width="8.710000000000001" customWidth="1" style="25" min="12" max="26"/>
  </cols>
  <sheetData>
    <row r="1" ht="39.75" customHeight="1" s="25">
      <c r="A1" s="26" t="inlineStr">
        <is>
          <t>PORTAFOLIO DE PROYECTOS INMOBILIARIOS</t>
        </is>
      </c>
    </row>
    <row r="2" ht="21.75" customHeight="1" s="25">
      <c r="A2" s="4" t="inlineStr">
        <is>
          <t>ID</t>
        </is>
      </c>
      <c r="B2" s="4" t="inlineStr">
        <is>
          <t>Nombre Proyecto</t>
        </is>
      </c>
      <c r="C2" s="4" t="inlineStr">
        <is>
          <t>Tipo</t>
        </is>
      </c>
      <c r="D2" s="4" t="inlineStr">
        <is>
          <t>Ciudad</t>
        </is>
      </c>
      <c r="E2" s="4" t="inlineStr">
        <is>
          <t>Barrio/Sector</t>
        </is>
      </c>
      <c r="F2" s="4" t="inlineStr">
        <is>
          <t>Total Unidades</t>
        </is>
      </c>
      <c r="G2" s="4" t="inlineStr">
        <is>
          <t>Vendidas</t>
        </is>
      </c>
      <c r="H2" s="4" t="inlineStr">
        <is>
          <t>Reservadas</t>
        </is>
      </c>
      <c r="I2" s="4" t="inlineStr">
        <is>
          <t>Disponibles</t>
        </is>
      </c>
      <c r="J2" s="4" t="inlineStr">
        <is>
          <t>Precio m² (COP)</t>
        </is>
      </c>
      <c r="K2" s="4" t="inlineStr">
        <is>
          <t>Estado</t>
        </is>
      </c>
    </row>
    <row r="3" ht="18" customHeight="1" s="25">
      <c r="A3" t="inlineStr">
        <is>
          <t>PRY-001</t>
        </is>
      </c>
      <c r="B3" t="inlineStr">
        <is>
          <t>Torres del Poblado</t>
        </is>
      </c>
      <c r="C3" t="inlineStr">
        <is>
          <t>Apartamentos</t>
        </is>
      </c>
      <c r="D3" t="inlineStr">
        <is>
          <t>Medellín</t>
        </is>
      </c>
      <c r="E3" t="inlineStr">
        <is>
          <t>El Poblado</t>
        </is>
      </c>
      <c r="F3" t="n">
        <v>120</v>
      </c>
      <c r="G3">
        <f>COUNTIFS('📋 Pipeline Comercial'!$C$3:$C,A3,'📋 Pipeline Comercial'!$F$3:$F,"Ganado")</f>
        <v/>
      </c>
      <c r="H3">
        <f>COUNTIFS('📋 Pipeline Comercial'!$C$3:$C,A3,'📋 Pipeline Comercial'!$F$3:$F,"Negociación")+COUNTIFS('📋 Pipeline Comercial'!$C$3:$C,A3,'📋 Pipeline Comercial'!$F$3:$F,"Cierre")</f>
        <v/>
      </c>
      <c r="I3">
        <f>F3-G3-H3</f>
        <v/>
      </c>
      <c r="J3" t="n">
        <v>9500000</v>
      </c>
      <c r="K3">
        <f>IF(I3&lt;=0,"Agotado",IF(G3/F3&gt;=0.9,"Casi agotado","En venta"))</f>
        <v/>
      </c>
    </row>
    <row r="4" ht="18" customHeight="1" s="25">
      <c r="A4" t="inlineStr">
        <is>
          <t>PRY-002</t>
        </is>
      </c>
      <c r="B4" t="inlineStr">
        <is>
          <t>Reserva Santa Elena</t>
        </is>
      </c>
      <c r="C4" t="inlineStr">
        <is>
          <t>Casas</t>
        </is>
      </c>
      <c r="D4" t="inlineStr">
        <is>
          <t>Medellín</t>
        </is>
      </c>
      <c r="E4" t="inlineStr">
        <is>
          <t>Santa Elena</t>
        </is>
      </c>
      <c r="F4" t="n">
        <v>60</v>
      </c>
      <c r="G4">
        <f>COUNTIFS('📋 Pipeline Comercial'!$C$3:$C,A4,'📋 Pipeline Comercial'!$F$3:$F,"Ganado")</f>
        <v/>
      </c>
      <c r="H4">
        <f>COUNTIFS('📋 Pipeline Comercial'!$C$3:$C,A4,'📋 Pipeline Comercial'!$F$3:$F,"Negociación")+COUNTIFS('📋 Pipeline Comercial'!$C$3:$C,A4,'📋 Pipeline Comercial'!$F$3:$F,"Cierre")</f>
        <v/>
      </c>
      <c r="I4">
        <f>F4-G4-H4</f>
        <v/>
      </c>
      <c r="J4" t="n">
        <v>6800000</v>
      </c>
      <c r="K4">
        <f>IF(I4&lt;=0,"Agotado",IF(G4/F4&gt;=0.9,"Casi agotado","En venta"))</f>
        <v/>
      </c>
    </row>
    <row r="5" ht="18" customHeight="1" s="25">
      <c r="A5" t="inlineStr">
        <is>
          <t>PRY-003</t>
        </is>
      </c>
      <c r="B5" t="inlineStr">
        <is>
          <t>Conecta Laureles</t>
        </is>
      </c>
      <c r="C5" t="inlineStr">
        <is>
          <t>Aptos. Estudio</t>
        </is>
      </c>
      <c r="D5" t="inlineStr">
        <is>
          <t>Medellín</t>
        </is>
      </c>
      <c r="E5" t="inlineStr">
        <is>
          <t>Laureles</t>
        </is>
      </c>
      <c r="F5" t="n">
        <v>200</v>
      </c>
      <c r="G5">
        <f>COUNTIFS('📋 Pipeline Comercial'!$C$3:$C,A5,'📋 Pipeline Comercial'!$F$3:$F,"Ganado")</f>
        <v/>
      </c>
      <c r="H5">
        <f>COUNTIFS('📋 Pipeline Comercial'!$C$3:$C,A5,'📋 Pipeline Comercial'!$F$3:$F,"Negociación")+COUNTIFS('📋 Pipeline Comercial'!$C$3:$C,A5,'📋 Pipeline Comercial'!$F$3:$F,"Cierre")</f>
        <v/>
      </c>
      <c r="I5">
        <f>F5-G5-H5</f>
        <v/>
      </c>
      <c r="J5" t="n">
        <v>7200000</v>
      </c>
      <c r="K5">
        <f>IF(I5&lt;=0,"Agotado",IF(G5/F5&gt;=0.9,"Casi agotado","En venta"))</f>
        <v/>
      </c>
    </row>
    <row r="6" ht="18" customHeight="1" s="25">
      <c r="A6" t="inlineStr">
        <is>
          <t>PRY-004</t>
        </is>
      </c>
      <c r="B6" t="inlineStr">
        <is>
          <t>Altavista Park</t>
        </is>
      </c>
      <c r="C6" t="inlineStr">
        <is>
          <t>Casas</t>
        </is>
      </c>
      <c r="D6" t="inlineStr">
        <is>
          <t>Medellín</t>
        </is>
      </c>
      <c r="E6" t="inlineStr">
        <is>
          <t>Altavista</t>
        </is>
      </c>
      <c r="F6" t="n">
        <v>80</v>
      </c>
      <c r="G6">
        <f>COUNTIFS('📋 Pipeline Comercial'!$C$3:$C,A6,'📋 Pipeline Comercial'!$F$3:$F,"Ganado")</f>
        <v/>
      </c>
      <c r="H6">
        <f>COUNTIFS('📋 Pipeline Comercial'!$C$3:$C,A6,'📋 Pipeline Comercial'!$F$3:$F,"Negociación")+COUNTIFS('📋 Pipeline Comercial'!$C$3:$C,A6,'📋 Pipeline Comercial'!$F$3:$F,"Cierre")</f>
        <v/>
      </c>
      <c r="I6">
        <f>F6-G6-H6</f>
        <v/>
      </c>
      <c r="J6" t="n">
        <v>5900000</v>
      </c>
      <c r="K6">
        <f>IF(I6&lt;=0,"Agotado",IF(G6/F6&gt;=0.9,"Casi agotado","En venta"))</f>
        <v/>
      </c>
    </row>
    <row r="7" ht="18" customHeight="1" s="25">
      <c r="A7" t="inlineStr">
        <is>
          <t>PRY-005</t>
        </is>
      </c>
      <c r="B7" t="inlineStr">
        <is>
          <t>Ciudadela Rionegro</t>
        </is>
      </c>
      <c r="C7" t="inlineStr">
        <is>
          <t>Aptos. / Casas</t>
        </is>
      </c>
      <c r="D7" t="inlineStr">
        <is>
          <t>Rionegro</t>
        </is>
      </c>
      <c r="E7" t="inlineStr">
        <is>
          <t>Centro</t>
        </is>
      </c>
      <c r="F7" t="n">
        <v>150</v>
      </c>
      <c r="G7">
        <f>COUNTIFS('📋 Pipeline Comercial'!$C$3:$C,A7,'📋 Pipeline Comercial'!$F$3:$F,"Ganado")</f>
        <v/>
      </c>
      <c r="H7">
        <f>COUNTIFS('📋 Pipeline Comercial'!$C$3:$C,A7,'📋 Pipeline Comercial'!$F$3:$F,"Negociación")+COUNTIFS('📋 Pipeline Comercial'!$C$3:$C,A7,'📋 Pipeline Comercial'!$F$3:$F,"Cierre")</f>
        <v/>
      </c>
      <c r="I7">
        <f>F7-G7-H7</f>
        <v/>
      </c>
      <c r="J7" t="n">
        <v>4800000</v>
      </c>
      <c r="K7">
        <f>IF(I7&lt;=0,"Agotado",IF(G7/F7&gt;=0.9,"Casi agotado","En venta"))</f>
        <v/>
      </c>
    </row>
    <row r="8" ht="18" customHeight="1" s="25">
      <c r="A8" t="inlineStr">
        <is>
          <t>PRY-006</t>
        </is>
      </c>
      <c r="B8" t="inlineStr">
        <is>
          <t>Plaza Bello</t>
        </is>
      </c>
      <c r="C8" t="inlineStr">
        <is>
          <t>Locales Comercial</t>
        </is>
      </c>
      <c r="D8" t="inlineStr">
        <is>
          <t>Bello</t>
        </is>
      </c>
      <c r="E8" t="inlineStr">
        <is>
          <t>Centro</t>
        </is>
      </c>
      <c r="F8" t="n">
        <v>40</v>
      </c>
      <c r="G8">
        <f>COUNTIFS('📋 Pipeline Comercial'!$C$3:$C,A8,'📋 Pipeline Comercial'!$F$3:$F,"Ganado")</f>
        <v/>
      </c>
      <c r="H8">
        <f>COUNTIFS('📋 Pipeline Comercial'!$C$3:$C,A8,'📋 Pipeline Comercial'!$F$3:$F,"Negociación")+COUNTIFS('📋 Pipeline Comercial'!$C$3:$C,A8,'📋 Pipeline Comercial'!$F$3:$F,"Cierre")</f>
        <v/>
      </c>
      <c r="I8">
        <f>F8-G8-H8</f>
        <v/>
      </c>
      <c r="J8" t="n">
        <v>8100000</v>
      </c>
      <c r="K8">
        <f>IF(I8&lt;=0,"Agotado",IF(G8/F8&gt;=0.9,"Casi agotado","En venta"))</f>
        <v/>
      </c>
    </row>
    <row r="9" ht="18" customHeight="1" s="25">
      <c r="A9" t="inlineStr">
        <is>
          <t>PRY-007</t>
        </is>
      </c>
      <c r="B9" t="inlineStr">
        <is>
          <t>Mirador de Envigado</t>
        </is>
      </c>
      <c r="C9" t="inlineStr">
        <is>
          <t>Apartamentos</t>
        </is>
      </c>
      <c r="D9" t="inlineStr">
        <is>
          <t>Envigado</t>
        </is>
      </c>
      <c r="E9" t="inlineStr">
        <is>
          <t>Loma del Escobero</t>
        </is>
      </c>
      <c r="F9" t="n">
        <v>90</v>
      </c>
      <c r="G9">
        <f>COUNTIFS('📋 Pipeline Comercial'!$C$3:$C,A9,'📋 Pipeline Comercial'!$F$3:$F,"Ganado")</f>
        <v/>
      </c>
      <c r="H9">
        <f>COUNTIFS('📋 Pipeline Comercial'!$C$3:$C,A9,'📋 Pipeline Comercial'!$F$3:$F,"Negociación")+COUNTIFS('📋 Pipeline Comercial'!$C$3:$C,A9,'📋 Pipeline Comercial'!$F$3:$F,"Cierre")</f>
        <v/>
      </c>
      <c r="I9">
        <f>F9-G9-H9</f>
        <v/>
      </c>
      <c r="J9" t="n">
        <v>8700000</v>
      </c>
      <c r="K9">
        <f>IF(I9&lt;=0,"Agotado",IF(G9/F9&gt;=0.9,"Casi agotado","En venta"))</f>
        <v/>
      </c>
    </row>
    <row r="10" ht="18" customHeight="1" s="25">
      <c r="A10" t="inlineStr">
        <is>
          <t>PRY-008</t>
        </is>
      </c>
      <c r="B10" t="inlineStr">
        <is>
          <t>Valle Verde Itagüí</t>
        </is>
      </c>
      <c r="C10" t="inlineStr">
        <is>
          <t>Casas VIS</t>
        </is>
      </c>
      <c r="D10" t="inlineStr">
        <is>
          <t>Itagüí</t>
        </is>
      </c>
      <c r="E10" t="inlineStr">
        <is>
          <t>Santa María</t>
        </is>
      </c>
      <c r="F10" t="n">
        <v>110</v>
      </c>
      <c r="G10">
        <f>COUNTIFS('📋 Pipeline Comercial'!$C$3:$C,A10,'📋 Pipeline Comercial'!$F$3:$F,"Ganado")</f>
        <v/>
      </c>
      <c r="H10">
        <f>COUNTIFS('📋 Pipeline Comercial'!$C$3:$C,A10,'📋 Pipeline Comercial'!$F$3:$F,"Negociación")+COUNTIFS('📋 Pipeline Comercial'!$C$3:$C,A10,'📋 Pipeline Comercial'!$F$3:$F,"Cierre")</f>
        <v/>
      </c>
      <c r="I10">
        <f>F10-G10-H10</f>
        <v/>
      </c>
      <c r="J10" t="n">
        <v>3200000</v>
      </c>
      <c r="K10">
        <f>IF(I10&lt;=0,"Agotado",IF(G10/F10&gt;=0.9,"Casi agotado","En venta"))</f>
        <v/>
      </c>
    </row>
    <row r="21" ht="15.75" customHeight="1" s="25"/>
    <row r="22" ht="15.75" customHeight="1" s="25"/>
    <row r="23" ht="15.75" customHeight="1" s="25"/>
    <row r="24" ht="15.75" customHeight="1" s="25"/>
    <row r="25" ht="15.75" customHeight="1" s="25"/>
    <row r="26" ht="15.75" customHeight="1" s="25"/>
    <row r="27" ht="15.75" customHeight="1" s="25"/>
    <row r="28" ht="15.75" customHeight="1" s="25"/>
    <row r="29" ht="15.75" customHeight="1" s="25"/>
    <row r="30" ht="15.75" customHeight="1" s="25"/>
    <row r="31" ht="15.75" customHeight="1" s="25"/>
    <row r="32" ht="15.75" customHeight="1" s="25"/>
    <row r="33" ht="15.75" customHeight="1" s="25"/>
    <row r="34" ht="15.75" customHeight="1" s="25"/>
    <row r="35" ht="15.75" customHeight="1" s="25"/>
    <row r="36" ht="15.75" customHeight="1" s="25"/>
    <row r="37" ht="15.75" customHeight="1" s="25"/>
    <row r="38" ht="15.75" customHeight="1" s="25"/>
    <row r="39" ht="15.75" customHeight="1" s="25"/>
    <row r="40" ht="15.75" customHeight="1" s="25"/>
    <row r="41" ht="15.75" customHeight="1" s="25"/>
    <row r="42" ht="15.75" customHeight="1" s="25"/>
    <row r="43" ht="15.75" customHeight="1" s="25"/>
    <row r="44" ht="15.75" customHeight="1" s="25"/>
    <row r="45" ht="15.75" customHeight="1" s="25"/>
    <row r="46" ht="15.75" customHeight="1" s="25"/>
    <row r="47" ht="15.75" customHeight="1" s="25"/>
    <row r="48" ht="15.75" customHeight="1" s="25"/>
    <row r="49" ht="15.75" customHeight="1" s="25"/>
    <row r="50" ht="15.75" customHeight="1" s="25"/>
    <row r="51" ht="15.75" customHeight="1" s="25"/>
    <row r="52" ht="15.75" customHeight="1" s="25"/>
    <row r="53" ht="15.75" customHeight="1" s="25"/>
    <row r="54" ht="15.75" customHeight="1" s="25"/>
    <row r="55" ht="15.75" customHeight="1" s="25"/>
    <row r="56" ht="15.75" customHeight="1" s="25"/>
    <row r="57" ht="15.75" customHeight="1" s="25"/>
    <row r="58" ht="15.75" customHeight="1" s="25"/>
    <row r="59" ht="15.75" customHeight="1" s="25"/>
    <row r="60" ht="15.75" customHeight="1" s="25"/>
    <row r="61" ht="15.75" customHeight="1" s="25"/>
    <row r="62" ht="15.75" customHeight="1" s="25"/>
    <row r="63" ht="15.75" customHeight="1" s="25"/>
    <row r="64" ht="15.75" customHeight="1" s="25"/>
    <row r="65" ht="15.75" customHeight="1" s="25"/>
    <row r="66" ht="15.75" customHeight="1" s="25"/>
    <row r="67" ht="15.75" customHeight="1" s="25"/>
    <row r="68" ht="15.75" customHeight="1" s="25"/>
    <row r="69" ht="15.75" customHeight="1" s="25"/>
    <row r="70" ht="15.75" customHeight="1" s="25"/>
    <row r="71" ht="15.75" customHeight="1" s="25"/>
    <row r="72" ht="15.75" customHeight="1" s="25"/>
    <row r="73" ht="15.75" customHeight="1" s="25"/>
    <row r="74" ht="15.75" customHeight="1" s="25"/>
    <row r="75" ht="15.75" customHeight="1" s="25"/>
    <row r="76" ht="15.75" customHeight="1" s="25"/>
    <row r="77" ht="15.75" customHeight="1" s="25"/>
    <row r="78" ht="15.75" customHeight="1" s="25"/>
    <row r="79" ht="15.75" customHeight="1" s="25"/>
    <row r="80" ht="15.75" customHeight="1" s="25"/>
    <row r="81" ht="15.75" customHeight="1" s="25"/>
    <row r="82" ht="15.75" customHeight="1" s="25"/>
    <row r="83" ht="15.75" customHeight="1" s="25"/>
    <row r="84" ht="15.75" customHeight="1" s="25"/>
    <row r="85" ht="15.75" customHeight="1" s="25"/>
    <row r="86" ht="15.75" customHeight="1" s="25"/>
    <row r="87" ht="15.75" customHeight="1" s="25"/>
    <row r="88" ht="15.75" customHeight="1" s="25"/>
    <row r="89" ht="15.75" customHeight="1" s="25"/>
    <row r="90" ht="15.75" customHeight="1" s="25"/>
    <row r="91" ht="15.75" customHeight="1" s="25"/>
    <row r="92" ht="15.75" customHeight="1" s="25"/>
    <row r="93" ht="15.75" customHeight="1" s="25"/>
    <row r="94" ht="15.75" customHeight="1" s="25"/>
    <row r="95" ht="15.75" customHeight="1" s="25"/>
    <row r="96" ht="15.75" customHeight="1" s="25"/>
    <row r="97" ht="15.75" customHeight="1" s="25"/>
    <row r="98" ht="15.75" customHeight="1" s="25"/>
    <row r="99" ht="15.75" customHeight="1" s="25"/>
    <row r="100" ht="15.75" customHeight="1" s="25"/>
    <row r="101" ht="15.75" customHeight="1" s="25"/>
    <row r="102" ht="15.75" customHeight="1" s="25"/>
    <row r="103" ht="15.75" customHeight="1" s="25"/>
    <row r="104" ht="15.75" customHeight="1" s="25"/>
    <row r="105" ht="15.75" customHeight="1" s="25"/>
    <row r="106" ht="15.75" customHeight="1" s="25"/>
    <row r="107" ht="15.75" customHeight="1" s="25"/>
    <row r="108" ht="15.75" customHeight="1" s="25"/>
    <row r="109" ht="15.75" customHeight="1" s="25"/>
    <row r="110" ht="15.75" customHeight="1" s="25"/>
    <row r="111" ht="15.75" customHeight="1" s="25"/>
    <row r="112" ht="15.75" customHeight="1" s="25"/>
    <row r="113" ht="15.75" customHeight="1" s="25"/>
    <row r="114" ht="15.75" customHeight="1" s="25"/>
    <row r="115" ht="15.75" customHeight="1" s="25"/>
    <row r="116" ht="15.75" customHeight="1" s="25"/>
    <row r="117" ht="15.75" customHeight="1" s="25"/>
    <row r="118" ht="15.75" customHeight="1" s="25"/>
    <row r="119" ht="15.75" customHeight="1" s="25"/>
    <row r="120" ht="15.75" customHeight="1" s="25"/>
    <row r="121" ht="15.75" customHeight="1" s="25"/>
    <row r="122" ht="15.75" customHeight="1" s="25"/>
    <row r="123" ht="15.75" customHeight="1" s="25"/>
    <row r="124" ht="15.75" customHeight="1" s="25"/>
    <row r="125" ht="15.75" customHeight="1" s="25"/>
    <row r="126" ht="15.75" customHeight="1" s="25"/>
    <row r="127" ht="15.75" customHeight="1" s="25"/>
    <row r="128" ht="15.75" customHeight="1" s="25"/>
    <row r="129" ht="15.75" customHeight="1" s="25"/>
    <row r="130" ht="15.75" customHeight="1" s="25"/>
    <row r="131" ht="15.75" customHeight="1" s="25"/>
    <row r="132" ht="15.75" customHeight="1" s="25"/>
    <row r="133" ht="15.75" customHeight="1" s="25"/>
    <row r="134" ht="15.75" customHeight="1" s="25"/>
    <row r="135" ht="15.75" customHeight="1" s="25"/>
    <row r="136" ht="15.75" customHeight="1" s="25"/>
    <row r="137" ht="15.75" customHeight="1" s="25"/>
    <row r="138" ht="15.75" customHeight="1" s="25"/>
    <row r="139" ht="15.75" customHeight="1" s="25"/>
    <row r="140" ht="15.75" customHeight="1" s="25"/>
    <row r="141" ht="15.75" customHeight="1" s="25"/>
    <row r="142" ht="15.75" customHeight="1" s="25"/>
    <row r="143" ht="15.75" customHeight="1" s="25"/>
    <row r="144" ht="15.75" customHeight="1" s="25"/>
    <row r="145" ht="15.75" customHeight="1" s="25"/>
    <row r="146" ht="15.75" customHeight="1" s="25"/>
    <row r="147" ht="15.75" customHeight="1" s="25"/>
    <row r="148" ht="15.75" customHeight="1" s="25"/>
    <row r="149" ht="15.75" customHeight="1" s="25"/>
    <row r="150" ht="15.75" customHeight="1" s="25"/>
    <row r="151" ht="15.75" customHeight="1" s="25"/>
    <row r="152" ht="15.75" customHeight="1" s="25"/>
    <row r="153" ht="15.75" customHeight="1" s="25"/>
    <row r="154" ht="15.75" customHeight="1" s="25"/>
    <row r="155" ht="15.75" customHeight="1" s="25"/>
    <row r="156" ht="15.75" customHeight="1" s="25"/>
    <row r="157" ht="15.75" customHeight="1" s="25"/>
    <row r="158" ht="15.75" customHeight="1" s="25"/>
    <row r="159" ht="15.75" customHeight="1" s="25"/>
    <row r="160" ht="15.75" customHeight="1" s="25"/>
    <row r="161" ht="15.75" customHeight="1" s="25"/>
    <row r="162" ht="15.75" customHeight="1" s="25"/>
    <row r="163" ht="15.75" customHeight="1" s="25"/>
    <row r="164" ht="15.75" customHeight="1" s="25"/>
    <row r="165" ht="15.75" customHeight="1" s="25"/>
    <row r="166" ht="15.75" customHeight="1" s="25"/>
    <row r="167" ht="15.75" customHeight="1" s="25"/>
    <row r="168" ht="15.75" customHeight="1" s="25"/>
    <row r="169" ht="15.75" customHeight="1" s="25"/>
    <row r="170" ht="15.75" customHeight="1" s="25"/>
    <row r="171" ht="15.75" customHeight="1" s="25"/>
    <row r="172" ht="15.75" customHeight="1" s="25"/>
    <row r="173" ht="15.75" customHeight="1" s="25"/>
    <row r="174" ht="15.75" customHeight="1" s="25"/>
    <row r="175" ht="15.75" customHeight="1" s="25"/>
    <row r="176" ht="15.75" customHeight="1" s="25"/>
    <row r="177" ht="15.75" customHeight="1" s="25"/>
    <row r="178" ht="15.75" customHeight="1" s="25"/>
    <row r="179" ht="15.75" customHeight="1" s="25"/>
    <row r="180" ht="15.75" customHeight="1" s="25"/>
    <row r="181" ht="15.75" customHeight="1" s="25"/>
    <row r="182" ht="15.75" customHeight="1" s="25"/>
    <row r="183" ht="15.75" customHeight="1" s="25"/>
    <row r="184" ht="15.75" customHeight="1" s="25"/>
    <row r="185" ht="15.75" customHeight="1" s="25"/>
    <row r="186" ht="15.75" customHeight="1" s="25"/>
    <row r="187" ht="15.75" customHeight="1" s="25"/>
    <row r="188" ht="15.75" customHeight="1" s="25"/>
    <row r="189" ht="15.75" customHeight="1" s="25"/>
    <row r="190" ht="15.75" customHeight="1" s="25"/>
    <row r="191" ht="15.75" customHeight="1" s="25"/>
    <row r="192" ht="15.75" customHeight="1" s="25"/>
    <row r="193" ht="15.75" customHeight="1" s="25"/>
    <row r="194" ht="15.75" customHeight="1" s="25"/>
    <row r="195" ht="15.75" customHeight="1" s="25"/>
    <row r="196" ht="15.75" customHeight="1" s="25"/>
    <row r="197" ht="15.75" customHeight="1" s="25"/>
    <row r="198" ht="15.75" customHeight="1" s="25"/>
    <row r="199" ht="15.75" customHeight="1" s="25"/>
    <row r="200" ht="15.75" customHeight="1" s="25"/>
    <row r="201" ht="15.75" customHeight="1" s="25"/>
    <row r="202" ht="15.75" customHeight="1" s="25"/>
    <row r="203" ht="15.75" customHeight="1" s="25"/>
    <row r="204" ht="15.75" customHeight="1" s="25"/>
    <row r="205" ht="15.75" customHeight="1" s="25"/>
    <row r="206" ht="15.75" customHeight="1" s="25"/>
    <row r="207" ht="15.75" customHeight="1" s="25"/>
    <row r="208" ht="15.75" customHeight="1" s="25"/>
    <row r="209" ht="15.75" customHeight="1" s="25"/>
    <row r="210" ht="15.75" customHeight="1" s="25"/>
    <row r="211" ht="15.75" customHeight="1" s="25"/>
    <row r="212" ht="15.75" customHeight="1" s="25"/>
    <row r="213" ht="15.75" customHeight="1" s="25"/>
    <row r="214" ht="15.75" customHeight="1" s="25"/>
    <row r="215" ht="15.75" customHeight="1" s="25"/>
    <row r="216" ht="15.75" customHeight="1" s="25"/>
    <row r="217" ht="15.75" customHeight="1" s="25"/>
    <row r="218" ht="15.75" customHeight="1" s="25"/>
    <row r="219" ht="15.75" customHeight="1" s="25"/>
    <row r="220" ht="15.75" customHeight="1" s="25"/>
    <row r="221" ht="15.75" customHeight="1" s="25"/>
    <row r="222" ht="15.75" customHeight="1" s="25"/>
    <row r="223" ht="15.75" customHeight="1" s="25"/>
    <row r="224" ht="15.75" customHeight="1" s="25"/>
    <row r="225" ht="15.75" customHeight="1" s="25"/>
    <row r="226" ht="15.75" customHeight="1" s="25"/>
    <row r="227" ht="15.75" customHeight="1" s="25"/>
    <row r="228" ht="15.75" customHeight="1" s="25"/>
    <row r="229" ht="15.75" customHeight="1" s="25"/>
    <row r="230" ht="15.75" customHeight="1" s="25"/>
    <row r="231" ht="15.75" customHeight="1" s="25"/>
    <row r="232" ht="15.75" customHeight="1" s="25"/>
    <row r="233" ht="15.75" customHeight="1" s="25"/>
    <row r="234" ht="15.75" customHeight="1" s="25"/>
    <row r="235" ht="15.75" customHeight="1" s="25"/>
    <row r="236" ht="15.75" customHeight="1" s="25"/>
    <row r="237" ht="15.75" customHeight="1" s="25"/>
    <row r="238" ht="15.75" customHeight="1" s="25"/>
    <row r="239" ht="15.75" customHeight="1" s="25"/>
    <row r="240" ht="15.75" customHeight="1" s="25"/>
    <row r="241" ht="15.75" customHeight="1" s="25"/>
    <row r="242" ht="15.75" customHeight="1" s="25"/>
    <row r="243" ht="15.75" customHeight="1" s="25"/>
    <row r="244" ht="15.75" customHeight="1" s="25"/>
    <row r="245" ht="15.75" customHeight="1" s="25"/>
    <row r="246" ht="15.75" customHeight="1" s="25"/>
    <row r="247" ht="15.75" customHeight="1" s="25"/>
    <row r="248" ht="15.75" customHeight="1" s="25"/>
    <row r="249" ht="15.75" customHeight="1" s="25"/>
    <row r="250" ht="15.75" customHeight="1" s="25"/>
    <row r="251" ht="15.75" customHeight="1" s="25"/>
    <row r="252" ht="15.75" customHeight="1" s="25"/>
    <row r="253" ht="15.75" customHeight="1" s="25"/>
    <row r="254" ht="15.75" customHeight="1" s="25"/>
    <row r="255" ht="15.75" customHeight="1" s="25"/>
    <row r="256" ht="15.75" customHeight="1" s="25"/>
    <row r="257" ht="15.75" customHeight="1" s="25"/>
    <row r="258" ht="15.75" customHeight="1" s="25"/>
    <row r="259" ht="15.75" customHeight="1" s="25"/>
    <row r="260" ht="15.75" customHeight="1" s="25"/>
    <row r="261" ht="15.75" customHeight="1" s="25"/>
    <row r="262" ht="15.75" customHeight="1" s="25"/>
    <row r="263" ht="15.75" customHeight="1" s="25"/>
    <row r="264" ht="15.75" customHeight="1" s="25"/>
    <row r="265" ht="15.75" customHeight="1" s="25"/>
    <row r="266" ht="15.75" customHeight="1" s="25"/>
    <row r="267" ht="15.75" customHeight="1" s="25"/>
    <row r="268" ht="15.75" customHeight="1" s="25"/>
    <row r="269" ht="15.75" customHeight="1" s="25"/>
    <row r="270" ht="15.75" customHeight="1" s="25"/>
    <row r="271" ht="15.75" customHeight="1" s="25"/>
    <row r="272" ht="15.75" customHeight="1" s="25"/>
    <row r="273" ht="15.75" customHeight="1" s="25"/>
    <row r="274" ht="15.75" customHeight="1" s="25"/>
    <row r="275" ht="15.75" customHeight="1" s="25"/>
    <row r="276" ht="15.75" customHeight="1" s="25"/>
    <row r="277" ht="15.75" customHeight="1" s="25"/>
    <row r="278" ht="15.75" customHeight="1" s="25"/>
    <row r="279" ht="15.75" customHeight="1" s="25"/>
    <row r="280" ht="15.75" customHeight="1" s="25"/>
    <row r="281" ht="15.75" customHeight="1" s="25"/>
    <row r="282" ht="15.75" customHeight="1" s="25"/>
    <row r="283" ht="15.75" customHeight="1" s="25"/>
    <row r="284" ht="15.75" customHeight="1" s="25"/>
    <row r="285" ht="15.75" customHeight="1" s="25"/>
    <row r="286" ht="15.75" customHeight="1" s="25"/>
    <row r="287" ht="15.75" customHeight="1" s="25"/>
    <row r="288" ht="15.75" customHeight="1" s="25"/>
    <row r="289" ht="15.75" customHeight="1" s="25"/>
    <row r="290" ht="15.75" customHeight="1" s="25"/>
    <row r="291" ht="15.75" customHeight="1" s="25"/>
    <row r="292" ht="15.75" customHeight="1" s="25"/>
    <row r="293" ht="15.75" customHeight="1" s="25"/>
    <row r="294" ht="15.75" customHeight="1" s="25"/>
    <row r="295" ht="15.75" customHeight="1" s="25"/>
    <row r="296" ht="15.75" customHeight="1" s="25"/>
    <row r="297" ht="15.75" customHeight="1" s="25"/>
    <row r="298" ht="15.75" customHeight="1" s="25"/>
    <row r="299" ht="15.75" customHeight="1" s="25"/>
    <row r="300" ht="15.75" customHeight="1" s="25"/>
    <row r="301" ht="15.75" customHeight="1" s="25"/>
    <row r="302" ht="15.75" customHeight="1" s="25"/>
    <row r="303" ht="15.75" customHeight="1" s="25"/>
    <row r="304" ht="15.75" customHeight="1" s="25"/>
    <row r="305" ht="15.75" customHeight="1" s="25"/>
    <row r="306" ht="15.75" customHeight="1" s="25"/>
    <row r="307" ht="15.75" customHeight="1" s="25"/>
    <row r="308" ht="15.75" customHeight="1" s="25"/>
    <row r="309" ht="15.75" customHeight="1" s="25"/>
    <row r="310" ht="15.75" customHeight="1" s="25"/>
    <row r="311" ht="15.75" customHeight="1" s="25"/>
    <row r="312" ht="15.75" customHeight="1" s="25"/>
    <row r="313" ht="15.75" customHeight="1" s="25"/>
    <row r="314" ht="15.75" customHeight="1" s="25"/>
    <row r="315" ht="15.75" customHeight="1" s="25"/>
    <row r="316" ht="15.75" customHeight="1" s="25"/>
    <row r="317" ht="15.75" customHeight="1" s="25"/>
    <row r="318" ht="15.75" customHeight="1" s="25"/>
    <row r="319" ht="15.75" customHeight="1" s="25"/>
    <row r="320" ht="15.75" customHeight="1" s="25"/>
    <row r="321" ht="15.75" customHeight="1" s="25"/>
    <row r="322" ht="15.75" customHeight="1" s="25"/>
    <row r="323" ht="15.75" customHeight="1" s="25"/>
    <row r="324" ht="15.75" customHeight="1" s="25"/>
    <row r="325" ht="15.75" customHeight="1" s="25"/>
    <row r="326" ht="15.75" customHeight="1" s="25"/>
    <row r="327" ht="15.75" customHeight="1" s="25"/>
    <row r="328" ht="15.75" customHeight="1" s="25"/>
    <row r="329" ht="15.75" customHeight="1" s="25"/>
    <row r="330" ht="15.75" customHeight="1" s="25"/>
    <row r="331" ht="15.75" customHeight="1" s="25"/>
    <row r="332" ht="15.75" customHeight="1" s="25"/>
    <row r="333" ht="15.75" customHeight="1" s="25"/>
    <row r="334" ht="15.75" customHeight="1" s="25"/>
    <row r="335" ht="15.75" customHeight="1" s="25"/>
    <row r="336" ht="15.75" customHeight="1" s="25"/>
    <row r="337" ht="15.75" customHeight="1" s="25"/>
    <row r="338" ht="15.75" customHeight="1" s="25"/>
    <row r="339" ht="15.75" customHeight="1" s="25"/>
    <row r="340" ht="15.75" customHeight="1" s="25"/>
    <row r="341" ht="15.75" customHeight="1" s="25"/>
    <row r="342" ht="15.75" customHeight="1" s="25"/>
    <row r="343" ht="15.75" customHeight="1" s="25"/>
    <row r="344" ht="15.75" customHeight="1" s="25"/>
    <row r="345" ht="15.75" customHeight="1" s="25"/>
    <row r="346" ht="15.75" customHeight="1" s="25"/>
    <row r="347" ht="15.75" customHeight="1" s="25"/>
    <row r="348" ht="15.75" customHeight="1" s="25"/>
    <row r="349" ht="15.75" customHeight="1" s="25"/>
    <row r="350" ht="15.75" customHeight="1" s="25"/>
    <row r="351" ht="15.75" customHeight="1" s="25"/>
    <row r="352" ht="15.75" customHeight="1" s="25"/>
    <row r="353" ht="15.75" customHeight="1" s="25"/>
    <row r="354" ht="15.75" customHeight="1" s="25"/>
    <row r="355" ht="15.75" customHeight="1" s="25"/>
    <row r="356" ht="15.75" customHeight="1" s="25"/>
    <row r="357" ht="15.75" customHeight="1" s="25"/>
    <row r="358" ht="15.75" customHeight="1" s="25"/>
    <row r="359" ht="15.75" customHeight="1" s="25"/>
    <row r="360" ht="15.75" customHeight="1" s="25"/>
    <row r="361" ht="15.75" customHeight="1" s="25"/>
    <row r="362" ht="15.75" customHeight="1" s="25"/>
    <row r="363" ht="15.75" customHeight="1" s="25"/>
    <row r="364" ht="15.75" customHeight="1" s="25"/>
    <row r="365" ht="15.75" customHeight="1" s="25"/>
    <row r="366" ht="15.75" customHeight="1" s="25"/>
    <row r="367" ht="15.75" customHeight="1" s="25"/>
    <row r="368" ht="15.75" customHeight="1" s="25"/>
    <row r="369" ht="15.75" customHeight="1" s="25"/>
    <row r="370" ht="15.75" customHeight="1" s="25"/>
    <row r="371" ht="15.75" customHeight="1" s="25"/>
    <row r="372" ht="15.75" customHeight="1" s="25"/>
    <row r="373" ht="15.75" customHeight="1" s="25"/>
    <row r="374" ht="15.75" customHeight="1" s="25"/>
    <row r="375" ht="15.75" customHeight="1" s="25"/>
    <row r="376" ht="15.75" customHeight="1" s="25"/>
    <row r="377" ht="15.75" customHeight="1" s="25"/>
    <row r="378" ht="15.75" customHeight="1" s="25"/>
    <row r="379" ht="15.75" customHeight="1" s="25"/>
    <row r="380" ht="15.75" customHeight="1" s="25"/>
    <row r="381" ht="15.75" customHeight="1" s="25"/>
    <row r="382" ht="15.75" customHeight="1" s="25"/>
    <row r="383" ht="15.75" customHeight="1" s="25"/>
    <row r="384" ht="15.75" customHeight="1" s="25"/>
    <row r="385" ht="15.75" customHeight="1" s="25"/>
    <row r="386" ht="15.75" customHeight="1" s="25"/>
    <row r="387" ht="15.75" customHeight="1" s="25"/>
    <row r="388" ht="15.75" customHeight="1" s="25"/>
    <row r="389" ht="15.75" customHeight="1" s="25"/>
    <row r="390" ht="15.75" customHeight="1" s="25"/>
    <row r="391" ht="15.75" customHeight="1" s="25"/>
    <row r="392" ht="15.75" customHeight="1" s="25"/>
    <row r="393" ht="15.75" customHeight="1" s="25"/>
    <row r="394" ht="15.75" customHeight="1" s="25"/>
    <row r="395" ht="15.75" customHeight="1" s="25"/>
    <row r="396" ht="15.75" customHeight="1" s="25"/>
    <row r="397" ht="15.75" customHeight="1" s="25"/>
    <row r="398" ht="15.75" customHeight="1" s="25"/>
    <row r="399" ht="15.75" customHeight="1" s="25"/>
    <row r="400" ht="15.75" customHeight="1" s="25"/>
    <row r="401" ht="15.75" customHeight="1" s="25"/>
    <row r="402" ht="15.75" customHeight="1" s="25"/>
    <row r="403" ht="15.75" customHeight="1" s="25"/>
    <row r="404" ht="15.75" customHeight="1" s="25"/>
    <row r="405" ht="15.75" customHeight="1" s="25"/>
    <row r="406" ht="15.75" customHeight="1" s="25"/>
    <row r="407" ht="15.75" customHeight="1" s="25"/>
    <row r="408" ht="15.75" customHeight="1" s="25"/>
    <row r="409" ht="15.75" customHeight="1" s="25"/>
    <row r="410" ht="15.75" customHeight="1" s="25"/>
    <row r="411" ht="15.75" customHeight="1" s="25"/>
    <row r="412" ht="15.75" customHeight="1" s="25"/>
    <row r="413" ht="15.75" customHeight="1" s="25"/>
    <row r="414" ht="15.75" customHeight="1" s="25"/>
    <row r="415" ht="15.75" customHeight="1" s="25"/>
    <row r="416" ht="15.75" customHeight="1" s="25"/>
    <row r="417" ht="15.75" customHeight="1" s="25"/>
    <row r="418" ht="15.75" customHeight="1" s="25"/>
    <row r="419" ht="15.75" customHeight="1" s="25"/>
    <row r="420" ht="15.75" customHeight="1" s="25"/>
    <row r="421" ht="15.75" customHeight="1" s="25"/>
    <row r="422" ht="15.75" customHeight="1" s="25"/>
    <row r="423" ht="15.75" customHeight="1" s="25"/>
    <row r="424" ht="15.75" customHeight="1" s="25"/>
    <row r="425" ht="15.75" customHeight="1" s="25"/>
    <row r="426" ht="15.75" customHeight="1" s="25"/>
    <row r="427" ht="15.75" customHeight="1" s="25"/>
    <row r="428" ht="15.75" customHeight="1" s="25"/>
    <row r="429" ht="15.75" customHeight="1" s="25"/>
    <row r="430" ht="15.75" customHeight="1" s="25"/>
    <row r="431" ht="15.75" customHeight="1" s="25"/>
    <row r="432" ht="15.75" customHeight="1" s="25"/>
    <row r="433" ht="15.75" customHeight="1" s="25"/>
    <row r="434" ht="15.75" customHeight="1" s="25"/>
    <row r="435" ht="15.75" customHeight="1" s="25"/>
    <row r="436" ht="15.75" customHeight="1" s="25"/>
    <row r="437" ht="15.75" customHeight="1" s="25"/>
    <row r="438" ht="15.75" customHeight="1" s="25"/>
    <row r="439" ht="15.75" customHeight="1" s="25"/>
    <row r="440" ht="15.75" customHeight="1" s="25"/>
    <row r="441" ht="15.75" customHeight="1" s="25"/>
    <row r="442" ht="15.75" customHeight="1" s="25"/>
    <row r="443" ht="15.75" customHeight="1" s="25"/>
    <row r="444" ht="15.75" customHeight="1" s="25"/>
    <row r="445" ht="15.75" customHeight="1" s="25"/>
    <row r="446" ht="15.75" customHeight="1" s="25"/>
    <row r="447" ht="15.75" customHeight="1" s="25"/>
    <row r="448" ht="15.75" customHeight="1" s="25"/>
    <row r="449" ht="15.75" customHeight="1" s="25"/>
    <row r="450" ht="15.75" customHeight="1" s="25"/>
    <row r="451" ht="15.75" customHeight="1" s="25"/>
    <row r="452" ht="15.75" customHeight="1" s="25"/>
    <row r="453" ht="15.75" customHeight="1" s="25"/>
    <row r="454" ht="15.75" customHeight="1" s="25"/>
    <row r="455" ht="15.75" customHeight="1" s="25"/>
    <row r="456" ht="15.75" customHeight="1" s="25"/>
    <row r="457" ht="15.75" customHeight="1" s="25"/>
    <row r="458" ht="15.75" customHeight="1" s="25"/>
    <row r="459" ht="15.75" customHeight="1" s="25"/>
    <row r="460" ht="15.75" customHeight="1" s="25"/>
    <row r="461" ht="15.75" customHeight="1" s="25"/>
    <row r="462" ht="15.75" customHeight="1" s="25"/>
    <row r="463" ht="15.75" customHeight="1" s="25"/>
    <row r="464" ht="15.75" customHeight="1" s="25"/>
    <row r="465" ht="15.75" customHeight="1" s="25"/>
    <row r="466" ht="15.75" customHeight="1" s="25"/>
    <row r="467" ht="15.75" customHeight="1" s="25"/>
    <row r="468" ht="15.75" customHeight="1" s="25"/>
    <row r="469" ht="15.75" customHeight="1" s="25"/>
    <row r="470" ht="15.75" customHeight="1" s="25"/>
    <row r="471" ht="15.75" customHeight="1" s="25"/>
    <row r="472" ht="15.75" customHeight="1" s="25"/>
    <row r="473" ht="15.75" customHeight="1" s="25"/>
    <row r="474" ht="15.75" customHeight="1" s="25"/>
    <row r="475" ht="15.75" customHeight="1" s="25"/>
    <row r="476" ht="15.75" customHeight="1" s="25"/>
    <row r="477" ht="15.75" customHeight="1" s="25"/>
    <row r="478" ht="15.75" customHeight="1" s="25"/>
    <row r="479" ht="15.75" customHeight="1" s="25"/>
    <row r="480" ht="15.75" customHeight="1" s="25"/>
    <row r="481" ht="15.75" customHeight="1" s="25"/>
    <row r="482" ht="15.75" customHeight="1" s="25"/>
    <row r="483" ht="15.75" customHeight="1" s="25"/>
    <row r="484" ht="15.75" customHeight="1" s="25"/>
    <row r="485" ht="15.75" customHeight="1" s="25"/>
    <row r="486" ht="15.75" customHeight="1" s="25"/>
    <row r="487" ht="15.75" customHeight="1" s="25"/>
    <row r="488" ht="15.75" customHeight="1" s="25"/>
    <row r="489" ht="15.75" customHeight="1" s="25"/>
    <row r="490" ht="15.75" customHeight="1" s="25"/>
    <row r="491" ht="15.75" customHeight="1" s="25"/>
    <row r="492" ht="15.75" customHeight="1" s="25"/>
    <row r="493" ht="15.75" customHeight="1" s="25"/>
    <row r="494" ht="15.75" customHeight="1" s="25"/>
    <row r="495" ht="15.75" customHeight="1" s="25"/>
    <row r="496" ht="15.75" customHeight="1" s="25"/>
    <row r="497" ht="15.75" customHeight="1" s="25"/>
    <row r="498" ht="15.75" customHeight="1" s="25"/>
    <row r="499" ht="15.75" customHeight="1" s="25"/>
    <row r="500" ht="15.75" customHeight="1" s="25"/>
    <row r="501" ht="15.75" customHeight="1" s="25"/>
    <row r="502" ht="15.75" customHeight="1" s="25"/>
    <row r="503" ht="15.75" customHeight="1" s="25"/>
    <row r="504" ht="15.75" customHeight="1" s="25"/>
    <row r="505" ht="15.75" customHeight="1" s="25"/>
    <row r="506" ht="15.75" customHeight="1" s="25"/>
    <row r="507" ht="15.75" customHeight="1" s="25"/>
    <row r="508" ht="15.75" customHeight="1" s="25"/>
    <row r="509" ht="15.75" customHeight="1" s="25"/>
    <row r="510" ht="15.75" customHeight="1" s="25"/>
    <row r="511" ht="15.75" customHeight="1" s="25"/>
    <row r="512" ht="15.75" customHeight="1" s="25"/>
    <row r="513" ht="15.75" customHeight="1" s="25"/>
    <row r="514" ht="15.75" customHeight="1" s="25"/>
    <row r="515" ht="15.75" customHeight="1" s="25"/>
    <row r="516" ht="15.75" customHeight="1" s="25"/>
    <row r="517" ht="15.75" customHeight="1" s="25"/>
    <row r="518" ht="15.75" customHeight="1" s="25"/>
    <row r="519" ht="15.75" customHeight="1" s="25"/>
    <row r="520" ht="15.75" customHeight="1" s="25"/>
    <row r="521" ht="15.75" customHeight="1" s="25"/>
    <row r="522" ht="15.75" customHeight="1" s="25"/>
    <row r="523" ht="15.75" customHeight="1" s="25"/>
    <row r="524" ht="15.75" customHeight="1" s="25"/>
    <row r="525" ht="15.75" customHeight="1" s="25"/>
    <row r="526" ht="15.75" customHeight="1" s="25"/>
    <row r="527" ht="15.75" customHeight="1" s="25"/>
    <row r="528" ht="15.75" customHeight="1" s="25"/>
    <row r="529" ht="15.75" customHeight="1" s="25"/>
    <row r="530" ht="15.75" customHeight="1" s="25"/>
    <row r="531" ht="15.75" customHeight="1" s="25"/>
    <row r="532" ht="15.75" customHeight="1" s="25"/>
    <row r="533" ht="15.75" customHeight="1" s="25"/>
    <row r="534" ht="15.75" customHeight="1" s="25"/>
    <row r="535" ht="15.75" customHeight="1" s="25"/>
    <row r="536" ht="15.75" customHeight="1" s="25"/>
    <row r="537" ht="15.75" customHeight="1" s="25"/>
    <row r="538" ht="15.75" customHeight="1" s="25"/>
    <row r="539" ht="15.75" customHeight="1" s="25"/>
    <row r="540" ht="15.75" customHeight="1" s="25"/>
    <row r="541" ht="15.75" customHeight="1" s="25"/>
    <row r="542" ht="15.75" customHeight="1" s="25"/>
    <row r="543" ht="15.75" customHeight="1" s="25"/>
    <row r="544" ht="15.75" customHeight="1" s="25"/>
    <row r="545" ht="15.75" customHeight="1" s="25"/>
    <row r="546" ht="15.75" customHeight="1" s="25"/>
    <row r="547" ht="15.75" customHeight="1" s="25"/>
    <row r="548" ht="15.75" customHeight="1" s="25"/>
    <row r="549" ht="15.75" customHeight="1" s="25"/>
    <row r="550" ht="15.75" customHeight="1" s="25"/>
    <row r="551" ht="15.75" customHeight="1" s="25"/>
    <row r="552" ht="15.75" customHeight="1" s="25"/>
    <row r="553" ht="15.75" customHeight="1" s="25"/>
    <row r="554" ht="15.75" customHeight="1" s="25"/>
    <row r="555" ht="15.75" customHeight="1" s="25"/>
    <row r="556" ht="15.75" customHeight="1" s="25"/>
    <row r="557" ht="15.75" customHeight="1" s="25"/>
    <row r="558" ht="15.75" customHeight="1" s="25"/>
    <row r="559" ht="15.75" customHeight="1" s="25"/>
    <row r="560" ht="15.75" customHeight="1" s="25"/>
    <row r="561" ht="15.75" customHeight="1" s="25"/>
    <row r="562" ht="15.75" customHeight="1" s="25"/>
    <row r="563" ht="15.75" customHeight="1" s="25"/>
    <row r="564" ht="15.75" customHeight="1" s="25"/>
    <row r="565" ht="15.75" customHeight="1" s="25"/>
    <row r="566" ht="15.75" customHeight="1" s="25"/>
    <row r="567" ht="15.75" customHeight="1" s="25"/>
    <row r="568" ht="15.75" customHeight="1" s="25"/>
    <row r="569" ht="15.75" customHeight="1" s="25"/>
    <row r="570" ht="15.75" customHeight="1" s="25"/>
    <row r="571" ht="15.75" customHeight="1" s="25"/>
    <row r="572" ht="15.75" customHeight="1" s="25"/>
    <row r="573" ht="15.75" customHeight="1" s="25"/>
    <row r="574" ht="15.75" customHeight="1" s="25"/>
    <row r="575" ht="15.75" customHeight="1" s="25"/>
    <row r="576" ht="15.75" customHeight="1" s="25"/>
    <row r="577" ht="15.75" customHeight="1" s="25"/>
    <row r="578" ht="15.75" customHeight="1" s="25"/>
    <row r="579" ht="15.75" customHeight="1" s="25"/>
    <row r="580" ht="15.75" customHeight="1" s="25"/>
    <row r="581" ht="15.75" customHeight="1" s="25"/>
    <row r="582" ht="15.75" customHeight="1" s="25"/>
    <row r="583" ht="15.75" customHeight="1" s="25"/>
    <row r="584" ht="15.75" customHeight="1" s="25"/>
    <row r="585" ht="15.75" customHeight="1" s="25"/>
    <row r="586" ht="15.75" customHeight="1" s="25"/>
    <row r="587" ht="15.75" customHeight="1" s="25"/>
    <row r="588" ht="15.75" customHeight="1" s="25"/>
    <row r="589" ht="15.75" customHeight="1" s="25"/>
    <row r="590" ht="15.75" customHeight="1" s="25"/>
    <row r="591" ht="15.75" customHeight="1" s="25"/>
    <row r="592" ht="15.75" customHeight="1" s="25"/>
    <row r="593" ht="15.75" customHeight="1" s="25"/>
    <row r="594" ht="15.75" customHeight="1" s="25"/>
    <row r="595" ht="15.75" customHeight="1" s="25"/>
    <row r="596" ht="15.75" customHeight="1" s="25"/>
    <row r="597" ht="15.75" customHeight="1" s="25"/>
    <row r="598" ht="15.75" customHeight="1" s="25"/>
    <row r="599" ht="15.75" customHeight="1" s="25"/>
    <row r="600" ht="15.75" customHeight="1" s="25"/>
    <row r="601" ht="15.75" customHeight="1" s="25"/>
    <row r="602" ht="15.75" customHeight="1" s="25"/>
    <row r="603" ht="15.75" customHeight="1" s="25"/>
    <row r="604" ht="15.75" customHeight="1" s="25"/>
    <row r="605" ht="15.75" customHeight="1" s="25"/>
    <row r="606" ht="15.75" customHeight="1" s="25"/>
    <row r="607" ht="15.75" customHeight="1" s="25"/>
    <row r="608" ht="15.75" customHeight="1" s="25"/>
    <row r="609" ht="15.75" customHeight="1" s="25"/>
    <row r="610" ht="15.75" customHeight="1" s="25"/>
    <row r="611" ht="15.75" customHeight="1" s="25"/>
    <row r="612" ht="15.75" customHeight="1" s="25"/>
    <row r="613" ht="15.75" customHeight="1" s="25"/>
    <row r="614" ht="15.75" customHeight="1" s="25"/>
    <row r="615" ht="15.75" customHeight="1" s="25"/>
    <row r="616" ht="15.75" customHeight="1" s="25"/>
    <row r="617" ht="15.75" customHeight="1" s="25"/>
    <row r="618" ht="15.75" customHeight="1" s="25"/>
    <row r="619" ht="15.75" customHeight="1" s="25"/>
    <row r="620" ht="15.75" customHeight="1" s="25"/>
    <row r="621" ht="15.75" customHeight="1" s="25"/>
    <row r="622" ht="15.75" customHeight="1" s="25"/>
    <row r="623" ht="15.75" customHeight="1" s="25"/>
    <row r="624" ht="15.75" customHeight="1" s="25"/>
    <row r="625" ht="15.75" customHeight="1" s="25"/>
    <row r="626" ht="15.75" customHeight="1" s="25"/>
    <row r="627" ht="15.75" customHeight="1" s="25"/>
    <row r="628" ht="15.75" customHeight="1" s="25"/>
    <row r="629" ht="15.75" customHeight="1" s="25"/>
    <row r="630" ht="15.75" customHeight="1" s="25"/>
    <row r="631" ht="15.75" customHeight="1" s="25"/>
    <row r="632" ht="15.75" customHeight="1" s="25"/>
    <row r="633" ht="15.75" customHeight="1" s="25"/>
    <row r="634" ht="15.75" customHeight="1" s="25"/>
    <row r="635" ht="15.75" customHeight="1" s="25"/>
    <row r="636" ht="15.75" customHeight="1" s="25"/>
    <row r="637" ht="15.75" customHeight="1" s="25"/>
    <row r="638" ht="15.75" customHeight="1" s="25"/>
    <row r="639" ht="15.75" customHeight="1" s="25"/>
    <row r="640" ht="15.75" customHeight="1" s="25"/>
    <row r="641" ht="15.75" customHeight="1" s="25"/>
    <row r="642" ht="15.75" customHeight="1" s="25"/>
    <row r="643" ht="15.75" customHeight="1" s="25"/>
    <row r="644" ht="15.75" customHeight="1" s="25"/>
    <row r="645" ht="15.75" customHeight="1" s="25"/>
    <row r="646" ht="15.75" customHeight="1" s="25"/>
    <row r="647" ht="15.75" customHeight="1" s="25"/>
    <row r="648" ht="15.75" customHeight="1" s="25"/>
    <row r="649" ht="15.75" customHeight="1" s="25"/>
    <row r="650" ht="15.75" customHeight="1" s="25"/>
    <row r="651" ht="15.75" customHeight="1" s="25"/>
    <row r="652" ht="15.75" customHeight="1" s="25"/>
    <row r="653" ht="15.75" customHeight="1" s="25"/>
    <row r="654" ht="15.75" customHeight="1" s="25"/>
    <row r="655" ht="15.75" customHeight="1" s="25"/>
    <row r="656" ht="15.75" customHeight="1" s="25"/>
    <row r="657" ht="15.75" customHeight="1" s="25"/>
    <row r="658" ht="15.75" customHeight="1" s="25"/>
    <row r="659" ht="15.75" customHeight="1" s="25"/>
    <row r="660" ht="15.75" customHeight="1" s="25"/>
    <row r="661" ht="15.75" customHeight="1" s="25"/>
    <row r="662" ht="15.75" customHeight="1" s="25"/>
    <row r="663" ht="15.75" customHeight="1" s="25"/>
    <row r="664" ht="15.75" customHeight="1" s="25"/>
    <row r="665" ht="15.75" customHeight="1" s="25"/>
    <row r="666" ht="15.75" customHeight="1" s="25"/>
    <row r="667" ht="15.75" customHeight="1" s="25"/>
    <row r="668" ht="15.75" customHeight="1" s="25"/>
    <row r="669" ht="15.75" customHeight="1" s="25"/>
    <row r="670" ht="15.75" customHeight="1" s="25"/>
    <row r="671" ht="15.75" customHeight="1" s="25"/>
    <row r="672" ht="15.75" customHeight="1" s="25"/>
    <row r="673" ht="15.75" customHeight="1" s="25"/>
    <row r="674" ht="15.75" customHeight="1" s="25"/>
    <row r="675" ht="15.75" customHeight="1" s="25"/>
    <row r="676" ht="15.75" customHeight="1" s="25"/>
    <row r="677" ht="15.75" customHeight="1" s="25"/>
    <row r="678" ht="15.75" customHeight="1" s="25"/>
    <row r="679" ht="15.75" customHeight="1" s="25"/>
    <row r="680" ht="15.75" customHeight="1" s="25"/>
    <row r="681" ht="15.75" customHeight="1" s="25"/>
    <row r="682" ht="15.75" customHeight="1" s="25"/>
    <row r="683" ht="15.75" customHeight="1" s="25"/>
    <row r="684" ht="15.75" customHeight="1" s="25"/>
    <row r="685" ht="15.75" customHeight="1" s="25"/>
    <row r="686" ht="15.75" customHeight="1" s="25"/>
    <row r="687" ht="15.75" customHeight="1" s="25"/>
    <row r="688" ht="15.75" customHeight="1" s="25"/>
    <row r="689" ht="15.75" customHeight="1" s="25"/>
    <row r="690" ht="15.75" customHeight="1" s="25"/>
    <row r="691" ht="15.75" customHeight="1" s="25"/>
    <row r="692" ht="15.75" customHeight="1" s="25"/>
    <row r="693" ht="15.75" customHeight="1" s="25"/>
    <row r="694" ht="15.75" customHeight="1" s="25"/>
    <row r="695" ht="15.75" customHeight="1" s="25"/>
    <row r="696" ht="15.75" customHeight="1" s="25"/>
    <row r="697" ht="15.75" customHeight="1" s="25"/>
    <row r="698" ht="15.75" customHeight="1" s="25"/>
    <row r="699" ht="15.75" customHeight="1" s="25"/>
    <row r="700" ht="15.75" customHeight="1" s="25"/>
    <row r="701" ht="15.75" customHeight="1" s="25"/>
    <row r="702" ht="15.75" customHeight="1" s="25"/>
    <row r="703" ht="15.75" customHeight="1" s="25"/>
    <row r="704" ht="15.75" customHeight="1" s="25"/>
    <row r="705" ht="15.75" customHeight="1" s="25"/>
    <row r="706" ht="15.75" customHeight="1" s="25"/>
    <row r="707" ht="15.75" customHeight="1" s="25"/>
    <row r="708" ht="15.75" customHeight="1" s="25"/>
    <row r="709" ht="15.75" customHeight="1" s="25"/>
    <row r="710" ht="15.75" customHeight="1" s="25"/>
    <row r="711" ht="15.75" customHeight="1" s="25"/>
    <row r="712" ht="15.75" customHeight="1" s="25"/>
    <row r="713" ht="15.75" customHeight="1" s="25"/>
    <row r="714" ht="15.75" customHeight="1" s="25"/>
    <row r="715" ht="15.75" customHeight="1" s="25"/>
    <row r="716" ht="15.75" customHeight="1" s="25"/>
    <row r="717" ht="15.75" customHeight="1" s="25"/>
    <row r="718" ht="15.75" customHeight="1" s="25"/>
    <row r="719" ht="15.75" customHeight="1" s="25"/>
    <row r="720" ht="15.75" customHeight="1" s="25"/>
    <row r="721" ht="15.75" customHeight="1" s="25"/>
    <row r="722" ht="15.75" customHeight="1" s="25"/>
    <row r="723" ht="15.75" customHeight="1" s="25"/>
    <row r="724" ht="15.75" customHeight="1" s="25"/>
    <row r="725" ht="15.75" customHeight="1" s="25"/>
    <row r="726" ht="15.75" customHeight="1" s="25"/>
    <row r="727" ht="15.75" customHeight="1" s="25"/>
    <row r="728" ht="15.75" customHeight="1" s="25"/>
    <row r="729" ht="15.75" customHeight="1" s="25"/>
    <row r="730" ht="15.75" customHeight="1" s="25"/>
    <row r="731" ht="15.75" customHeight="1" s="25"/>
    <row r="732" ht="15.75" customHeight="1" s="25"/>
    <row r="733" ht="15.75" customHeight="1" s="25"/>
    <row r="734" ht="15.75" customHeight="1" s="25"/>
    <row r="735" ht="15.75" customHeight="1" s="25"/>
    <row r="736" ht="15.75" customHeight="1" s="25"/>
    <row r="737" ht="15.75" customHeight="1" s="25"/>
    <row r="738" ht="15.75" customHeight="1" s="25"/>
    <row r="739" ht="15.75" customHeight="1" s="25"/>
    <row r="740" ht="15.75" customHeight="1" s="25"/>
    <row r="741" ht="15.75" customHeight="1" s="25"/>
    <row r="742" ht="15.75" customHeight="1" s="25"/>
    <row r="743" ht="15.75" customHeight="1" s="25"/>
    <row r="744" ht="15.75" customHeight="1" s="25"/>
    <row r="745" ht="15.75" customHeight="1" s="25"/>
    <row r="746" ht="15.75" customHeight="1" s="25"/>
    <row r="747" ht="15.75" customHeight="1" s="25"/>
    <row r="748" ht="15.75" customHeight="1" s="25"/>
    <row r="749" ht="15.75" customHeight="1" s="25"/>
    <row r="750" ht="15.75" customHeight="1" s="25"/>
    <row r="751" ht="15.75" customHeight="1" s="25"/>
    <row r="752" ht="15.75" customHeight="1" s="25"/>
    <row r="753" ht="15.75" customHeight="1" s="25"/>
    <row r="754" ht="15.75" customHeight="1" s="25"/>
    <row r="755" ht="15.75" customHeight="1" s="25"/>
    <row r="756" ht="15.75" customHeight="1" s="25"/>
    <row r="757" ht="15.75" customHeight="1" s="25"/>
    <row r="758" ht="15.75" customHeight="1" s="25"/>
    <row r="759" ht="15.75" customHeight="1" s="25"/>
    <row r="760" ht="15.75" customHeight="1" s="25"/>
    <row r="761" ht="15.75" customHeight="1" s="25"/>
    <row r="762" ht="15.75" customHeight="1" s="25"/>
    <row r="763" ht="15.75" customHeight="1" s="25"/>
    <row r="764" ht="15.75" customHeight="1" s="25"/>
    <row r="765" ht="15.75" customHeight="1" s="25"/>
    <row r="766" ht="15.75" customHeight="1" s="25"/>
    <row r="767" ht="15.75" customHeight="1" s="25"/>
    <row r="768" ht="15.75" customHeight="1" s="25"/>
    <row r="769" ht="15.75" customHeight="1" s="25"/>
    <row r="770" ht="15.75" customHeight="1" s="25"/>
    <row r="771" ht="15.75" customHeight="1" s="25"/>
    <row r="772" ht="15.75" customHeight="1" s="25"/>
    <row r="773" ht="15.75" customHeight="1" s="25"/>
    <row r="774" ht="15.75" customHeight="1" s="25"/>
    <row r="775" ht="15.75" customHeight="1" s="25"/>
    <row r="776" ht="15.75" customHeight="1" s="25"/>
    <row r="777" ht="15.75" customHeight="1" s="25"/>
    <row r="778" ht="15.75" customHeight="1" s="25"/>
    <row r="779" ht="15.75" customHeight="1" s="25"/>
    <row r="780" ht="15.75" customHeight="1" s="25"/>
    <row r="781" ht="15.75" customHeight="1" s="25"/>
    <row r="782" ht="15.75" customHeight="1" s="25"/>
    <row r="783" ht="15.75" customHeight="1" s="25"/>
    <row r="784" ht="15.75" customHeight="1" s="25"/>
    <row r="785" ht="15.75" customHeight="1" s="25"/>
    <row r="786" ht="15.75" customHeight="1" s="25"/>
    <row r="787" ht="15.75" customHeight="1" s="25"/>
    <row r="788" ht="15.75" customHeight="1" s="25"/>
    <row r="789" ht="15.75" customHeight="1" s="25"/>
    <row r="790" ht="15.75" customHeight="1" s="25"/>
    <row r="791" ht="15.75" customHeight="1" s="25"/>
    <row r="792" ht="15.75" customHeight="1" s="25"/>
    <row r="793" ht="15.75" customHeight="1" s="25"/>
    <row r="794" ht="15.75" customHeight="1" s="25"/>
    <row r="795" ht="15.75" customHeight="1" s="25"/>
    <row r="796" ht="15.75" customHeight="1" s="25"/>
    <row r="797" ht="15.75" customHeight="1" s="25"/>
    <row r="798" ht="15.75" customHeight="1" s="25"/>
    <row r="799" ht="15.75" customHeight="1" s="25"/>
    <row r="800" ht="15.75" customHeight="1" s="25"/>
    <row r="801" ht="15.75" customHeight="1" s="25"/>
    <row r="802" ht="15.75" customHeight="1" s="25"/>
    <row r="803" ht="15.75" customHeight="1" s="25"/>
    <row r="804" ht="15.75" customHeight="1" s="25"/>
    <row r="805" ht="15.75" customHeight="1" s="25"/>
    <row r="806" ht="15.75" customHeight="1" s="25"/>
    <row r="807" ht="15.75" customHeight="1" s="25"/>
    <row r="808" ht="15.75" customHeight="1" s="25"/>
    <row r="809" ht="15.75" customHeight="1" s="25"/>
    <row r="810" ht="15.75" customHeight="1" s="25"/>
    <row r="811" ht="15.75" customHeight="1" s="25"/>
    <row r="812" ht="15.75" customHeight="1" s="25"/>
    <row r="813" ht="15.75" customHeight="1" s="25"/>
    <row r="814" ht="15.75" customHeight="1" s="25"/>
    <row r="815" ht="15.75" customHeight="1" s="25"/>
    <row r="816" ht="15.75" customHeight="1" s="25"/>
    <row r="817" ht="15.75" customHeight="1" s="25"/>
    <row r="818" ht="15.75" customHeight="1" s="25"/>
    <row r="819" ht="15.75" customHeight="1" s="25"/>
    <row r="820" ht="15.75" customHeight="1" s="25"/>
    <row r="821" ht="15.75" customHeight="1" s="25"/>
    <row r="822" ht="15.75" customHeight="1" s="25"/>
    <row r="823" ht="15.75" customHeight="1" s="25"/>
    <row r="824" ht="15.75" customHeight="1" s="25"/>
    <row r="825" ht="15.75" customHeight="1" s="25"/>
    <row r="826" ht="15.75" customHeight="1" s="25"/>
    <row r="827" ht="15.75" customHeight="1" s="25"/>
    <row r="828" ht="15.75" customHeight="1" s="25"/>
    <row r="829" ht="15.75" customHeight="1" s="25"/>
    <row r="830" ht="15.75" customHeight="1" s="25"/>
    <row r="831" ht="15.75" customHeight="1" s="25"/>
    <row r="832" ht="15.75" customHeight="1" s="25"/>
    <row r="833" ht="15.75" customHeight="1" s="25"/>
    <row r="834" ht="15.75" customHeight="1" s="25"/>
    <row r="835" ht="15.75" customHeight="1" s="25"/>
    <row r="836" ht="15.75" customHeight="1" s="25"/>
    <row r="837" ht="15.75" customHeight="1" s="25"/>
    <row r="838" ht="15.75" customHeight="1" s="25"/>
    <row r="839" ht="15.75" customHeight="1" s="25"/>
    <row r="840" ht="15.75" customHeight="1" s="25"/>
    <row r="841" ht="15.75" customHeight="1" s="25"/>
    <row r="842" ht="15.75" customHeight="1" s="25"/>
    <row r="843" ht="15.75" customHeight="1" s="25"/>
    <row r="844" ht="15.75" customHeight="1" s="25"/>
    <row r="845" ht="15.75" customHeight="1" s="25"/>
    <row r="846" ht="15.75" customHeight="1" s="25"/>
    <row r="847" ht="15.75" customHeight="1" s="25"/>
    <row r="848" ht="15.75" customHeight="1" s="25"/>
    <row r="849" ht="15.75" customHeight="1" s="25"/>
    <row r="850" ht="15.75" customHeight="1" s="25"/>
    <row r="851" ht="15.75" customHeight="1" s="25"/>
    <row r="852" ht="15.75" customHeight="1" s="25"/>
    <row r="853" ht="15.75" customHeight="1" s="25"/>
    <row r="854" ht="15.75" customHeight="1" s="25"/>
    <row r="855" ht="15.75" customHeight="1" s="25"/>
    <row r="856" ht="15.75" customHeight="1" s="25"/>
    <row r="857" ht="15.75" customHeight="1" s="25"/>
    <row r="858" ht="15.75" customHeight="1" s="25"/>
    <row r="859" ht="15.75" customHeight="1" s="25"/>
    <row r="860" ht="15.75" customHeight="1" s="25"/>
    <row r="861" ht="15.75" customHeight="1" s="25"/>
    <row r="862" ht="15.75" customHeight="1" s="25"/>
    <row r="863" ht="15.75" customHeight="1" s="25"/>
    <row r="864" ht="15.75" customHeight="1" s="25"/>
    <row r="865" ht="15.75" customHeight="1" s="25"/>
    <row r="866" ht="15.75" customHeight="1" s="25"/>
    <row r="867" ht="15.75" customHeight="1" s="25"/>
    <row r="868" ht="15.75" customHeight="1" s="25"/>
    <row r="869" ht="15.75" customHeight="1" s="25"/>
    <row r="870" ht="15.75" customHeight="1" s="25"/>
    <row r="871" ht="15.75" customHeight="1" s="25"/>
    <row r="872" ht="15.75" customHeight="1" s="25"/>
    <row r="873" ht="15.75" customHeight="1" s="25"/>
    <row r="874" ht="15.75" customHeight="1" s="25"/>
    <row r="875" ht="15.75" customHeight="1" s="25"/>
    <row r="876" ht="15.75" customHeight="1" s="25"/>
    <row r="877" ht="15.75" customHeight="1" s="25"/>
    <row r="878" ht="15.75" customHeight="1" s="25"/>
    <row r="879" ht="15.75" customHeight="1" s="25"/>
    <row r="880" ht="15.75" customHeight="1" s="25"/>
    <row r="881" ht="15.75" customHeight="1" s="25"/>
    <row r="882" ht="15.75" customHeight="1" s="25"/>
    <row r="883" ht="15.75" customHeight="1" s="25"/>
    <row r="884" ht="15.75" customHeight="1" s="25"/>
    <row r="885" ht="15.75" customHeight="1" s="25"/>
    <row r="886" ht="15.75" customHeight="1" s="25"/>
    <row r="887" ht="15.75" customHeight="1" s="25"/>
    <row r="888" ht="15.75" customHeight="1" s="25"/>
    <row r="889" ht="15.75" customHeight="1" s="25"/>
    <row r="890" ht="15.75" customHeight="1" s="25"/>
    <row r="891" ht="15.75" customHeight="1" s="25"/>
    <row r="892" ht="15.75" customHeight="1" s="25"/>
    <row r="893" ht="15.75" customHeight="1" s="25"/>
    <row r="894" ht="15.75" customHeight="1" s="25"/>
    <row r="895" ht="15.75" customHeight="1" s="25"/>
    <row r="896" ht="15.75" customHeight="1" s="25"/>
    <row r="897" ht="15.75" customHeight="1" s="25"/>
    <row r="898" ht="15.75" customHeight="1" s="25"/>
    <row r="899" ht="15.75" customHeight="1" s="25"/>
    <row r="900" ht="15.75" customHeight="1" s="25"/>
    <row r="901" ht="15.75" customHeight="1" s="25"/>
    <row r="902" ht="15.75" customHeight="1" s="25"/>
    <row r="903" ht="15.75" customHeight="1" s="25"/>
    <row r="904" ht="15.75" customHeight="1" s="25"/>
    <row r="905" ht="15.75" customHeight="1" s="25"/>
    <row r="906" ht="15.75" customHeight="1" s="25"/>
    <row r="907" ht="15.75" customHeight="1" s="25"/>
    <row r="908" ht="15.75" customHeight="1" s="25"/>
    <row r="909" ht="15.75" customHeight="1" s="25"/>
    <row r="910" ht="15.75" customHeight="1" s="25"/>
    <row r="911" ht="15.75" customHeight="1" s="25"/>
    <row r="912" ht="15.75" customHeight="1" s="25"/>
    <row r="913" ht="15.75" customHeight="1" s="25"/>
    <row r="914" ht="15.75" customHeight="1" s="25"/>
    <row r="915" ht="15.75" customHeight="1" s="25"/>
    <row r="916" ht="15.75" customHeight="1" s="25"/>
    <row r="917" ht="15.75" customHeight="1" s="25"/>
    <row r="918" ht="15.75" customHeight="1" s="25"/>
    <row r="919" ht="15.75" customHeight="1" s="25"/>
    <row r="920" ht="15.75" customHeight="1" s="25"/>
    <row r="921" ht="15.75" customHeight="1" s="25"/>
    <row r="922" ht="15.75" customHeight="1" s="25"/>
    <row r="923" ht="15.75" customHeight="1" s="25"/>
    <row r="924" ht="15.75" customHeight="1" s="25"/>
    <row r="925" ht="15.75" customHeight="1" s="25"/>
    <row r="926" ht="15.75" customHeight="1" s="25"/>
    <row r="927" ht="15.75" customHeight="1" s="25"/>
    <row r="928" ht="15.75" customHeight="1" s="25"/>
    <row r="929" ht="15.75" customHeight="1" s="25"/>
    <row r="930" ht="15.75" customHeight="1" s="25"/>
    <row r="931" ht="15.75" customHeight="1" s="25"/>
    <row r="932" ht="15.75" customHeight="1" s="25"/>
    <row r="933" ht="15.75" customHeight="1" s="25"/>
    <row r="934" ht="15.75" customHeight="1" s="25"/>
    <row r="935" ht="15.75" customHeight="1" s="25"/>
    <row r="936" ht="15.75" customHeight="1" s="25"/>
    <row r="937" ht="15.75" customHeight="1" s="25"/>
    <row r="938" ht="15.75" customHeight="1" s="25"/>
    <row r="939" ht="15.75" customHeight="1" s="25"/>
    <row r="940" ht="15.75" customHeight="1" s="25"/>
    <row r="941" ht="15.75" customHeight="1" s="25"/>
    <row r="942" ht="15.75" customHeight="1" s="25"/>
    <row r="943" ht="15.75" customHeight="1" s="25"/>
    <row r="944" ht="15.75" customHeight="1" s="25"/>
    <row r="945" ht="15.75" customHeight="1" s="25"/>
    <row r="946" ht="15.75" customHeight="1" s="25"/>
    <row r="947" ht="15.75" customHeight="1" s="25"/>
    <row r="948" ht="15.75" customHeight="1" s="25"/>
    <row r="949" ht="15.75" customHeight="1" s="25"/>
    <row r="950" ht="15.75" customHeight="1" s="25"/>
    <row r="951" ht="15.75" customHeight="1" s="25"/>
    <row r="952" ht="15.75" customHeight="1" s="25"/>
    <row r="953" ht="15.75" customHeight="1" s="25"/>
    <row r="954" ht="15.75" customHeight="1" s="25"/>
    <row r="955" ht="15.75" customHeight="1" s="25"/>
    <row r="956" ht="15.75" customHeight="1" s="25"/>
    <row r="957" ht="15.75" customHeight="1" s="25"/>
    <row r="958" ht="15.75" customHeight="1" s="25"/>
    <row r="959" ht="15.75" customHeight="1" s="25"/>
    <row r="960" ht="15.75" customHeight="1" s="25"/>
    <row r="961" ht="15.75" customHeight="1" s="25"/>
    <row r="962" ht="15.75" customHeight="1" s="25"/>
    <row r="963" ht="15.75" customHeight="1" s="25"/>
    <row r="964" ht="15.75" customHeight="1" s="25"/>
    <row r="965" ht="15.75" customHeight="1" s="25"/>
    <row r="966" ht="15.75" customHeight="1" s="25"/>
    <row r="967" ht="15.75" customHeight="1" s="25"/>
    <row r="968" ht="15.75" customHeight="1" s="25"/>
    <row r="969" ht="15.75" customHeight="1" s="25"/>
    <row r="970" ht="15.75" customHeight="1" s="25"/>
    <row r="971" ht="15.75" customHeight="1" s="25"/>
    <row r="972" ht="15.75" customHeight="1" s="25"/>
    <row r="973" ht="15.75" customHeight="1" s="25"/>
    <row r="974" ht="15.75" customHeight="1" s="25"/>
    <row r="975" ht="15.75" customHeight="1" s="25"/>
    <row r="976" ht="15.75" customHeight="1" s="25"/>
    <row r="977" ht="15.75" customHeight="1" s="25"/>
    <row r="978" ht="15.75" customHeight="1" s="25"/>
    <row r="979" ht="15.75" customHeight="1" s="25"/>
    <row r="980" ht="15.75" customHeight="1" s="25"/>
    <row r="981" ht="15.75" customHeight="1" s="25"/>
    <row r="982" ht="15.75" customHeight="1" s="25"/>
    <row r="983" ht="15.75" customHeight="1" s="25"/>
    <row r="984" ht="15.75" customHeight="1" s="25"/>
    <row r="985" ht="15.75" customHeight="1" s="25"/>
    <row r="986" ht="15.75" customHeight="1" s="25"/>
    <row r="987" ht="15.75" customHeight="1" s="25"/>
    <row r="988" ht="15.75" customHeight="1" s="25"/>
    <row r="989" ht="15.75" customHeight="1" s="25"/>
    <row r="990" ht="15.75" customHeight="1" s="25"/>
    <row r="991" ht="15.75" customHeight="1" s="25"/>
    <row r="992" ht="15.75" customHeight="1" s="25"/>
    <row r="993" ht="15.75" customHeight="1" s="25"/>
    <row r="994" ht="15.75" customHeight="1" s="25"/>
    <row r="995" ht="15.75" customHeight="1" s="25"/>
    <row r="996" ht="15.75" customHeight="1" s="25"/>
    <row r="997" ht="15.75" customHeight="1" s="25"/>
    <row r="998" ht="15.75" customHeight="1" s="25"/>
    <row r="999" ht="15.75" customHeight="1" s="25"/>
    <row r="1000" ht="15.75" customHeight="1" s="25"/>
  </sheetData>
  <mergeCells count="1">
    <mergeCell ref="A1:K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tabColor rgb="FF2E86C1"/>
    <outlinePr summaryBelow="1" summaryRight="1"/>
    <pageSetUpPr/>
  </sheetPr>
  <dimension ref="A1:L305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4.43" defaultRowHeight="15" customHeight="1"/>
  <cols>
    <col width="11" customWidth="1" style="25" min="1" max="1"/>
    <col width="22" customWidth="1" style="25" min="2" max="2"/>
    <col width="14" customWidth="1" style="25" min="3" max="3"/>
    <col width="26" customWidth="1" style="25" min="4" max="4"/>
    <col width="13" customWidth="1" style="25" min="5" max="5"/>
    <col width="10" customWidth="1" style="25" min="6" max="6"/>
    <col width="20" customWidth="1" style="25" min="7" max="7"/>
    <col width="16" customWidth="1" style="25" min="8" max="8"/>
    <col width="18" customWidth="1" style="25" min="9" max="9"/>
    <col width="20" customWidth="1" style="25" min="10" max="11"/>
    <col width="30" customWidth="1" style="25" min="12" max="12"/>
    <col width="8.710000000000001" customWidth="1" style="25" min="13" max="26"/>
  </cols>
  <sheetData>
    <row r="1" ht="39.75" customHeight="1" s="25">
      <c r="A1" s="26" t="inlineStr">
        <is>
          <t>BASE DE CLIENTES / LEADS CRM</t>
        </is>
      </c>
    </row>
    <row r="2" ht="21.75" customHeight="1" s="25">
      <c r="A2" s="4" t="inlineStr">
        <is>
          <t>ID Cliente</t>
        </is>
      </c>
      <c r="B2" s="4" t="inlineStr">
        <is>
          <t>Nombre Completo</t>
        </is>
      </c>
      <c r="C2" s="4" t="inlineStr">
        <is>
          <t>Teléfono</t>
        </is>
      </c>
      <c r="D2" s="4" t="inlineStr">
        <is>
          <t>Email</t>
        </is>
      </c>
      <c r="E2" s="4" t="inlineStr">
        <is>
          <t>Ciudad</t>
        </is>
      </c>
      <c r="F2" s="4" t="inlineStr">
        <is>
          <t>Proyecto Interés</t>
        </is>
      </c>
      <c r="G2" s="4" t="inlineStr">
        <is>
          <t>Fuente</t>
        </is>
      </c>
      <c r="H2" s="4" t="inlineStr">
        <is>
          <t>Asesor</t>
        </is>
      </c>
      <c r="I2" s="4" t="inlineStr">
        <is>
          <t>Estado Lead</t>
        </is>
      </c>
      <c r="J2" s="4" t="inlineStr">
        <is>
          <t>Fecha Primer Contacto</t>
        </is>
      </c>
      <c r="K2" s="4" t="inlineStr">
        <is>
          <t>Fecha Seguimiento</t>
        </is>
      </c>
      <c r="L2" s="4" t="inlineStr">
        <is>
          <t>Observaciones</t>
        </is>
      </c>
    </row>
    <row r="3" ht="18" customHeight="1" s="25">
      <c r="A3" t="inlineStr">
        <is>
          <t>CLI-0001</t>
        </is>
      </c>
      <c r="B3" t="inlineStr">
        <is>
          <t>Cristian Muñoz Gómez</t>
        </is>
      </c>
      <c r="C3" t="inlineStr">
        <is>
          <t>3244381905</t>
        </is>
      </c>
      <c r="D3" t="inlineStr">
        <is>
          <t>cristian.munoz30@outlook.com</t>
        </is>
      </c>
      <c r="E3" t="inlineStr">
        <is>
          <t>Envigado</t>
        </is>
      </c>
      <c r="F3" t="inlineStr">
        <is>
          <t>PRY-001</t>
        </is>
      </c>
      <c r="G3" t="inlineStr">
        <is>
          <t>Facebook</t>
        </is>
      </c>
      <c r="H3" t="inlineStr">
        <is>
          <t>Paula Arenas</t>
        </is>
      </c>
      <c r="I3" t="inlineStr">
        <is>
          <t>Ganado</t>
        </is>
      </c>
      <c r="J3" s="28" t="n">
        <v>45292</v>
      </c>
      <c r="K3" s="28" t="n">
        <v>45357</v>
      </c>
      <c r="L3" t="inlineStr">
        <is>
          <t>Compró Apto 1102 en Torres del Poblado</t>
        </is>
      </c>
    </row>
    <row r="4" ht="18" customHeight="1" s="25">
      <c r="A4" t="inlineStr">
        <is>
          <t>CLI-0002</t>
        </is>
      </c>
      <c r="B4" t="inlineStr">
        <is>
          <t>Daniela López Quintero</t>
        </is>
      </c>
      <c r="C4" t="inlineStr">
        <is>
          <t>3018944621</t>
        </is>
      </c>
      <c r="D4" t="inlineStr">
        <is>
          <t>daniela.lopez55@outlook.com</t>
        </is>
      </c>
      <c r="E4" t="inlineStr">
        <is>
          <t>Rionegro</t>
        </is>
      </c>
      <c r="F4" t="inlineStr">
        <is>
          <t>PRY-001</t>
        </is>
      </c>
      <c r="G4" t="inlineStr">
        <is>
          <t>Portal Web</t>
        </is>
      </c>
      <c r="H4" t="inlineStr">
        <is>
          <t>Andrés Torres</t>
        </is>
      </c>
      <c r="I4" t="inlineStr">
        <is>
          <t>Ganado</t>
        </is>
      </c>
      <c r="J4" s="28" t="n">
        <v>45292</v>
      </c>
      <c r="K4" s="28" t="n">
        <v>45357</v>
      </c>
      <c r="L4" t="inlineStr">
        <is>
          <t>Compró Apto 303 en Torres del Poblado</t>
        </is>
      </c>
    </row>
    <row r="5" ht="18" customHeight="1" s="25">
      <c r="A5" t="inlineStr">
        <is>
          <t>CLI-0003</t>
        </is>
      </c>
      <c r="B5" t="inlineStr">
        <is>
          <t>Valeria Montoya Montes</t>
        </is>
      </c>
      <c r="C5" t="inlineStr">
        <is>
          <t>3229349197</t>
        </is>
      </c>
      <c r="D5" t="inlineStr">
        <is>
          <t>valeria.montoya28@outlook.com</t>
        </is>
      </c>
      <c r="E5" t="inlineStr">
        <is>
          <t>Medellín</t>
        </is>
      </c>
      <c r="F5" t="inlineStr">
        <is>
          <t>PRY-001</t>
        </is>
      </c>
      <c r="G5" t="inlineStr">
        <is>
          <t>Referido</t>
        </is>
      </c>
      <c r="H5" t="inlineStr">
        <is>
          <t>Juliana Vélez</t>
        </is>
      </c>
      <c r="I5" t="inlineStr">
        <is>
          <t>Ganado</t>
        </is>
      </c>
      <c r="J5" s="28" t="n">
        <v>45292</v>
      </c>
      <c r="K5" s="28" t="n">
        <v>45357</v>
      </c>
      <c r="L5" t="inlineStr">
        <is>
          <t>Compró Apto 1601 en Torres del Poblado</t>
        </is>
      </c>
    </row>
    <row r="6" ht="18" customHeight="1" s="25">
      <c r="A6" t="inlineStr">
        <is>
          <t>CLI-0004</t>
        </is>
      </c>
      <c r="B6" t="inlineStr">
        <is>
          <t>Isabel Cardona Quintero</t>
        </is>
      </c>
      <c r="C6" t="inlineStr">
        <is>
          <t>3234385063</t>
        </is>
      </c>
      <c r="D6" t="inlineStr">
        <is>
          <t>isabel.cardona22@yahoo.com</t>
        </is>
      </c>
      <c r="E6" t="inlineStr">
        <is>
          <t>Itagüí</t>
        </is>
      </c>
      <c r="F6" t="inlineStr">
        <is>
          <t>PRY-001</t>
        </is>
      </c>
      <c r="G6" t="inlineStr">
        <is>
          <t>Llamada directa</t>
        </is>
      </c>
      <c r="H6" t="inlineStr">
        <is>
          <t>Luis Bedoya</t>
        </is>
      </c>
      <c r="I6" t="inlineStr">
        <is>
          <t>Ganado</t>
        </is>
      </c>
      <c r="J6" s="28" t="n">
        <v>45292</v>
      </c>
      <c r="K6" s="28" t="n">
        <v>45357</v>
      </c>
      <c r="L6" t="inlineStr">
        <is>
          <t>Compró Apto 201 en Torres del Poblado</t>
        </is>
      </c>
    </row>
    <row r="7" ht="18" customHeight="1" s="25">
      <c r="A7" t="inlineStr">
        <is>
          <t>CLI-0005</t>
        </is>
      </c>
      <c r="B7" t="inlineStr">
        <is>
          <t>Verónica Higuita Peláez</t>
        </is>
      </c>
      <c r="C7" t="inlineStr">
        <is>
          <t>3238901493</t>
        </is>
      </c>
      <c r="D7" t="inlineStr">
        <is>
          <t>veronica.higuita87@gmail.com</t>
        </is>
      </c>
      <c r="E7" t="inlineStr">
        <is>
          <t>Sabaneta</t>
        </is>
      </c>
      <c r="F7" t="inlineStr">
        <is>
          <t>PRY-001</t>
        </is>
      </c>
      <c r="G7" t="inlineStr">
        <is>
          <t>Referido</t>
        </is>
      </c>
      <c r="H7" t="inlineStr">
        <is>
          <t>Sofía Prada</t>
        </is>
      </c>
      <c r="I7" t="inlineStr">
        <is>
          <t>Ganado</t>
        </is>
      </c>
      <c r="J7" s="28" t="n">
        <v>45292</v>
      </c>
      <c r="K7" s="28" t="n">
        <v>45372</v>
      </c>
      <c r="L7" t="inlineStr">
        <is>
          <t>Compró Apto 804 en Torres del Poblado</t>
        </is>
      </c>
    </row>
    <row r="8" ht="18" customHeight="1" s="25">
      <c r="A8" t="inlineStr">
        <is>
          <t>CLI-0006</t>
        </is>
      </c>
      <c r="B8" t="inlineStr">
        <is>
          <t>Isabel Vélez Palacio</t>
        </is>
      </c>
      <c r="C8" t="inlineStr">
        <is>
          <t>3107179436</t>
        </is>
      </c>
      <c r="D8" t="inlineStr">
        <is>
          <t>isabel.velez41@yahoo.com</t>
        </is>
      </c>
      <c r="E8" t="inlineStr">
        <is>
          <t>Medellín</t>
        </is>
      </c>
      <c r="F8" t="inlineStr">
        <is>
          <t>PRY-001</t>
        </is>
      </c>
      <c r="G8" t="inlineStr">
        <is>
          <t>Portal Web</t>
        </is>
      </c>
      <c r="H8" t="inlineStr">
        <is>
          <t>Sofía Prada</t>
        </is>
      </c>
      <c r="I8" t="inlineStr">
        <is>
          <t>Ganado</t>
        </is>
      </c>
      <c r="J8" s="28" t="n">
        <v>45292</v>
      </c>
      <c r="K8" s="28" t="n">
        <v>45392</v>
      </c>
      <c r="L8" t="inlineStr">
        <is>
          <t>Compró Apto 1106 en Torres del Poblado</t>
        </is>
      </c>
    </row>
    <row r="9" ht="18" customHeight="1" s="25">
      <c r="A9" t="inlineStr">
        <is>
          <t>CLI-0007</t>
        </is>
      </c>
      <c r="B9" t="inlineStr">
        <is>
          <t>Camila Ochoa Pérez</t>
        </is>
      </c>
      <c r="C9" t="inlineStr">
        <is>
          <t>3011743562</t>
        </is>
      </c>
      <c r="D9" t="inlineStr">
        <is>
          <t>camila.ochoa43@hotmail.com</t>
        </is>
      </c>
      <c r="E9" t="inlineStr">
        <is>
          <t>Medellín</t>
        </is>
      </c>
      <c r="F9" t="inlineStr">
        <is>
          <t>PRY-001</t>
        </is>
      </c>
      <c r="G9" t="inlineStr">
        <is>
          <t>Referido</t>
        </is>
      </c>
      <c r="H9" t="inlineStr">
        <is>
          <t>Juliana Vélez</t>
        </is>
      </c>
      <c r="I9" t="inlineStr">
        <is>
          <t>Ganado</t>
        </is>
      </c>
      <c r="J9" s="28" t="n">
        <v>45292</v>
      </c>
      <c r="K9" s="28" t="n">
        <v>45395</v>
      </c>
      <c r="L9" t="inlineStr">
        <is>
          <t>Compró Apto 1504 en Torres del Poblado</t>
        </is>
      </c>
    </row>
    <row r="10" ht="18" customHeight="1" s="25">
      <c r="A10" t="inlineStr">
        <is>
          <t>CLI-0008</t>
        </is>
      </c>
      <c r="B10" t="inlineStr">
        <is>
          <t>Ximena Salazar Pérez</t>
        </is>
      </c>
      <c r="C10" t="inlineStr">
        <is>
          <t>3238687979</t>
        </is>
      </c>
      <c r="D10" t="inlineStr">
        <is>
          <t>ximena.salazar20@yahoo.com</t>
        </is>
      </c>
      <c r="E10" t="inlineStr">
        <is>
          <t>Medellín</t>
        </is>
      </c>
      <c r="F10" t="inlineStr">
        <is>
          <t>PRY-001</t>
        </is>
      </c>
      <c r="G10" t="inlineStr">
        <is>
          <t>Portal Web</t>
        </is>
      </c>
      <c r="H10" t="inlineStr">
        <is>
          <t>Juliana Vélez</t>
        </is>
      </c>
      <c r="I10" t="inlineStr">
        <is>
          <t>Ganado</t>
        </is>
      </c>
      <c r="J10" s="28" t="n">
        <v>45292</v>
      </c>
      <c r="K10" s="28" t="n">
        <v>45401</v>
      </c>
      <c r="L10" t="inlineStr">
        <is>
          <t>Compró Apto 1405 en Torres del Poblado</t>
        </is>
      </c>
    </row>
    <row r="11" ht="18" customHeight="1" s="25">
      <c r="A11" t="inlineStr">
        <is>
          <t>CLI-0009</t>
        </is>
      </c>
      <c r="B11" t="inlineStr">
        <is>
          <t>Alejandro Gómez Ochoa</t>
        </is>
      </c>
      <c r="C11" t="inlineStr">
        <is>
          <t>3176130229</t>
        </is>
      </c>
      <c r="D11" t="inlineStr">
        <is>
          <t>alejandro.gomez43@hotmail.com</t>
        </is>
      </c>
      <c r="E11" t="inlineStr">
        <is>
          <t>Sabaneta</t>
        </is>
      </c>
      <c r="F11" t="inlineStr">
        <is>
          <t>PRY-001</t>
        </is>
      </c>
      <c r="G11" t="inlineStr">
        <is>
          <t>Referido</t>
        </is>
      </c>
      <c r="H11" t="inlineStr">
        <is>
          <t>Ana Quintero</t>
        </is>
      </c>
      <c r="I11" t="inlineStr">
        <is>
          <t>Ganado</t>
        </is>
      </c>
      <c r="J11" s="28" t="n">
        <v>45292</v>
      </c>
      <c r="K11" s="28" t="n">
        <v>45408</v>
      </c>
      <c r="L11" t="inlineStr">
        <is>
          <t>Compró Apto 601 en Torres del Poblado</t>
        </is>
      </c>
    </row>
    <row r="12" ht="18" customHeight="1" s="25">
      <c r="A12" t="inlineStr">
        <is>
          <t>CLI-0010</t>
        </is>
      </c>
      <c r="B12" t="inlineStr">
        <is>
          <t>Liliana Bedoya Echeverri</t>
        </is>
      </c>
      <c r="C12" t="inlineStr">
        <is>
          <t>3005001773</t>
        </is>
      </c>
      <c r="D12" t="inlineStr">
        <is>
          <t>liliana.bedoya94@hotmail.com</t>
        </is>
      </c>
      <c r="E12" t="inlineStr">
        <is>
          <t>Medellín</t>
        </is>
      </c>
      <c r="F12" t="inlineStr">
        <is>
          <t>PRY-001</t>
        </is>
      </c>
      <c r="G12" t="inlineStr">
        <is>
          <t>Referido</t>
        </is>
      </c>
      <c r="H12" t="inlineStr">
        <is>
          <t>Luis Bedoya</t>
        </is>
      </c>
      <c r="I12" t="inlineStr">
        <is>
          <t>Perdido</t>
        </is>
      </c>
      <c r="J12" s="28" t="n">
        <v>45292</v>
      </c>
      <c r="K12" s="28" t="n">
        <v>45327</v>
      </c>
      <c r="L12" t="inlineStr">
        <is>
          <t>No volvió a responder</t>
        </is>
      </c>
    </row>
    <row r="13" ht="18" customHeight="1" s="25">
      <c r="A13" t="inlineStr">
        <is>
          <t>CLI-0011</t>
        </is>
      </c>
      <c r="B13" t="inlineStr">
        <is>
          <t>Isabel Echeverri Marín</t>
        </is>
      </c>
      <c r="C13" t="inlineStr">
        <is>
          <t>3008515183</t>
        </is>
      </c>
      <c r="D13" t="inlineStr">
        <is>
          <t>isabel.echeverri49@hotmail.com</t>
        </is>
      </c>
      <c r="E13" t="inlineStr">
        <is>
          <t>Medellín</t>
        </is>
      </c>
      <c r="F13" t="inlineStr">
        <is>
          <t>PRY-001</t>
        </is>
      </c>
      <c r="G13" t="inlineStr">
        <is>
          <t>Portal Web</t>
        </is>
      </c>
      <c r="H13" t="inlineStr">
        <is>
          <t>Miguel Salazar</t>
        </is>
      </c>
      <c r="I13" t="inlineStr">
        <is>
          <t>Perdido</t>
        </is>
      </c>
      <c r="J13" s="28" t="n">
        <v>45292</v>
      </c>
      <c r="K13" s="28" t="n">
        <v>45406</v>
      </c>
      <c r="L13" t="inlineStr">
        <is>
          <t>Crédito no aprobado</t>
        </is>
      </c>
    </row>
    <row r="14" ht="18" customHeight="1" s="25">
      <c r="A14" t="inlineStr">
        <is>
          <t>CLI-0012</t>
        </is>
      </c>
      <c r="B14" t="inlineStr">
        <is>
          <t>Ricardo Espinosa Palacio</t>
        </is>
      </c>
      <c r="C14" t="inlineStr">
        <is>
          <t>3146738206</t>
        </is>
      </c>
      <c r="D14" t="inlineStr">
        <is>
          <t>ricardo.espinosa42@hotmail.com</t>
        </is>
      </c>
      <c r="E14" t="inlineStr">
        <is>
          <t>Itagüí</t>
        </is>
      </c>
      <c r="F14" t="inlineStr">
        <is>
          <t>PRY-002</t>
        </is>
      </c>
      <c r="G14" t="inlineStr">
        <is>
          <t>Feria Inmobiliaria</t>
        </is>
      </c>
      <c r="H14" t="inlineStr">
        <is>
          <t>Miguel Salazar</t>
        </is>
      </c>
      <c r="I14" t="inlineStr">
        <is>
          <t>Ganado</t>
        </is>
      </c>
      <c r="J14" s="28" t="n">
        <v>45292</v>
      </c>
      <c r="K14" s="28" t="n">
        <v>45388</v>
      </c>
      <c r="L14" t="inlineStr">
        <is>
          <t>Compró Casa 7 en Reserva Santa Elena</t>
        </is>
      </c>
    </row>
    <row r="15" ht="18" customHeight="1" s="25">
      <c r="A15" t="inlineStr">
        <is>
          <t>CLI-0013</t>
        </is>
      </c>
      <c r="B15" t="inlineStr">
        <is>
          <t>Alejandro Hernández Palacio</t>
        </is>
      </c>
      <c r="C15" t="inlineStr">
        <is>
          <t>3247440870</t>
        </is>
      </c>
      <c r="D15" t="inlineStr">
        <is>
          <t>alejandro.hernandez56@outlook.com</t>
        </is>
      </c>
      <c r="E15" t="inlineStr">
        <is>
          <t>Medellín</t>
        </is>
      </c>
      <c r="F15" t="inlineStr">
        <is>
          <t>PRY-002</t>
        </is>
      </c>
      <c r="G15" t="inlineStr">
        <is>
          <t>Facebook</t>
        </is>
      </c>
      <c r="H15" t="inlineStr">
        <is>
          <t>Juliana Vélez</t>
        </is>
      </c>
      <c r="I15" t="inlineStr">
        <is>
          <t>Ganado</t>
        </is>
      </c>
      <c r="J15" s="28" t="n">
        <v>45292</v>
      </c>
      <c r="K15" s="28" t="n">
        <v>45406</v>
      </c>
      <c r="L15" t="inlineStr">
        <is>
          <t>Compró Casa 2 en Reserva Santa Elena</t>
        </is>
      </c>
    </row>
    <row r="16" ht="18" customHeight="1" s="25">
      <c r="A16" t="inlineStr">
        <is>
          <t>CLI-0014</t>
        </is>
      </c>
      <c r="B16" t="inlineStr">
        <is>
          <t>Santiago Arango Ríos</t>
        </is>
      </c>
      <c r="C16" t="inlineStr">
        <is>
          <t>3007893584</t>
        </is>
      </c>
      <c r="D16" t="inlineStr">
        <is>
          <t>santiago.arango85@gmail.com</t>
        </is>
      </c>
      <c r="E16" t="inlineStr">
        <is>
          <t>Medellín</t>
        </is>
      </c>
      <c r="F16" t="inlineStr">
        <is>
          <t>PRY-002</t>
        </is>
      </c>
      <c r="G16" t="inlineStr">
        <is>
          <t>Facebook</t>
        </is>
      </c>
      <c r="H16" t="inlineStr">
        <is>
          <t>Luis Bedoya</t>
        </is>
      </c>
      <c r="I16" t="inlineStr">
        <is>
          <t>Ganado</t>
        </is>
      </c>
      <c r="J16" s="28" t="n">
        <v>45292</v>
      </c>
      <c r="K16" s="28" t="n">
        <v>45424</v>
      </c>
      <c r="L16" t="inlineStr">
        <is>
          <t>Compró Casa 24 en Reserva Santa Elena</t>
        </is>
      </c>
    </row>
    <row r="17" ht="18" customHeight="1" s="25">
      <c r="A17" t="inlineStr">
        <is>
          <t>CLI-0015</t>
        </is>
      </c>
      <c r="B17" t="inlineStr">
        <is>
          <t>Gabriel Quintero Uribe</t>
        </is>
      </c>
      <c r="C17" t="inlineStr">
        <is>
          <t>3172528264</t>
        </is>
      </c>
      <c r="D17" t="inlineStr">
        <is>
          <t>gabriel.quintero7@outlook.com</t>
        </is>
      </c>
      <c r="E17" t="inlineStr">
        <is>
          <t>Medellín</t>
        </is>
      </c>
      <c r="F17" t="inlineStr">
        <is>
          <t>PRY-002</t>
        </is>
      </c>
      <c r="G17" t="inlineStr">
        <is>
          <t>Feria Inmobiliaria</t>
        </is>
      </c>
      <c r="H17" t="inlineStr">
        <is>
          <t>Juliana Vélez</t>
        </is>
      </c>
      <c r="I17" t="inlineStr">
        <is>
          <t>Perdido</t>
        </is>
      </c>
      <c r="J17" s="28" t="n">
        <v>45292</v>
      </c>
      <c r="K17" s="28" t="n">
        <v>45384</v>
      </c>
      <c r="L17" t="inlineStr">
        <is>
          <t>Crédito no aprobado</t>
        </is>
      </c>
    </row>
    <row r="18" ht="18" customHeight="1" s="25">
      <c r="A18" t="inlineStr">
        <is>
          <t>CLI-0016</t>
        </is>
      </c>
      <c r="B18" t="inlineStr">
        <is>
          <t>Mateo Ríos Cifuentes</t>
        </is>
      </c>
      <c r="C18" t="inlineStr">
        <is>
          <t>3015541833</t>
        </is>
      </c>
      <c r="D18" t="inlineStr">
        <is>
          <t>mateo.rios13@gmail.com</t>
        </is>
      </c>
      <c r="E18" t="inlineStr">
        <is>
          <t>Envigado</t>
        </is>
      </c>
      <c r="F18" t="inlineStr">
        <is>
          <t>PRY-003</t>
        </is>
      </c>
      <c r="G18" t="inlineStr">
        <is>
          <t>Feria Inmobiliaria</t>
        </is>
      </c>
      <c r="H18" t="inlineStr">
        <is>
          <t>Paula Arenas</t>
        </is>
      </c>
      <c r="I18" t="inlineStr">
        <is>
          <t>Ganado</t>
        </is>
      </c>
      <c r="J18" s="28" t="n">
        <v>45292</v>
      </c>
      <c r="K18" s="28" t="n">
        <v>45347</v>
      </c>
      <c r="L18" t="inlineStr">
        <is>
          <t>Compró Apto 304 en Conecta Laureles</t>
        </is>
      </c>
    </row>
    <row r="19" ht="18" customHeight="1" s="25">
      <c r="A19" t="inlineStr">
        <is>
          <t>CLI-0017</t>
        </is>
      </c>
      <c r="B19" t="inlineStr">
        <is>
          <t>Jhon Bedoya Echeverri</t>
        </is>
      </c>
      <c r="C19" t="inlineStr">
        <is>
          <t>3015742589</t>
        </is>
      </c>
      <c r="D19" t="inlineStr">
        <is>
          <t>jhon.bedoya79@hotmail.com</t>
        </is>
      </c>
      <c r="E19" t="inlineStr">
        <is>
          <t>Itagüí</t>
        </is>
      </c>
      <c r="F19" t="inlineStr">
        <is>
          <t>PRY-003</t>
        </is>
      </c>
      <c r="G19" t="inlineStr">
        <is>
          <t>Llamada directa</t>
        </is>
      </c>
      <c r="H19" t="inlineStr">
        <is>
          <t>Andrés Torres</t>
        </is>
      </c>
      <c r="I19" t="inlineStr">
        <is>
          <t>Ganado</t>
        </is>
      </c>
      <c r="J19" s="28" t="n">
        <v>45292</v>
      </c>
      <c r="K19" s="28" t="n">
        <v>45347</v>
      </c>
      <c r="L19" t="inlineStr">
        <is>
          <t>Compró Apto 2001 en Conecta Laureles</t>
        </is>
      </c>
    </row>
    <row r="20" ht="18" customHeight="1" s="25">
      <c r="A20" t="inlineStr">
        <is>
          <t>CLI-0018</t>
        </is>
      </c>
      <c r="B20" t="inlineStr">
        <is>
          <t>Juliana Correa López</t>
        </is>
      </c>
      <c r="C20" t="inlineStr">
        <is>
          <t>3109701881</t>
        </is>
      </c>
      <c r="D20" t="inlineStr">
        <is>
          <t>juliana.correa17@outlook.com</t>
        </is>
      </c>
      <c r="E20" t="inlineStr">
        <is>
          <t>Medellín</t>
        </is>
      </c>
      <c r="F20" t="inlineStr">
        <is>
          <t>PRY-003</t>
        </is>
      </c>
      <c r="G20" t="inlineStr">
        <is>
          <t>Llamada directa</t>
        </is>
      </c>
      <c r="H20" t="inlineStr">
        <is>
          <t>Juliana Vélez</t>
        </is>
      </c>
      <c r="I20" t="inlineStr">
        <is>
          <t>Ganado</t>
        </is>
      </c>
      <c r="J20" s="28" t="n">
        <v>45292</v>
      </c>
      <c r="K20" s="28" t="n">
        <v>45347</v>
      </c>
      <c r="L20" t="inlineStr">
        <is>
          <t>Compró Apto 407 en Conecta Laureles</t>
        </is>
      </c>
    </row>
    <row r="21" ht="18" customHeight="1" s="25">
      <c r="A21" t="inlineStr">
        <is>
          <t>CLI-0019</t>
        </is>
      </c>
      <c r="B21" t="inlineStr">
        <is>
          <t>Hernán Duque Cardona</t>
        </is>
      </c>
      <c r="C21" t="inlineStr">
        <is>
          <t>3006235968</t>
        </is>
      </c>
      <c r="D21" t="inlineStr">
        <is>
          <t>hernan.duque82@gmail.com</t>
        </is>
      </c>
      <c r="E21" t="inlineStr">
        <is>
          <t>Medellín</t>
        </is>
      </c>
      <c r="F21" t="inlineStr">
        <is>
          <t>PRY-003</t>
        </is>
      </c>
      <c r="G21" t="inlineStr">
        <is>
          <t>Referido</t>
        </is>
      </c>
      <c r="H21" t="inlineStr">
        <is>
          <t>Miguel Salazar</t>
        </is>
      </c>
      <c r="I21" t="inlineStr">
        <is>
          <t>Ganado</t>
        </is>
      </c>
      <c r="J21" s="28" t="n">
        <v>45292</v>
      </c>
      <c r="K21" s="28" t="n">
        <v>45347</v>
      </c>
      <c r="L21" t="inlineStr">
        <is>
          <t>Compró Apto 1001 en Conecta Laureles</t>
        </is>
      </c>
    </row>
    <row r="22" ht="18" customHeight="1" s="25">
      <c r="A22" t="inlineStr">
        <is>
          <t>CLI-0020</t>
        </is>
      </c>
      <c r="B22" t="inlineStr">
        <is>
          <t>Rodrigo Echeverri Jaramillo</t>
        </is>
      </c>
      <c r="C22" t="inlineStr">
        <is>
          <t>3233191854</t>
        </is>
      </c>
      <c r="D22" t="inlineStr">
        <is>
          <t>rodrigo.echeverri48@gmail.com</t>
        </is>
      </c>
      <c r="E22" t="inlineStr">
        <is>
          <t>Medellín</t>
        </is>
      </c>
      <c r="F22" t="inlineStr">
        <is>
          <t>PRY-003</t>
        </is>
      </c>
      <c r="G22" t="inlineStr">
        <is>
          <t>Facebook</t>
        </is>
      </c>
      <c r="H22" t="inlineStr">
        <is>
          <t>Miguel Salazar</t>
        </is>
      </c>
      <c r="I22" t="inlineStr">
        <is>
          <t>Ganado</t>
        </is>
      </c>
      <c r="J22" s="28" t="n">
        <v>45292</v>
      </c>
      <c r="K22" s="28" t="n">
        <v>45347</v>
      </c>
      <c r="L22" t="inlineStr">
        <is>
          <t>Compró Apto 1703 en Conecta Laureles</t>
        </is>
      </c>
    </row>
    <row r="23" ht="18" customHeight="1" s="25">
      <c r="A23" t="inlineStr">
        <is>
          <t>CLI-0021</t>
        </is>
      </c>
      <c r="B23" t="inlineStr">
        <is>
          <t>David Espinosa Giraldo</t>
        </is>
      </c>
      <c r="C23" t="inlineStr">
        <is>
          <t>3016690555</t>
        </is>
      </c>
      <c r="D23" t="inlineStr">
        <is>
          <t>david.espinosa81@hotmail.com</t>
        </is>
      </c>
      <c r="E23" t="inlineStr">
        <is>
          <t>Medellín</t>
        </is>
      </c>
      <c r="F23" t="inlineStr">
        <is>
          <t>PRY-003</t>
        </is>
      </c>
      <c r="G23" t="inlineStr">
        <is>
          <t>Portal Web</t>
        </is>
      </c>
      <c r="H23" t="inlineStr">
        <is>
          <t>Juliana Vélez</t>
        </is>
      </c>
      <c r="I23" t="inlineStr">
        <is>
          <t>Ganado</t>
        </is>
      </c>
      <c r="J23" s="28" t="n">
        <v>45292</v>
      </c>
      <c r="K23" s="28" t="n">
        <v>45353</v>
      </c>
      <c r="L23" t="inlineStr">
        <is>
          <t>Compró Apto 303 en Conecta Laureles</t>
        </is>
      </c>
    </row>
    <row r="24" ht="18" customHeight="1" s="25">
      <c r="A24" t="inlineStr">
        <is>
          <t>CLI-0022</t>
        </is>
      </c>
      <c r="B24" t="inlineStr">
        <is>
          <t>Catalina Higuita Gaviria</t>
        </is>
      </c>
      <c r="C24" t="inlineStr">
        <is>
          <t>3105129380</t>
        </is>
      </c>
      <c r="D24" t="inlineStr">
        <is>
          <t>catalina.higuita83@gmail.com</t>
        </is>
      </c>
      <c r="E24" t="inlineStr">
        <is>
          <t>Sabaneta</t>
        </is>
      </c>
      <c r="F24" t="inlineStr">
        <is>
          <t>PRY-003</t>
        </is>
      </c>
      <c r="G24" t="inlineStr">
        <is>
          <t>Portal Web</t>
        </is>
      </c>
      <c r="H24" t="inlineStr">
        <is>
          <t>Sofía Prada</t>
        </is>
      </c>
      <c r="I24" t="inlineStr">
        <is>
          <t>Ganado</t>
        </is>
      </c>
      <c r="J24" s="28" t="n">
        <v>45292</v>
      </c>
      <c r="K24" s="28" t="n">
        <v>45362</v>
      </c>
      <c r="L24" t="inlineStr">
        <is>
          <t>Compró Apto 2307 en Conecta Laureles</t>
        </is>
      </c>
    </row>
    <row r="25" ht="18" customHeight="1" s="25">
      <c r="A25" t="inlineStr">
        <is>
          <t>CLI-0023</t>
        </is>
      </c>
      <c r="B25" t="inlineStr">
        <is>
          <t>Simón Palacio Echeverri</t>
        </is>
      </c>
      <c r="C25" t="inlineStr">
        <is>
          <t>3046301924</t>
        </is>
      </c>
      <c r="D25" t="inlineStr">
        <is>
          <t>simon.palacio82@gmail.com</t>
        </is>
      </c>
      <c r="E25" t="inlineStr">
        <is>
          <t>Medellín</t>
        </is>
      </c>
      <c r="F25" t="inlineStr">
        <is>
          <t>PRY-003</t>
        </is>
      </c>
      <c r="G25" t="inlineStr">
        <is>
          <t>Portal Web</t>
        </is>
      </c>
      <c r="H25" t="inlineStr">
        <is>
          <t>Miguel Salazar</t>
        </is>
      </c>
      <c r="I25" t="inlineStr">
        <is>
          <t>Ganado</t>
        </is>
      </c>
      <c r="J25" s="28" t="n">
        <v>45292</v>
      </c>
      <c r="K25" s="28" t="n">
        <v>45365</v>
      </c>
      <c r="L25" t="inlineStr">
        <is>
          <t>Compró Apto 801 en Conecta Laureles</t>
        </is>
      </c>
    </row>
    <row r="26" ht="18" customHeight="1" s="25">
      <c r="A26" t="inlineStr">
        <is>
          <t>CLI-0024</t>
        </is>
      </c>
      <c r="B26" t="inlineStr">
        <is>
          <t>José Giraldo Álvarez</t>
        </is>
      </c>
      <c r="C26" t="inlineStr">
        <is>
          <t>3008507152</t>
        </is>
      </c>
      <c r="D26" t="inlineStr">
        <is>
          <t>jose.giraldo65@gmail.com</t>
        </is>
      </c>
      <c r="E26" t="inlineStr">
        <is>
          <t>Medellín</t>
        </is>
      </c>
      <c r="F26" t="inlineStr">
        <is>
          <t>PRY-003</t>
        </is>
      </c>
      <c r="G26" t="inlineStr">
        <is>
          <t>Feria Inmobiliaria</t>
        </is>
      </c>
      <c r="H26" t="inlineStr">
        <is>
          <t>Andrés Torres</t>
        </is>
      </c>
      <c r="I26" t="inlineStr">
        <is>
          <t>Ganado</t>
        </is>
      </c>
      <c r="J26" s="28" t="n">
        <v>45292</v>
      </c>
      <c r="K26" s="28" t="n">
        <v>45377</v>
      </c>
      <c r="L26" t="inlineStr">
        <is>
          <t>Compró Apto 606 en Conecta Laureles</t>
        </is>
      </c>
    </row>
    <row r="27" ht="18" customHeight="1" s="25">
      <c r="A27" t="inlineStr">
        <is>
          <t>CLI-0025</t>
        </is>
      </c>
      <c r="B27" t="inlineStr">
        <is>
          <t>Jhon Quintero Cifuentes</t>
        </is>
      </c>
      <c r="C27" t="inlineStr">
        <is>
          <t>3224127281</t>
        </is>
      </c>
      <c r="D27" t="inlineStr">
        <is>
          <t>jhon.quintero72@hotmail.com</t>
        </is>
      </c>
      <c r="E27" t="inlineStr">
        <is>
          <t>Medellín</t>
        </is>
      </c>
      <c r="F27" t="inlineStr">
        <is>
          <t>PRY-003</t>
        </is>
      </c>
      <c r="G27" t="inlineStr">
        <is>
          <t>Portal Web</t>
        </is>
      </c>
      <c r="H27" t="inlineStr">
        <is>
          <t>Sofía Prada</t>
        </is>
      </c>
      <c r="I27" t="inlineStr">
        <is>
          <t>Ganado</t>
        </is>
      </c>
      <c r="J27" s="28" t="n">
        <v>45292</v>
      </c>
      <c r="K27" s="28" t="n">
        <v>45381</v>
      </c>
      <c r="L27" t="inlineStr">
        <is>
          <t>Compró Apto 2304 en Conecta Laureles</t>
        </is>
      </c>
    </row>
    <row r="28" ht="18" customHeight="1" s="25">
      <c r="A28" t="inlineStr">
        <is>
          <t>CLI-0026</t>
        </is>
      </c>
      <c r="B28" t="inlineStr">
        <is>
          <t>Gloria Escobar Cardona</t>
        </is>
      </c>
      <c r="C28" t="inlineStr">
        <is>
          <t>3178450696</t>
        </is>
      </c>
      <c r="D28" t="inlineStr">
        <is>
          <t>gloria.escobar12@hotmail.com</t>
        </is>
      </c>
      <c r="E28" t="inlineStr">
        <is>
          <t>Medellín</t>
        </is>
      </c>
      <c r="F28" t="inlineStr">
        <is>
          <t>PRY-003</t>
        </is>
      </c>
      <c r="G28" t="inlineStr">
        <is>
          <t>Portal Web</t>
        </is>
      </c>
      <c r="H28" t="inlineStr">
        <is>
          <t>Ana Quintero</t>
        </is>
      </c>
      <c r="I28" t="inlineStr">
        <is>
          <t>Ganado</t>
        </is>
      </c>
      <c r="J28" s="28" t="n">
        <v>45292</v>
      </c>
      <c r="K28" s="28" t="n">
        <v>45383</v>
      </c>
      <c r="L28" t="inlineStr">
        <is>
          <t>Compró Apto 707 en Conecta Laureles</t>
        </is>
      </c>
    </row>
    <row r="29" ht="18" customHeight="1" s="25">
      <c r="A29" t="inlineStr">
        <is>
          <t>CLI-0027</t>
        </is>
      </c>
      <c r="B29" t="inlineStr">
        <is>
          <t>Mónica Montes Cano</t>
        </is>
      </c>
      <c r="C29" t="inlineStr">
        <is>
          <t>3234539469</t>
        </is>
      </c>
      <c r="D29" t="inlineStr">
        <is>
          <t>monica.montes29@outlook.com</t>
        </is>
      </c>
      <c r="E29" t="inlineStr">
        <is>
          <t>Medellín</t>
        </is>
      </c>
      <c r="F29" t="inlineStr">
        <is>
          <t>PRY-003</t>
        </is>
      </c>
      <c r="G29" t="inlineStr">
        <is>
          <t>Portal Web</t>
        </is>
      </c>
      <c r="H29" t="inlineStr">
        <is>
          <t>Luis Bedoya</t>
        </is>
      </c>
      <c r="I29" t="inlineStr">
        <is>
          <t>Ganado</t>
        </is>
      </c>
      <c r="J29" s="28" t="n">
        <v>45292</v>
      </c>
      <c r="K29" s="28" t="n">
        <v>45405</v>
      </c>
      <c r="L29" t="inlineStr">
        <is>
          <t>Compró Apto 1902 en Conecta Laureles</t>
        </is>
      </c>
    </row>
    <row r="30" ht="18" customHeight="1" s="25">
      <c r="A30" t="inlineStr">
        <is>
          <t>CLI-0028</t>
        </is>
      </c>
      <c r="B30" t="inlineStr">
        <is>
          <t>Diego López Vásquez</t>
        </is>
      </c>
      <c r="C30" t="inlineStr">
        <is>
          <t>3225284899</t>
        </is>
      </c>
      <c r="D30" t="inlineStr">
        <is>
          <t>diego.lopez27@yahoo.com</t>
        </is>
      </c>
      <c r="E30" t="inlineStr">
        <is>
          <t>Medellín</t>
        </is>
      </c>
      <c r="F30" t="inlineStr">
        <is>
          <t>PRY-003</t>
        </is>
      </c>
      <c r="G30" t="inlineStr">
        <is>
          <t>Llamada directa</t>
        </is>
      </c>
      <c r="H30" t="inlineStr">
        <is>
          <t>Andrés Torres</t>
        </is>
      </c>
      <c r="I30" t="inlineStr">
        <is>
          <t>Perdido</t>
        </is>
      </c>
      <c r="J30" s="28" t="n">
        <v>45292</v>
      </c>
      <c r="K30" s="28" t="n">
        <v>45317</v>
      </c>
      <c r="L30" t="inlineStr">
        <is>
          <t>Eligió otro proyecto</t>
        </is>
      </c>
    </row>
    <row r="31" ht="15.75" customHeight="1" s="25">
      <c r="A31" t="inlineStr">
        <is>
          <t>CLI-0029</t>
        </is>
      </c>
      <c r="B31" t="inlineStr">
        <is>
          <t>Nicolás Escobar Echeverri</t>
        </is>
      </c>
      <c r="C31" t="inlineStr">
        <is>
          <t>3177598071</t>
        </is>
      </c>
      <c r="D31" t="inlineStr">
        <is>
          <t>nicolas.escobar59@yahoo.com</t>
        </is>
      </c>
      <c r="E31" t="inlineStr">
        <is>
          <t>Sabaneta</t>
        </is>
      </c>
      <c r="F31" t="inlineStr">
        <is>
          <t>PRY-003</t>
        </is>
      </c>
      <c r="G31" t="inlineStr">
        <is>
          <t>Portal Web</t>
        </is>
      </c>
      <c r="H31" t="inlineStr">
        <is>
          <t>Miguel Salazar</t>
        </is>
      </c>
      <c r="I31" t="inlineStr">
        <is>
          <t>Perdido</t>
        </is>
      </c>
      <c r="J31" s="28" t="n">
        <v>45292</v>
      </c>
      <c r="K31" s="28" t="n">
        <v>45317</v>
      </c>
      <c r="L31" t="inlineStr">
        <is>
          <t>Desistió de la compra</t>
        </is>
      </c>
    </row>
    <row r="32" ht="15.75" customHeight="1" s="25">
      <c r="A32" t="inlineStr">
        <is>
          <t>CLI-0030</t>
        </is>
      </c>
      <c r="B32" t="inlineStr">
        <is>
          <t>Camila Henao Espinosa</t>
        </is>
      </c>
      <c r="C32" t="inlineStr">
        <is>
          <t>3102781193</t>
        </is>
      </c>
      <c r="D32" t="inlineStr">
        <is>
          <t>camila.henao77@gmail.com</t>
        </is>
      </c>
      <c r="E32" t="inlineStr">
        <is>
          <t>Itagüí</t>
        </is>
      </c>
      <c r="F32" t="inlineStr">
        <is>
          <t>PRY-003</t>
        </is>
      </c>
      <c r="G32" t="inlineStr">
        <is>
          <t>Instagram</t>
        </is>
      </c>
      <c r="H32" t="inlineStr">
        <is>
          <t>Paula Arenas</t>
        </is>
      </c>
      <c r="I32" t="inlineStr">
        <is>
          <t>Perdido</t>
        </is>
      </c>
      <c r="J32" s="28" t="n">
        <v>45292</v>
      </c>
      <c r="K32" s="28" t="n">
        <v>45317</v>
      </c>
      <c r="L32" t="inlineStr">
        <is>
          <t>Crédito no aprobado</t>
        </is>
      </c>
    </row>
    <row r="33" ht="15.75" customHeight="1" s="25">
      <c r="A33" t="inlineStr">
        <is>
          <t>CLI-0031</t>
        </is>
      </c>
      <c r="B33" t="inlineStr">
        <is>
          <t>Carolina Henao Cardona</t>
        </is>
      </c>
      <c r="C33" t="inlineStr">
        <is>
          <t>3047252708</t>
        </is>
      </c>
      <c r="D33" t="inlineStr">
        <is>
          <t>carolina.henao13@yahoo.com</t>
        </is>
      </c>
      <c r="E33" t="inlineStr">
        <is>
          <t>Medellín</t>
        </is>
      </c>
      <c r="F33" t="inlineStr">
        <is>
          <t>PRY-003</t>
        </is>
      </c>
      <c r="G33" t="inlineStr">
        <is>
          <t>Facebook</t>
        </is>
      </c>
      <c r="H33" t="inlineStr">
        <is>
          <t>Sofía Prada</t>
        </is>
      </c>
      <c r="I33" t="inlineStr">
        <is>
          <t>Perdido</t>
        </is>
      </c>
      <c r="J33" s="28" t="n">
        <v>45292</v>
      </c>
      <c r="K33" s="28" t="n">
        <v>45332</v>
      </c>
      <c r="L33" t="inlineStr">
        <is>
          <t>Desistió de la compra</t>
        </is>
      </c>
    </row>
    <row r="34" ht="15.75" customHeight="1" s="25">
      <c r="A34" t="inlineStr">
        <is>
          <t>CLI-0032</t>
        </is>
      </c>
      <c r="B34" t="inlineStr">
        <is>
          <t>Gloria Peláez Quintero</t>
        </is>
      </c>
      <c r="C34" t="inlineStr">
        <is>
          <t>3232439042</t>
        </is>
      </c>
      <c r="D34" t="inlineStr">
        <is>
          <t>gloria.pelaez99@outlook.com</t>
        </is>
      </c>
      <c r="E34" t="inlineStr">
        <is>
          <t>Medellín</t>
        </is>
      </c>
      <c r="F34" t="inlineStr">
        <is>
          <t>PRY-003</t>
        </is>
      </c>
      <c r="G34" t="inlineStr">
        <is>
          <t>Facebook</t>
        </is>
      </c>
      <c r="H34" t="inlineStr">
        <is>
          <t>Andrés Torres</t>
        </is>
      </c>
      <c r="I34" t="inlineStr">
        <is>
          <t>Perdido</t>
        </is>
      </c>
      <c r="J34" s="28" t="n">
        <v>45292</v>
      </c>
      <c r="K34" s="28" t="n">
        <v>45339</v>
      </c>
      <c r="L34" t="inlineStr">
        <is>
          <t>Desistió de la compra</t>
        </is>
      </c>
    </row>
    <row r="35" ht="15.75" customHeight="1" s="25">
      <c r="A35" t="inlineStr">
        <is>
          <t>CLI-0033</t>
        </is>
      </c>
      <c r="B35" t="inlineStr">
        <is>
          <t>David Castaño Cardona</t>
        </is>
      </c>
      <c r="C35" t="inlineStr">
        <is>
          <t>3149761435</t>
        </is>
      </c>
      <c r="D35" t="inlineStr">
        <is>
          <t>david.castano4@outlook.com</t>
        </is>
      </c>
      <c r="E35" t="inlineStr">
        <is>
          <t>Sabaneta</t>
        </is>
      </c>
      <c r="F35" t="inlineStr">
        <is>
          <t>PRY-003</t>
        </is>
      </c>
      <c r="G35" t="inlineStr">
        <is>
          <t>Facebook</t>
        </is>
      </c>
      <c r="H35" t="inlineStr">
        <is>
          <t>Paula Arenas</t>
        </is>
      </c>
      <c r="I35" t="inlineStr">
        <is>
          <t>Perdido</t>
        </is>
      </c>
      <c r="J35" s="28" t="n">
        <v>45292</v>
      </c>
      <c r="K35" s="28" t="n">
        <v>45350</v>
      </c>
      <c r="L35" t="inlineStr">
        <is>
          <t>Eligió otro proyecto</t>
        </is>
      </c>
    </row>
    <row r="36" ht="15.75" customHeight="1" s="25">
      <c r="A36" t="inlineStr">
        <is>
          <t>CLI-0034</t>
        </is>
      </c>
      <c r="B36" t="inlineStr">
        <is>
          <t>Alejandra Rojas López</t>
        </is>
      </c>
      <c r="C36" t="inlineStr">
        <is>
          <t>3132633324</t>
        </is>
      </c>
      <c r="D36" t="inlineStr">
        <is>
          <t>alejandra.rojas69@yahoo.com</t>
        </is>
      </c>
      <c r="E36" t="inlineStr">
        <is>
          <t>Medellín</t>
        </is>
      </c>
      <c r="F36" t="inlineStr">
        <is>
          <t>PRY-004</t>
        </is>
      </c>
      <c r="G36" t="inlineStr">
        <is>
          <t>Instagram</t>
        </is>
      </c>
      <c r="H36" t="inlineStr">
        <is>
          <t>Luis Bedoya</t>
        </is>
      </c>
      <c r="I36" t="inlineStr">
        <is>
          <t>Ganado</t>
        </is>
      </c>
      <c r="J36" s="28" t="n">
        <v>45292</v>
      </c>
      <c r="K36" s="28" t="n">
        <v>45362</v>
      </c>
      <c r="L36" t="inlineStr">
        <is>
          <t>Compró Casa 1 en Altavista Park</t>
        </is>
      </c>
    </row>
    <row r="37" ht="15.75" customHeight="1" s="25">
      <c r="A37" t="inlineStr">
        <is>
          <t>CLI-0035</t>
        </is>
      </c>
      <c r="B37" t="inlineStr">
        <is>
          <t>Luisa Gaviria Palacio</t>
        </is>
      </c>
      <c r="C37" t="inlineStr">
        <is>
          <t>3132783292</t>
        </is>
      </c>
      <c r="D37" t="inlineStr">
        <is>
          <t>luisa.gaviria38@hotmail.com</t>
        </is>
      </c>
      <c r="E37" t="inlineStr">
        <is>
          <t>Medellín</t>
        </is>
      </c>
      <c r="F37" t="inlineStr">
        <is>
          <t>PRY-004</t>
        </is>
      </c>
      <c r="G37" t="inlineStr">
        <is>
          <t>Instagram</t>
        </is>
      </c>
      <c r="H37" t="inlineStr">
        <is>
          <t>Andrés Torres</t>
        </is>
      </c>
      <c r="I37" t="inlineStr">
        <is>
          <t>Ganado</t>
        </is>
      </c>
      <c r="J37" s="28" t="n">
        <v>45292</v>
      </c>
      <c r="K37" s="28" t="n">
        <v>45362</v>
      </c>
      <c r="L37" t="inlineStr">
        <is>
          <t>Compró Casa 41 en Altavista Park</t>
        </is>
      </c>
    </row>
    <row r="38" ht="15.75" customHeight="1" s="25">
      <c r="A38" t="inlineStr">
        <is>
          <t>CLI-0036</t>
        </is>
      </c>
      <c r="B38" t="inlineStr">
        <is>
          <t>Sofía Londoño Zapata</t>
        </is>
      </c>
      <c r="C38" t="inlineStr">
        <is>
          <t>3179574664</t>
        </is>
      </c>
      <c r="D38" t="inlineStr">
        <is>
          <t>sofia.londono42@outlook.com</t>
        </is>
      </c>
      <c r="E38" t="inlineStr">
        <is>
          <t>Medellín</t>
        </is>
      </c>
      <c r="F38" t="inlineStr">
        <is>
          <t>PRY-004</t>
        </is>
      </c>
      <c r="G38" t="inlineStr">
        <is>
          <t>Referido</t>
        </is>
      </c>
      <c r="H38" t="inlineStr">
        <is>
          <t>Sofía Prada</t>
        </is>
      </c>
      <c r="I38" t="inlineStr">
        <is>
          <t>Ganado</t>
        </is>
      </c>
      <c r="J38" s="28" t="n">
        <v>45292</v>
      </c>
      <c r="K38" s="28" t="n">
        <v>45362</v>
      </c>
      <c r="L38" t="inlineStr">
        <is>
          <t>Compró Casa 24 en Altavista Park</t>
        </is>
      </c>
    </row>
    <row r="39" ht="15.75" customHeight="1" s="25">
      <c r="A39" t="inlineStr">
        <is>
          <t>CLI-0037</t>
        </is>
      </c>
      <c r="B39" t="inlineStr">
        <is>
          <t>Paola Salazar Arango</t>
        </is>
      </c>
      <c r="C39" t="inlineStr">
        <is>
          <t>3233639432</t>
        </is>
      </c>
      <c r="D39" t="inlineStr">
        <is>
          <t>paola.salazar14@yahoo.com</t>
        </is>
      </c>
      <c r="E39" t="inlineStr">
        <is>
          <t>Medellín</t>
        </is>
      </c>
      <c r="F39" t="inlineStr">
        <is>
          <t>PRY-004</t>
        </is>
      </c>
      <c r="G39" t="inlineStr">
        <is>
          <t>Portal Web</t>
        </is>
      </c>
      <c r="H39" t="inlineStr">
        <is>
          <t>Miguel Salazar</t>
        </is>
      </c>
      <c r="I39" t="inlineStr">
        <is>
          <t>Ganado</t>
        </is>
      </c>
      <c r="J39" s="28" t="n">
        <v>45292</v>
      </c>
      <c r="K39" s="28" t="n">
        <v>45362</v>
      </c>
      <c r="L39" t="inlineStr">
        <is>
          <t>Compró Casa 18 en Altavista Park</t>
        </is>
      </c>
    </row>
    <row r="40" ht="15.75" customHeight="1" s="25">
      <c r="A40" t="inlineStr">
        <is>
          <t>CLI-0038</t>
        </is>
      </c>
      <c r="B40" t="inlineStr">
        <is>
          <t>Felipe Pérez Vargas</t>
        </is>
      </c>
      <c r="C40" t="inlineStr">
        <is>
          <t>3103594540</t>
        </is>
      </c>
      <c r="D40" t="inlineStr">
        <is>
          <t>felipe.perez86@outlook.com</t>
        </is>
      </c>
      <c r="E40" t="inlineStr">
        <is>
          <t>Medellín</t>
        </is>
      </c>
      <c r="F40" t="inlineStr">
        <is>
          <t>PRY-004</t>
        </is>
      </c>
      <c r="G40" t="inlineStr">
        <is>
          <t>Portal Web</t>
        </is>
      </c>
      <c r="H40" t="inlineStr">
        <is>
          <t>Sofía Prada</t>
        </is>
      </c>
      <c r="I40" t="inlineStr">
        <is>
          <t>Ganado</t>
        </is>
      </c>
      <c r="J40" s="28" t="n">
        <v>45292</v>
      </c>
      <c r="K40" s="28" t="n">
        <v>45362</v>
      </c>
      <c r="L40" t="inlineStr">
        <is>
          <t>Compró Casa 73 en Altavista Park</t>
        </is>
      </c>
    </row>
    <row r="41" ht="15.75" customHeight="1" s="25">
      <c r="A41" t="inlineStr">
        <is>
          <t>CLI-0039</t>
        </is>
      </c>
      <c r="B41" t="inlineStr">
        <is>
          <t>Rodrigo Vélez Palacio</t>
        </is>
      </c>
      <c r="C41" t="inlineStr">
        <is>
          <t>3245831573</t>
        </is>
      </c>
      <c r="D41" t="inlineStr">
        <is>
          <t>rodrigo.velez74@hotmail.com</t>
        </is>
      </c>
      <c r="E41" t="inlineStr">
        <is>
          <t>Medellín</t>
        </is>
      </c>
      <c r="F41" t="inlineStr">
        <is>
          <t>PRY-004</t>
        </is>
      </c>
      <c r="G41" t="inlineStr">
        <is>
          <t>Llamada directa</t>
        </is>
      </c>
      <c r="H41" t="inlineStr">
        <is>
          <t>Ana Quintero</t>
        </is>
      </c>
      <c r="I41" t="inlineStr">
        <is>
          <t>Ganado</t>
        </is>
      </c>
      <c r="J41" s="28" t="n">
        <v>45292</v>
      </c>
      <c r="K41" s="28" t="n">
        <v>45362</v>
      </c>
      <c r="L41" t="inlineStr">
        <is>
          <t>Compró Casa 55 en Altavista Park</t>
        </is>
      </c>
    </row>
    <row r="42" ht="15.75" customHeight="1" s="25">
      <c r="A42" t="inlineStr">
        <is>
          <t>CLI-0040</t>
        </is>
      </c>
      <c r="B42" t="inlineStr">
        <is>
          <t>Felipe Ramírez Henao</t>
        </is>
      </c>
      <c r="C42" t="inlineStr">
        <is>
          <t>3044370034</t>
        </is>
      </c>
      <c r="D42" t="inlineStr">
        <is>
          <t>felipe.ramirez48@yahoo.com</t>
        </is>
      </c>
      <c r="E42" t="inlineStr">
        <is>
          <t>Medellín</t>
        </is>
      </c>
      <c r="F42" t="inlineStr">
        <is>
          <t>PRY-004</t>
        </is>
      </c>
      <c r="G42" t="inlineStr">
        <is>
          <t>Llamada directa</t>
        </is>
      </c>
      <c r="H42" t="inlineStr">
        <is>
          <t>Miguel Salazar</t>
        </is>
      </c>
      <c r="I42" t="inlineStr">
        <is>
          <t>Ganado</t>
        </is>
      </c>
      <c r="J42" s="28" t="n">
        <v>45292</v>
      </c>
      <c r="K42" s="28" t="n">
        <v>45362</v>
      </c>
      <c r="L42" t="inlineStr">
        <is>
          <t>Compró Casa 37 en Altavista Park</t>
        </is>
      </c>
    </row>
    <row r="43" ht="15.75" customHeight="1" s="25">
      <c r="A43" t="inlineStr">
        <is>
          <t>CLI-0041</t>
        </is>
      </c>
      <c r="B43" t="inlineStr">
        <is>
          <t>Mónica Agudelo Peláez</t>
        </is>
      </c>
      <c r="C43" t="inlineStr">
        <is>
          <t>3177575668</t>
        </is>
      </c>
      <c r="D43" t="inlineStr">
        <is>
          <t>monica.agudelo74@hotmail.com</t>
        </is>
      </c>
      <c r="E43" t="inlineStr">
        <is>
          <t>La Estrella</t>
        </is>
      </c>
      <c r="F43" t="inlineStr">
        <is>
          <t>PRY-004</t>
        </is>
      </c>
      <c r="G43" t="inlineStr">
        <is>
          <t>Referido</t>
        </is>
      </c>
      <c r="H43" t="inlineStr">
        <is>
          <t>Ana Quintero</t>
        </is>
      </c>
      <c r="I43" t="inlineStr">
        <is>
          <t>Ganado</t>
        </is>
      </c>
      <c r="J43" s="28" t="n">
        <v>45292</v>
      </c>
      <c r="K43" s="28" t="n">
        <v>45363</v>
      </c>
      <c r="L43" t="inlineStr">
        <is>
          <t>Compró Casa 56 en Altavista Park</t>
        </is>
      </c>
    </row>
    <row r="44" ht="15.75" customHeight="1" s="25">
      <c r="A44" t="inlineStr">
        <is>
          <t>CLI-0042</t>
        </is>
      </c>
      <c r="B44" t="inlineStr">
        <is>
          <t>Alejandro Escobar Cifuentes</t>
        </is>
      </c>
      <c r="C44" t="inlineStr">
        <is>
          <t>3241992945</t>
        </is>
      </c>
      <c r="D44" t="inlineStr">
        <is>
          <t>alejandro.escobar53@gmail.com</t>
        </is>
      </c>
      <c r="E44" t="inlineStr">
        <is>
          <t>Medellín</t>
        </is>
      </c>
      <c r="F44" t="inlineStr">
        <is>
          <t>PRY-004</t>
        </is>
      </c>
      <c r="G44" t="inlineStr">
        <is>
          <t>Referido</t>
        </is>
      </c>
      <c r="H44" t="inlineStr">
        <is>
          <t>Miguel Salazar</t>
        </is>
      </c>
      <c r="I44" t="inlineStr">
        <is>
          <t>Ganado</t>
        </is>
      </c>
      <c r="J44" s="28" t="n">
        <v>45292</v>
      </c>
      <c r="K44" s="28" t="n">
        <v>45371</v>
      </c>
      <c r="L44" t="inlineStr">
        <is>
          <t>Compró Casa 61 en Altavista Park</t>
        </is>
      </c>
    </row>
    <row r="45" ht="15.75" customHeight="1" s="25">
      <c r="A45" t="inlineStr">
        <is>
          <t>CLI-0043</t>
        </is>
      </c>
      <c r="B45" t="inlineStr">
        <is>
          <t>Jhon Bedoya Rojas</t>
        </is>
      </c>
      <c r="C45" t="inlineStr">
        <is>
          <t>3247997947</t>
        </is>
      </c>
      <c r="D45" t="inlineStr">
        <is>
          <t>jhon.bedoya34@outlook.com</t>
        </is>
      </c>
      <c r="E45" t="inlineStr">
        <is>
          <t>Envigado</t>
        </is>
      </c>
      <c r="F45" t="inlineStr">
        <is>
          <t>PRY-004</t>
        </is>
      </c>
      <c r="G45" t="inlineStr">
        <is>
          <t>Facebook</t>
        </is>
      </c>
      <c r="H45" t="inlineStr">
        <is>
          <t>Ana Quintero</t>
        </is>
      </c>
      <c r="I45" t="inlineStr">
        <is>
          <t>Ganado</t>
        </is>
      </c>
      <c r="J45" s="28" t="n">
        <v>45292</v>
      </c>
      <c r="K45" s="28" t="n">
        <v>45376</v>
      </c>
      <c r="L45" t="inlineStr">
        <is>
          <t>Compró Casa 6 en Altavista Park</t>
        </is>
      </c>
    </row>
    <row r="46" ht="15.75" customHeight="1" s="25">
      <c r="A46" t="inlineStr">
        <is>
          <t>CLI-0044</t>
        </is>
      </c>
      <c r="B46" t="inlineStr">
        <is>
          <t>Verónica Henao Bedoya</t>
        </is>
      </c>
      <c r="C46" t="inlineStr">
        <is>
          <t>3141041801</t>
        </is>
      </c>
      <c r="D46" t="inlineStr">
        <is>
          <t>veronica.henao27@hotmail.com</t>
        </is>
      </c>
      <c r="E46" t="inlineStr">
        <is>
          <t>Medellín</t>
        </is>
      </c>
      <c r="F46" t="inlineStr">
        <is>
          <t>PRY-004</t>
        </is>
      </c>
      <c r="G46" t="inlineStr">
        <is>
          <t>Llamada directa</t>
        </is>
      </c>
      <c r="H46" t="inlineStr">
        <is>
          <t>Paula Arenas</t>
        </is>
      </c>
      <c r="I46" t="inlineStr">
        <is>
          <t>Ganado</t>
        </is>
      </c>
      <c r="J46" s="28" t="n">
        <v>45292</v>
      </c>
      <c r="K46" s="28" t="n">
        <v>45384</v>
      </c>
      <c r="L46" t="inlineStr">
        <is>
          <t>Compró Casa 76 en Altavista Park</t>
        </is>
      </c>
    </row>
    <row r="47" ht="15.75" customHeight="1" s="25">
      <c r="A47" t="inlineStr">
        <is>
          <t>CLI-0045</t>
        </is>
      </c>
      <c r="B47" t="inlineStr">
        <is>
          <t>Manuela Echeverri Vásquez</t>
        </is>
      </c>
      <c r="C47" t="inlineStr">
        <is>
          <t>3206044214</t>
        </is>
      </c>
      <c r="D47" t="inlineStr">
        <is>
          <t>manuela.echeverri28@gmail.com</t>
        </is>
      </c>
      <c r="E47" t="inlineStr">
        <is>
          <t>Medellín</t>
        </is>
      </c>
      <c r="F47" t="inlineStr">
        <is>
          <t>PRY-004</t>
        </is>
      </c>
      <c r="G47" t="inlineStr">
        <is>
          <t>Feria Inmobiliaria</t>
        </is>
      </c>
      <c r="H47" t="inlineStr">
        <is>
          <t>Juliana Vélez</t>
        </is>
      </c>
      <c r="I47" t="inlineStr">
        <is>
          <t>Ganado</t>
        </is>
      </c>
      <c r="J47" s="28" t="n">
        <v>45292</v>
      </c>
      <c r="K47" s="28" t="n">
        <v>45388</v>
      </c>
      <c r="L47" t="inlineStr">
        <is>
          <t>Compró Casa 78 en Altavista Park</t>
        </is>
      </c>
    </row>
    <row r="48" ht="15.75" customHeight="1" s="25">
      <c r="A48" t="inlineStr">
        <is>
          <t>CLI-0046</t>
        </is>
      </c>
      <c r="B48" t="inlineStr">
        <is>
          <t>Emilio Vélez Cardona</t>
        </is>
      </c>
      <c r="C48" t="inlineStr">
        <is>
          <t>3108756883</t>
        </is>
      </c>
      <c r="D48" t="inlineStr">
        <is>
          <t>emilio.velez44@gmail.com</t>
        </is>
      </c>
      <c r="E48" t="inlineStr">
        <is>
          <t>Bello</t>
        </is>
      </c>
      <c r="F48" t="inlineStr">
        <is>
          <t>PRY-004</t>
        </is>
      </c>
      <c r="G48" t="inlineStr">
        <is>
          <t>Portal Web</t>
        </is>
      </c>
      <c r="H48" t="inlineStr">
        <is>
          <t>Sofía Prada</t>
        </is>
      </c>
      <c r="I48" t="inlineStr">
        <is>
          <t>Ganado</t>
        </is>
      </c>
      <c r="J48" s="28" t="n">
        <v>45292</v>
      </c>
      <c r="K48" s="28" t="n">
        <v>45391</v>
      </c>
      <c r="L48" t="inlineStr">
        <is>
          <t>Compró Casa 51 en Altavista Park</t>
        </is>
      </c>
    </row>
    <row r="49" ht="15.75" customHeight="1" s="25">
      <c r="A49" t="inlineStr">
        <is>
          <t>CLI-0047</t>
        </is>
      </c>
      <c r="B49" t="inlineStr">
        <is>
          <t>David Hernández Echeverri</t>
        </is>
      </c>
      <c r="C49" t="inlineStr">
        <is>
          <t>3235673138</t>
        </is>
      </c>
      <c r="D49" t="inlineStr">
        <is>
          <t>david.hernandez57@outlook.com</t>
        </is>
      </c>
      <c r="E49" t="inlineStr">
        <is>
          <t>Itagüí</t>
        </is>
      </c>
      <c r="F49" t="inlineStr">
        <is>
          <t>PRY-004</t>
        </is>
      </c>
      <c r="G49" t="inlineStr">
        <is>
          <t>Referido</t>
        </is>
      </c>
      <c r="H49" t="inlineStr">
        <is>
          <t>Ana Quintero</t>
        </is>
      </c>
      <c r="I49" t="inlineStr">
        <is>
          <t>Ganado</t>
        </is>
      </c>
      <c r="J49" s="28" t="n">
        <v>45292</v>
      </c>
      <c r="K49" s="28" t="n">
        <v>45393</v>
      </c>
      <c r="L49" t="inlineStr">
        <is>
          <t>Compró Casa 10 en Altavista Park</t>
        </is>
      </c>
    </row>
    <row r="50" ht="15.75" customHeight="1" s="25">
      <c r="A50" t="inlineStr">
        <is>
          <t>CLI-0048</t>
        </is>
      </c>
      <c r="B50" t="inlineStr">
        <is>
          <t>Valeria Pérez Osorio</t>
        </is>
      </c>
      <c r="C50" t="inlineStr">
        <is>
          <t>3142288670</t>
        </is>
      </c>
      <c r="D50" t="inlineStr">
        <is>
          <t>valeria.perez78@gmail.com</t>
        </is>
      </c>
      <c r="E50" t="inlineStr">
        <is>
          <t>Medellín</t>
        </is>
      </c>
      <c r="F50" t="inlineStr">
        <is>
          <t>PRY-004</t>
        </is>
      </c>
      <c r="G50" t="inlineStr">
        <is>
          <t>Referido</t>
        </is>
      </c>
      <c r="H50" t="inlineStr">
        <is>
          <t>Andrés Torres</t>
        </is>
      </c>
      <c r="I50" t="inlineStr">
        <is>
          <t>Ganado</t>
        </is>
      </c>
      <c r="J50" s="28" t="n">
        <v>45292</v>
      </c>
      <c r="K50" s="28" t="n">
        <v>45419</v>
      </c>
      <c r="L50" t="inlineStr">
        <is>
          <t>Compró Casa 38 en Altavista Park</t>
        </is>
      </c>
    </row>
    <row r="51" ht="15.75" customHeight="1" s="25">
      <c r="A51" t="inlineStr">
        <is>
          <t>CLI-0049</t>
        </is>
      </c>
      <c r="B51" t="inlineStr">
        <is>
          <t>Liliana Gómez Rojas</t>
        </is>
      </c>
      <c r="C51" t="inlineStr">
        <is>
          <t>3149883129</t>
        </is>
      </c>
      <c r="D51" t="inlineStr">
        <is>
          <t>liliana.gomez36@hotmail.com</t>
        </is>
      </c>
      <c r="E51" t="inlineStr">
        <is>
          <t>Medellín</t>
        </is>
      </c>
      <c r="F51" t="inlineStr">
        <is>
          <t>PRY-004</t>
        </is>
      </c>
      <c r="G51" t="inlineStr">
        <is>
          <t>Feria Inmobiliaria</t>
        </is>
      </c>
      <c r="H51" t="inlineStr">
        <is>
          <t>Miguel Salazar</t>
        </is>
      </c>
      <c r="I51" t="inlineStr">
        <is>
          <t>Perdido</t>
        </is>
      </c>
      <c r="J51" s="28" t="n">
        <v>45292</v>
      </c>
      <c r="K51" s="28" t="n">
        <v>45332</v>
      </c>
      <c r="L51" t="inlineStr">
        <is>
          <t>Desistió de la compra</t>
        </is>
      </c>
    </row>
    <row r="52" ht="15.75" customHeight="1" s="25">
      <c r="A52" t="inlineStr">
        <is>
          <t>CLI-0050</t>
        </is>
      </c>
      <c r="B52" t="inlineStr">
        <is>
          <t>Mónica Hernández Rojas</t>
        </is>
      </c>
      <c r="C52" t="inlineStr">
        <is>
          <t>3137408310</t>
        </is>
      </c>
      <c r="D52" t="inlineStr">
        <is>
          <t>monica.hernandez64@gmail.com</t>
        </is>
      </c>
      <c r="E52" t="inlineStr">
        <is>
          <t>Medellín</t>
        </is>
      </c>
      <c r="F52" t="inlineStr">
        <is>
          <t>PRY-004</t>
        </is>
      </c>
      <c r="G52" t="inlineStr">
        <is>
          <t>Feria Inmobiliaria</t>
        </is>
      </c>
      <c r="H52" t="inlineStr">
        <is>
          <t>Sofía Prada</t>
        </is>
      </c>
      <c r="I52" t="inlineStr">
        <is>
          <t>Perdido</t>
        </is>
      </c>
      <c r="J52" s="28" t="n">
        <v>45292</v>
      </c>
      <c r="K52" s="28" t="n">
        <v>45332</v>
      </c>
      <c r="L52" t="inlineStr">
        <is>
          <t>Desistió de la compra</t>
        </is>
      </c>
    </row>
    <row r="53" ht="15.75" customHeight="1" s="25">
      <c r="A53" t="inlineStr">
        <is>
          <t>CLI-0051</t>
        </is>
      </c>
      <c r="B53" t="inlineStr">
        <is>
          <t>Felipe Pérez Cardona</t>
        </is>
      </c>
      <c r="C53" t="inlineStr">
        <is>
          <t>3225691459</t>
        </is>
      </c>
      <c r="D53" t="inlineStr">
        <is>
          <t>felipe.perez4@yahoo.com</t>
        </is>
      </c>
      <c r="E53" t="inlineStr">
        <is>
          <t>Medellín</t>
        </is>
      </c>
      <c r="F53" t="inlineStr">
        <is>
          <t>PRY-004</t>
        </is>
      </c>
      <c r="G53" t="inlineStr">
        <is>
          <t>Portal Web</t>
        </is>
      </c>
      <c r="H53" t="inlineStr">
        <is>
          <t>Luis Bedoya</t>
        </is>
      </c>
      <c r="I53" t="inlineStr">
        <is>
          <t>Perdido</t>
        </is>
      </c>
      <c r="J53" s="28" t="n">
        <v>45292</v>
      </c>
      <c r="K53" s="28" t="n">
        <v>45332</v>
      </c>
      <c r="L53" t="inlineStr">
        <is>
          <t>Eligió otro proyecto</t>
        </is>
      </c>
    </row>
    <row r="54" ht="15.75" customHeight="1" s="25">
      <c r="A54" t="inlineStr">
        <is>
          <t>CLI-0052</t>
        </is>
      </c>
      <c r="B54" t="inlineStr">
        <is>
          <t>Rodrigo Rojas Escobar</t>
        </is>
      </c>
      <c r="C54" t="inlineStr">
        <is>
          <t>3132866626</t>
        </is>
      </c>
      <c r="D54" t="inlineStr">
        <is>
          <t>rodrigo.rojas38@outlook.com</t>
        </is>
      </c>
      <c r="E54" t="inlineStr">
        <is>
          <t>Medellín</t>
        </is>
      </c>
      <c r="F54" t="inlineStr">
        <is>
          <t>PRY-004</t>
        </is>
      </c>
      <c r="G54" t="inlineStr">
        <is>
          <t>Instagram</t>
        </is>
      </c>
      <c r="H54" t="inlineStr">
        <is>
          <t>Miguel Salazar</t>
        </is>
      </c>
      <c r="I54" t="inlineStr">
        <is>
          <t>Perdido</t>
        </is>
      </c>
      <c r="J54" s="28" t="n">
        <v>45292</v>
      </c>
      <c r="K54" s="28" t="n">
        <v>45333</v>
      </c>
      <c r="L54" t="inlineStr">
        <is>
          <t>Precio fuera de presupuesto</t>
        </is>
      </c>
    </row>
    <row r="55" ht="15.75" customHeight="1" s="25">
      <c r="A55" t="inlineStr">
        <is>
          <t>CLI-0053</t>
        </is>
      </c>
      <c r="B55" t="inlineStr">
        <is>
          <t>Esteban Sánchez Escobar</t>
        </is>
      </c>
      <c r="C55" t="inlineStr">
        <is>
          <t>3009724496</t>
        </is>
      </c>
      <c r="D55" t="inlineStr">
        <is>
          <t>esteban.sanchez1@gmail.com</t>
        </is>
      </c>
      <c r="E55" t="inlineStr">
        <is>
          <t>Envigado</t>
        </is>
      </c>
      <c r="F55" t="inlineStr">
        <is>
          <t>PRY-004</t>
        </is>
      </c>
      <c r="G55" t="inlineStr">
        <is>
          <t>Portal Web</t>
        </is>
      </c>
      <c r="H55" t="inlineStr">
        <is>
          <t>Sofía Prada</t>
        </is>
      </c>
      <c r="I55" t="inlineStr">
        <is>
          <t>Perdido</t>
        </is>
      </c>
      <c r="J55" s="28" t="n">
        <v>45292</v>
      </c>
      <c r="K55" s="28" t="n">
        <v>45349</v>
      </c>
      <c r="L55" t="inlineStr">
        <is>
          <t>Precio fuera de presupuesto</t>
        </is>
      </c>
    </row>
    <row r="56" ht="15.75" customHeight="1" s="25">
      <c r="A56" t="inlineStr">
        <is>
          <t>CLI-0054</t>
        </is>
      </c>
      <c r="B56" t="inlineStr">
        <is>
          <t>Camila Correa Jaramillo</t>
        </is>
      </c>
      <c r="C56" t="inlineStr">
        <is>
          <t>3207421791</t>
        </is>
      </c>
      <c r="D56" t="inlineStr">
        <is>
          <t>camila.correa18@yahoo.com</t>
        </is>
      </c>
      <c r="E56" t="inlineStr">
        <is>
          <t>Medellín</t>
        </is>
      </c>
      <c r="F56" t="inlineStr">
        <is>
          <t>PRY-004</t>
        </is>
      </c>
      <c r="G56" t="inlineStr">
        <is>
          <t>Instagram</t>
        </is>
      </c>
      <c r="H56" t="inlineStr">
        <is>
          <t>Paula Arenas</t>
        </is>
      </c>
      <c r="I56" t="inlineStr">
        <is>
          <t>Perdido</t>
        </is>
      </c>
      <c r="J56" s="28" t="n">
        <v>45292</v>
      </c>
      <c r="K56" s="28" t="n">
        <v>45352</v>
      </c>
      <c r="L56" t="inlineStr">
        <is>
          <t>Eligió otro proyecto</t>
        </is>
      </c>
    </row>
    <row r="57" ht="15.75" customHeight="1" s="25">
      <c r="A57" t="inlineStr">
        <is>
          <t>CLI-0055</t>
        </is>
      </c>
      <c r="B57" t="inlineStr">
        <is>
          <t>Luisa Arango Quintero</t>
        </is>
      </c>
      <c r="C57" t="inlineStr">
        <is>
          <t>3108092379</t>
        </is>
      </c>
      <c r="D57" t="inlineStr">
        <is>
          <t>luisa.arango72@gmail.com</t>
        </is>
      </c>
      <c r="E57" t="inlineStr">
        <is>
          <t>Medellín</t>
        </is>
      </c>
      <c r="F57" t="inlineStr">
        <is>
          <t>PRY-004</t>
        </is>
      </c>
      <c r="G57" t="inlineStr">
        <is>
          <t>Facebook</t>
        </is>
      </c>
      <c r="H57" t="inlineStr">
        <is>
          <t>Miguel Salazar</t>
        </is>
      </c>
      <c r="I57" t="inlineStr">
        <is>
          <t>Perdido</t>
        </is>
      </c>
      <c r="J57" s="28" t="n">
        <v>45292</v>
      </c>
      <c r="K57" s="28" t="n">
        <v>45359</v>
      </c>
      <c r="L57" t="inlineStr">
        <is>
          <t>Desistió de la compra</t>
        </is>
      </c>
    </row>
    <row r="58" ht="15.75" customHeight="1" s="25">
      <c r="A58" t="inlineStr">
        <is>
          <t>CLI-0056</t>
        </is>
      </c>
      <c r="B58" t="inlineStr">
        <is>
          <t>David Cifuentes Toro</t>
        </is>
      </c>
      <c r="C58" t="inlineStr">
        <is>
          <t>3177435474</t>
        </is>
      </c>
      <c r="D58" t="inlineStr">
        <is>
          <t>david.cifuentes36@outlook.com</t>
        </is>
      </c>
      <c r="E58" t="inlineStr">
        <is>
          <t>Medellín</t>
        </is>
      </c>
      <c r="F58" t="inlineStr">
        <is>
          <t>PRY-004</t>
        </is>
      </c>
      <c r="G58" t="inlineStr">
        <is>
          <t>Feria Inmobiliaria</t>
        </is>
      </c>
      <c r="H58" t="inlineStr">
        <is>
          <t>Sofía Prada</t>
        </is>
      </c>
      <c r="I58" t="inlineStr">
        <is>
          <t>Perdido</t>
        </is>
      </c>
      <c r="J58" s="28" t="n">
        <v>45292</v>
      </c>
      <c r="K58" s="28" t="n">
        <v>45376</v>
      </c>
      <c r="L58" t="inlineStr">
        <is>
          <t>No volvió a responder</t>
        </is>
      </c>
    </row>
    <row r="59" ht="15.75" customHeight="1" s="25">
      <c r="A59" t="inlineStr">
        <is>
          <t>CLI-0057</t>
        </is>
      </c>
      <c r="B59" t="inlineStr">
        <is>
          <t>Natalia Cardona Uribe</t>
        </is>
      </c>
      <c r="C59" t="inlineStr">
        <is>
          <t>3108834472</t>
        </is>
      </c>
      <c r="D59" t="inlineStr">
        <is>
          <t>natalia.cardona66@hotmail.com</t>
        </is>
      </c>
      <c r="E59" t="inlineStr">
        <is>
          <t>Envigado</t>
        </is>
      </c>
      <c r="F59" t="inlineStr">
        <is>
          <t>PRY-008</t>
        </is>
      </c>
      <c r="G59" t="inlineStr">
        <is>
          <t>Referido</t>
        </is>
      </c>
      <c r="H59" t="inlineStr">
        <is>
          <t>Miguel Salazar</t>
        </is>
      </c>
      <c r="I59" t="inlineStr">
        <is>
          <t>Ganado</t>
        </is>
      </c>
      <c r="J59" s="28" t="n">
        <v>45292</v>
      </c>
      <c r="K59" s="28" t="n">
        <v>45342</v>
      </c>
      <c r="L59" t="inlineStr">
        <is>
          <t>Compró Casa 105 en Valle Verde Itagüí</t>
        </is>
      </c>
    </row>
    <row r="60" ht="15.75" customHeight="1" s="25">
      <c r="A60" t="inlineStr">
        <is>
          <t>CLI-0058</t>
        </is>
      </c>
      <c r="B60" t="inlineStr">
        <is>
          <t>Juliana Ríos López</t>
        </is>
      </c>
      <c r="C60" t="inlineStr">
        <is>
          <t>3156412785</t>
        </is>
      </c>
      <c r="D60" t="inlineStr">
        <is>
          <t>juliana.rios53@gmail.com</t>
        </is>
      </c>
      <c r="E60" t="inlineStr">
        <is>
          <t>Bello</t>
        </is>
      </c>
      <c r="F60" t="inlineStr">
        <is>
          <t>PRY-008</t>
        </is>
      </c>
      <c r="G60" t="inlineStr">
        <is>
          <t>Feria Inmobiliaria</t>
        </is>
      </c>
      <c r="H60" t="inlineStr">
        <is>
          <t>Paula Arenas</t>
        </is>
      </c>
      <c r="I60" t="inlineStr">
        <is>
          <t>Ganado</t>
        </is>
      </c>
      <c r="J60" s="28" t="n">
        <v>45292</v>
      </c>
      <c r="K60" s="28" t="n">
        <v>45342</v>
      </c>
      <c r="L60" t="inlineStr">
        <is>
          <t>Compró Casa 62 en Valle Verde Itagüí</t>
        </is>
      </c>
    </row>
    <row r="61" ht="15.75" customHeight="1" s="25">
      <c r="A61" t="inlineStr">
        <is>
          <t>CLI-0059</t>
        </is>
      </c>
      <c r="B61" t="inlineStr">
        <is>
          <t>Fernando Giraldo Mejía</t>
        </is>
      </c>
      <c r="C61" t="inlineStr">
        <is>
          <t>3204700640</t>
        </is>
      </c>
      <c r="D61" t="inlineStr">
        <is>
          <t>fernando.giraldo54@gmail.com</t>
        </is>
      </c>
      <c r="E61" t="inlineStr">
        <is>
          <t>Itagüí</t>
        </is>
      </c>
      <c r="F61" t="inlineStr">
        <is>
          <t>PRY-008</t>
        </is>
      </c>
      <c r="G61" t="inlineStr">
        <is>
          <t>Facebook</t>
        </is>
      </c>
      <c r="H61" t="inlineStr">
        <is>
          <t>Miguel Salazar</t>
        </is>
      </c>
      <c r="I61" t="inlineStr">
        <is>
          <t>Ganado</t>
        </is>
      </c>
      <c r="J61" s="28" t="n">
        <v>45292</v>
      </c>
      <c r="K61" s="28" t="n">
        <v>45342</v>
      </c>
      <c r="L61" t="inlineStr">
        <is>
          <t>Compró Casa 76 en Valle Verde Itagüí</t>
        </is>
      </c>
    </row>
    <row r="62" ht="15.75" customHeight="1" s="25">
      <c r="A62" t="inlineStr">
        <is>
          <t>CLI-0060</t>
        </is>
      </c>
      <c r="B62" t="inlineStr">
        <is>
          <t>Felipe Escobar Ríos</t>
        </is>
      </c>
      <c r="C62" t="inlineStr">
        <is>
          <t>3239362875</t>
        </is>
      </c>
      <c r="D62" t="inlineStr">
        <is>
          <t>felipe.escobar73@outlook.com</t>
        </is>
      </c>
      <c r="E62" t="inlineStr">
        <is>
          <t>Itagüí</t>
        </is>
      </c>
      <c r="F62" t="inlineStr">
        <is>
          <t>PRY-008</t>
        </is>
      </c>
      <c r="G62" t="inlineStr">
        <is>
          <t>Portal Web</t>
        </is>
      </c>
      <c r="H62" t="inlineStr">
        <is>
          <t>Andrés Torres</t>
        </is>
      </c>
      <c r="I62" t="inlineStr">
        <is>
          <t>Ganado</t>
        </is>
      </c>
      <c r="J62" s="28" t="n">
        <v>45292</v>
      </c>
      <c r="K62" s="28" t="n">
        <v>45353</v>
      </c>
      <c r="L62" t="inlineStr">
        <is>
          <t>Compró Casa 56 en Valle Verde Itagüí</t>
        </is>
      </c>
    </row>
    <row r="63" ht="15.75" customHeight="1" s="25">
      <c r="A63" t="inlineStr">
        <is>
          <t>CLI-0061</t>
        </is>
      </c>
      <c r="B63" t="inlineStr">
        <is>
          <t>Paula Uribe Londoño</t>
        </is>
      </c>
      <c r="C63" t="inlineStr">
        <is>
          <t>3242833672</t>
        </is>
      </c>
      <c r="D63" t="inlineStr">
        <is>
          <t>paula.uribe55@gmail.com</t>
        </is>
      </c>
      <c r="E63" t="inlineStr">
        <is>
          <t>Medellín</t>
        </is>
      </c>
      <c r="F63" t="inlineStr">
        <is>
          <t>PRY-008</t>
        </is>
      </c>
      <c r="G63" t="inlineStr">
        <is>
          <t>Portal Web</t>
        </is>
      </c>
      <c r="H63" t="inlineStr">
        <is>
          <t>Luis Bedoya</t>
        </is>
      </c>
      <c r="I63" t="inlineStr">
        <is>
          <t>Ganado</t>
        </is>
      </c>
      <c r="J63" s="28" t="n">
        <v>45292</v>
      </c>
      <c r="K63" s="28" t="n">
        <v>45356</v>
      </c>
      <c r="L63" t="inlineStr">
        <is>
          <t>Compró Casa 61 en Valle Verde Itagüí</t>
        </is>
      </c>
    </row>
    <row r="64" ht="15.75" customHeight="1" s="25">
      <c r="A64" t="inlineStr">
        <is>
          <t>CLI-0062</t>
        </is>
      </c>
      <c r="B64" t="inlineStr">
        <is>
          <t>Mónica Correa Hernández</t>
        </is>
      </c>
      <c r="C64" t="inlineStr">
        <is>
          <t>3102628749</t>
        </is>
      </c>
      <c r="D64" t="inlineStr">
        <is>
          <t>monica.correa65@outlook.com</t>
        </is>
      </c>
      <c r="E64" t="inlineStr">
        <is>
          <t>Itagüí</t>
        </is>
      </c>
      <c r="F64" t="inlineStr">
        <is>
          <t>PRY-008</t>
        </is>
      </c>
      <c r="G64" t="inlineStr">
        <is>
          <t>Portal Web</t>
        </is>
      </c>
      <c r="H64" t="inlineStr">
        <is>
          <t>Sofía Prada</t>
        </is>
      </c>
      <c r="I64" t="inlineStr">
        <is>
          <t>Perdido</t>
        </is>
      </c>
      <c r="J64" s="28" t="n">
        <v>45292</v>
      </c>
      <c r="K64" s="28" t="n">
        <v>45312</v>
      </c>
      <c r="L64" t="inlineStr">
        <is>
          <t>Eligió otro proyecto</t>
        </is>
      </c>
    </row>
    <row r="65" ht="15.75" customHeight="1" s="25">
      <c r="A65" t="inlineStr">
        <is>
          <t>CLI-0063</t>
        </is>
      </c>
      <c r="B65" t="inlineStr">
        <is>
          <t>Óscar Echeverri Toro</t>
        </is>
      </c>
      <c r="C65" t="inlineStr">
        <is>
          <t>3109525363</t>
        </is>
      </c>
      <c r="D65" t="inlineStr">
        <is>
          <t>oscar.echeverri55@gmail.com</t>
        </is>
      </c>
      <c r="E65" t="inlineStr">
        <is>
          <t>La Estrella</t>
        </is>
      </c>
      <c r="F65" t="inlineStr">
        <is>
          <t>PRY-008</t>
        </is>
      </c>
      <c r="G65" t="inlineStr">
        <is>
          <t>Feria Inmobiliaria</t>
        </is>
      </c>
      <c r="H65" t="inlineStr">
        <is>
          <t>Luis Bedoya</t>
        </is>
      </c>
      <c r="I65" t="inlineStr">
        <is>
          <t>Perdido</t>
        </is>
      </c>
      <c r="J65" s="28" t="n">
        <v>45292</v>
      </c>
      <c r="K65" s="28" t="n">
        <v>45312</v>
      </c>
      <c r="L65" t="inlineStr">
        <is>
          <t>Precio fuera de presupuesto</t>
        </is>
      </c>
    </row>
    <row r="66" ht="15.75" customHeight="1" s="25">
      <c r="A66" t="inlineStr">
        <is>
          <t>CLI-0064</t>
        </is>
      </c>
      <c r="B66" t="inlineStr">
        <is>
          <t>Gloria Castaño Duque</t>
        </is>
      </c>
      <c r="C66" t="inlineStr">
        <is>
          <t>3156315265</t>
        </is>
      </c>
      <c r="D66" t="inlineStr">
        <is>
          <t>gloria.castano24@outlook.com</t>
        </is>
      </c>
      <c r="E66" t="inlineStr">
        <is>
          <t>La Estrella</t>
        </is>
      </c>
      <c r="F66" t="inlineStr">
        <is>
          <t>PRY-008</t>
        </is>
      </c>
      <c r="G66" t="inlineStr">
        <is>
          <t>Instagram</t>
        </is>
      </c>
      <c r="H66" t="inlineStr">
        <is>
          <t>Miguel Salazar</t>
        </is>
      </c>
      <c r="I66" t="inlineStr">
        <is>
          <t>Perdido</t>
        </is>
      </c>
      <c r="J66" s="28" t="n">
        <v>45292</v>
      </c>
      <c r="K66" s="28" t="n">
        <v>45330</v>
      </c>
      <c r="L66" t="inlineStr">
        <is>
          <t>No volvió a responder</t>
        </is>
      </c>
    </row>
    <row r="67" ht="15.75" customHeight="1" s="25">
      <c r="A67" t="inlineStr">
        <is>
          <t>CLI-0065</t>
        </is>
      </c>
      <c r="B67" t="inlineStr">
        <is>
          <t>Rodrigo Franco Montes</t>
        </is>
      </c>
      <c r="C67" t="inlineStr">
        <is>
          <t>3243531179</t>
        </is>
      </c>
      <c r="D67" t="inlineStr">
        <is>
          <t>rodrigo.franco60@yahoo.com</t>
        </is>
      </c>
      <c r="E67" t="inlineStr">
        <is>
          <t>Envigado</t>
        </is>
      </c>
      <c r="F67" t="inlineStr">
        <is>
          <t>PRY-008</t>
        </is>
      </c>
      <c r="G67" t="inlineStr">
        <is>
          <t>Feria Inmobiliaria</t>
        </is>
      </c>
      <c r="H67" t="inlineStr">
        <is>
          <t>Ana Quintero</t>
        </is>
      </c>
      <c r="I67" t="inlineStr">
        <is>
          <t>Ganado</t>
        </is>
      </c>
      <c r="J67" s="28" t="n">
        <v>45292</v>
      </c>
      <c r="K67" s="28" t="n">
        <v>45355</v>
      </c>
      <c r="L67" t="inlineStr">
        <is>
          <t>Compró Casa 12 en Valle Verde Itagüí</t>
        </is>
      </c>
    </row>
    <row r="68" ht="15.75" customHeight="1" s="25">
      <c r="A68" t="inlineStr">
        <is>
          <t>CLI-0066</t>
        </is>
      </c>
      <c r="B68" t="inlineStr">
        <is>
          <t>Daniel Hernández Zapata</t>
        </is>
      </c>
      <c r="C68" t="inlineStr">
        <is>
          <t>3001452866</t>
        </is>
      </c>
      <c r="D68" t="inlineStr">
        <is>
          <t>daniel.hernandez37@hotmail.com</t>
        </is>
      </c>
      <c r="E68" t="inlineStr">
        <is>
          <t>Envigado</t>
        </is>
      </c>
      <c r="F68" t="inlineStr">
        <is>
          <t>PRY-008</t>
        </is>
      </c>
      <c r="G68" t="inlineStr">
        <is>
          <t>Referido</t>
        </is>
      </c>
      <c r="H68" t="inlineStr">
        <is>
          <t>Ana Quintero</t>
        </is>
      </c>
      <c r="I68" t="inlineStr">
        <is>
          <t>Ganado</t>
        </is>
      </c>
      <c r="J68" s="28" t="n">
        <v>45292</v>
      </c>
      <c r="K68" s="28" t="n">
        <v>45387</v>
      </c>
      <c r="L68" t="inlineStr">
        <is>
          <t>Compró Casa 79 en Valle Verde Itagüí</t>
        </is>
      </c>
    </row>
    <row r="69" ht="15.75" customHeight="1" s="25">
      <c r="A69" t="inlineStr">
        <is>
          <t>CLI-0067</t>
        </is>
      </c>
      <c r="B69" t="inlineStr">
        <is>
          <t>Mauricio Zuluaga Toro</t>
        </is>
      </c>
      <c r="C69" t="inlineStr">
        <is>
          <t>3243783940</t>
        </is>
      </c>
      <c r="D69" t="inlineStr">
        <is>
          <t>mauricio.zuluaga26@hotmail.com</t>
        </is>
      </c>
      <c r="E69" t="inlineStr">
        <is>
          <t>Medellín</t>
        </is>
      </c>
      <c r="F69" t="inlineStr">
        <is>
          <t>PRY-001</t>
        </is>
      </c>
      <c r="G69" t="inlineStr">
        <is>
          <t>Portal Web</t>
        </is>
      </c>
      <c r="H69" t="inlineStr">
        <is>
          <t>Ana Quintero</t>
        </is>
      </c>
      <c r="I69" t="inlineStr">
        <is>
          <t>Ganado</t>
        </is>
      </c>
      <c r="J69" s="28" t="n">
        <v>45292</v>
      </c>
      <c r="K69" s="28" t="n">
        <v>45428</v>
      </c>
      <c r="L69" t="inlineStr">
        <is>
          <t>Compró Apto 2106 en Torres del Poblado</t>
        </is>
      </c>
    </row>
    <row r="70" ht="15.75" customHeight="1" s="25">
      <c r="A70" t="inlineStr">
        <is>
          <t>CLI-0068</t>
        </is>
      </c>
      <c r="B70" t="inlineStr">
        <is>
          <t>Marcela Duque Espinosa</t>
        </is>
      </c>
      <c r="C70" t="inlineStr">
        <is>
          <t>3224587523</t>
        </is>
      </c>
      <c r="D70" t="inlineStr">
        <is>
          <t>marcela.duque87@gmail.com</t>
        </is>
      </c>
      <c r="E70" t="inlineStr">
        <is>
          <t>Medellín</t>
        </is>
      </c>
      <c r="F70" t="inlineStr">
        <is>
          <t>PRY-004</t>
        </is>
      </c>
      <c r="G70" t="inlineStr">
        <is>
          <t>Llamada directa</t>
        </is>
      </c>
      <c r="H70" t="inlineStr">
        <is>
          <t>Luis Bedoya</t>
        </is>
      </c>
      <c r="I70" t="inlineStr">
        <is>
          <t>Ganado</t>
        </is>
      </c>
      <c r="J70" s="28" t="n">
        <v>45292</v>
      </c>
      <c r="K70" s="28" t="n">
        <v>45385</v>
      </c>
      <c r="L70" t="inlineStr">
        <is>
          <t>Compró Casa 60 en Altavista Park</t>
        </is>
      </c>
    </row>
    <row r="71" ht="15.75" customHeight="1" s="25">
      <c r="A71" t="inlineStr">
        <is>
          <t>CLI-0069</t>
        </is>
      </c>
      <c r="B71" t="inlineStr">
        <is>
          <t>Gabriel Muñoz Montes</t>
        </is>
      </c>
      <c r="C71" t="inlineStr">
        <is>
          <t>3043487778</t>
        </is>
      </c>
      <c r="D71" t="inlineStr">
        <is>
          <t>gabriel.munoz81@gmail.com</t>
        </is>
      </c>
      <c r="E71" t="inlineStr">
        <is>
          <t>Medellín</t>
        </is>
      </c>
      <c r="F71" t="inlineStr">
        <is>
          <t>PRY-003</t>
        </is>
      </c>
      <c r="G71" t="inlineStr">
        <is>
          <t>Llamada directa</t>
        </is>
      </c>
      <c r="H71" t="inlineStr">
        <is>
          <t>Miguel Salazar</t>
        </is>
      </c>
      <c r="I71" t="inlineStr">
        <is>
          <t>Ganado</t>
        </is>
      </c>
      <c r="J71" s="28" t="n">
        <v>45292</v>
      </c>
      <c r="K71" s="28" t="n">
        <v>45388</v>
      </c>
      <c r="L71" t="inlineStr">
        <is>
          <t>Compró Apto 1107 en Conecta Laureles</t>
        </is>
      </c>
    </row>
    <row r="72" ht="15.75" customHeight="1" s="25">
      <c r="A72" t="inlineStr">
        <is>
          <t>CLI-0070</t>
        </is>
      </c>
      <c r="B72" t="inlineStr">
        <is>
          <t>Paola Vásquez Sánchez</t>
        </is>
      </c>
      <c r="C72" t="inlineStr">
        <is>
          <t>3004010291</t>
        </is>
      </c>
      <c r="D72" t="inlineStr">
        <is>
          <t>paola.vasquez92@outlook.com</t>
        </is>
      </c>
      <c r="E72" t="inlineStr">
        <is>
          <t>Medellín</t>
        </is>
      </c>
      <c r="F72" t="inlineStr">
        <is>
          <t>PRY-001</t>
        </is>
      </c>
      <c r="G72" t="inlineStr">
        <is>
          <t>Referido</t>
        </is>
      </c>
      <c r="H72" t="inlineStr">
        <is>
          <t>Juliana Vélez</t>
        </is>
      </c>
      <c r="I72" t="inlineStr">
        <is>
          <t>Ganado</t>
        </is>
      </c>
      <c r="J72" s="28" t="n">
        <v>45292</v>
      </c>
      <c r="K72" s="28" t="n">
        <v>45381</v>
      </c>
      <c r="L72" t="inlineStr">
        <is>
          <t>Compró Apto 302 en Torres del Poblado</t>
        </is>
      </c>
    </row>
    <row r="73" ht="15.75" customHeight="1" s="25">
      <c r="A73" t="inlineStr">
        <is>
          <t>CLI-0071</t>
        </is>
      </c>
      <c r="B73" t="inlineStr">
        <is>
          <t>Simón Ríos Bedoya</t>
        </is>
      </c>
      <c r="C73" t="inlineStr">
        <is>
          <t>3157175991</t>
        </is>
      </c>
      <c r="D73" t="inlineStr">
        <is>
          <t>simon.rios90@outlook.com</t>
        </is>
      </c>
      <c r="E73" t="inlineStr">
        <is>
          <t>Sabaneta</t>
        </is>
      </c>
      <c r="F73" t="inlineStr">
        <is>
          <t>PRY-003</t>
        </is>
      </c>
      <c r="G73" t="inlineStr">
        <is>
          <t>Feria Inmobiliaria</t>
        </is>
      </c>
      <c r="H73" t="inlineStr">
        <is>
          <t>Miguel Salazar</t>
        </is>
      </c>
      <c r="I73" t="inlineStr">
        <is>
          <t>Perdido</t>
        </is>
      </c>
      <c r="J73" s="28" t="n">
        <v>45292</v>
      </c>
      <c r="K73" s="28" t="n">
        <v>45366</v>
      </c>
      <c r="L73" t="inlineStr">
        <is>
          <t>No volvió a responder</t>
        </is>
      </c>
    </row>
    <row r="74" ht="15.75" customHeight="1" s="25">
      <c r="A74" t="inlineStr">
        <is>
          <t>CLI-0072</t>
        </is>
      </c>
      <c r="B74" t="inlineStr">
        <is>
          <t>Ximena López Salcedo</t>
        </is>
      </c>
      <c r="C74" t="inlineStr">
        <is>
          <t>3044718970</t>
        </is>
      </c>
      <c r="D74" t="inlineStr">
        <is>
          <t>ximena.lopez16@gmail.com</t>
        </is>
      </c>
      <c r="E74" t="inlineStr">
        <is>
          <t>Itagüí</t>
        </is>
      </c>
      <c r="F74" t="inlineStr">
        <is>
          <t>PRY-001</t>
        </is>
      </c>
      <c r="G74" t="inlineStr">
        <is>
          <t>Feria Inmobiliaria</t>
        </is>
      </c>
      <c r="H74" t="inlineStr">
        <is>
          <t>Sofía Prada</t>
        </is>
      </c>
      <c r="I74" t="inlineStr">
        <is>
          <t>Ganado</t>
        </is>
      </c>
      <c r="J74" s="28" t="n">
        <v>45292</v>
      </c>
      <c r="K74" s="28" t="n">
        <v>45372</v>
      </c>
      <c r="L74" t="inlineStr">
        <is>
          <t>Compró Apto 605 en Torres del Poblado</t>
        </is>
      </c>
    </row>
    <row r="75" ht="15.75" customHeight="1" s="25">
      <c r="A75" t="inlineStr">
        <is>
          <t>CLI-0073</t>
        </is>
      </c>
      <c r="B75" t="inlineStr">
        <is>
          <t>Paola Muñoz Londoño</t>
        </is>
      </c>
      <c r="C75" t="inlineStr">
        <is>
          <t>3243042782</t>
        </is>
      </c>
      <c r="D75" t="inlineStr">
        <is>
          <t>paola.munoz13@yahoo.com</t>
        </is>
      </c>
      <c r="E75" t="inlineStr">
        <is>
          <t>Medellín</t>
        </is>
      </c>
      <c r="F75" t="inlineStr">
        <is>
          <t>PRY-001</t>
        </is>
      </c>
      <c r="G75" t="inlineStr">
        <is>
          <t>Portal Web</t>
        </is>
      </c>
      <c r="H75" t="inlineStr">
        <is>
          <t>Sofía Prada</t>
        </is>
      </c>
      <c r="I75" t="inlineStr">
        <is>
          <t>Perdido</t>
        </is>
      </c>
      <c r="J75" s="28" t="n">
        <v>45292</v>
      </c>
      <c r="K75" s="28" t="n">
        <v>45382</v>
      </c>
      <c r="L75" t="inlineStr">
        <is>
          <t>Eligió otro proyecto</t>
        </is>
      </c>
    </row>
    <row r="76" ht="15.75" customHeight="1" s="25">
      <c r="A76" t="inlineStr">
        <is>
          <t>CLI-0074</t>
        </is>
      </c>
      <c r="B76" t="inlineStr">
        <is>
          <t>Iván Salazar Montes</t>
        </is>
      </c>
      <c r="C76" t="inlineStr">
        <is>
          <t>3223753017</t>
        </is>
      </c>
      <c r="D76" t="inlineStr">
        <is>
          <t>ivan.salazar63@yahoo.com</t>
        </is>
      </c>
      <c r="E76" t="inlineStr">
        <is>
          <t>Medellín</t>
        </is>
      </c>
      <c r="F76" t="inlineStr">
        <is>
          <t>PRY-001</t>
        </is>
      </c>
      <c r="G76" t="inlineStr">
        <is>
          <t>Portal Web</t>
        </is>
      </c>
      <c r="H76" t="inlineStr">
        <is>
          <t>Ana Quintero</t>
        </is>
      </c>
      <c r="I76" t="inlineStr">
        <is>
          <t>Perdido</t>
        </is>
      </c>
      <c r="J76" s="28" t="n">
        <v>45292</v>
      </c>
      <c r="K76" s="28" t="n">
        <v>45351</v>
      </c>
      <c r="L76" t="inlineStr">
        <is>
          <t>Desistió de la compra</t>
        </is>
      </c>
    </row>
    <row r="77" ht="15.75" customHeight="1" s="25">
      <c r="A77" t="inlineStr">
        <is>
          <t>CLI-0075</t>
        </is>
      </c>
      <c r="B77" t="inlineStr">
        <is>
          <t>Emilio Montes Bedoya</t>
        </is>
      </c>
      <c r="C77" t="inlineStr">
        <is>
          <t>3229442296</t>
        </is>
      </c>
      <c r="D77" t="inlineStr">
        <is>
          <t>emilio.montes92@gmail.com</t>
        </is>
      </c>
      <c r="E77" t="inlineStr">
        <is>
          <t>Medellín</t>
        </is>
      </c>
      <c r="F77" t="inlineStr">
        <is>
          <t>PRY-002</t>
        </is>
      </c>
      <c r="G77" t="inlineStr">
        <is>
          <t>Portal Web</t>
        </is>
      </c>
      <c r="H77" t="inlineStr">
        <is>
          <t>Sofía Prada</t>
        </is>
      </c>
      <c r="I77" t="inlineStr">
        <is>
          <t>Perdido</t>
        </is>
      </c>
      <c r="J77" s="28" t="n">
        <v>45292</v>
      </c>
      <c r="K77" s="28" t="n">
        <v>45366</v>
      </c>
      <c r="L77" t="inlineStr">
        <is>
          <t>Eligió otro proyecto</t>
        </is>
      </c>
    </row>
    <row r="78" ht="15.75" customHeight="1" s="25">
      <c r="A78" t="inlineStr">
        <is>
          <t>CLI-0076</t>
        </is>
      </c>
      <c r="B78" t="inlineStr">
        <is>
          <t>Felipe Correa Cifuentes</t>
        </is>
      </c>
      <c r="C78" t="inlineStr">
        <is>
          <t>3151527201</t>
        </is>
      </c>
      <c r="D78" t="inlineStr">
        <is>
          <t>felipe.correa6@outlook.com</t>
        </is>
      </c>
      <c r="E78" t="inlineStr">
        <is>
          <t>Medellín</t>
        </is>
      </c>
      <c r="F78" t="inlineStr">
        <is>
          <t>PRY-004</t>
        </is>
      </c>
      <c r="G78" t="inlineStr">
        <is>
          <t>Facebook</t>
        </is>
      </c>
      <c r="H78" t="inlineStr">
        <is>
          <t>Luis Bedoya</t>
        </is>
      </c>
      <c r="I78" t="inlineStr">
        <is>
          <t>Ganado</t>
        </is>
      </c>
      <c r="J78" s="28" t="n">
        <v>45292</v>
      </c>
      <c r="K78" s="28" t="n">
        <v>45379</v>
      </c>
      <c r="L78" t="inlineStr">
        <is>
          <t>Compró Casa 22 en Altavista Park</t>
        </is>
      </c>
    </row>
    <row r="79" ht="15.75" customHeight="1" s="25">
      <c r="A79" t="inlineStr">
        <is>
          <t>CLI-0077</t>
        </is>
      </c>
      <c r="B79" t="inlineStr">
        <is>
          <t>Mauricio Gaviria Londoño</t>
        </is>
      </c>
      <c r="C79" t="inlineStr">
        <is>
          <t>3043262544</t>
        </is>
      </c>
      <c r="D79" t="inlineStr">
        <is>
          <t>mauricio.gaviria55@hotmail.com</t>
        </is>
      </c>
      <c r="E79" t="inlineStr">
        <is>
          <t>Envigado</t>
        </is>
      </c>
      <c r="F79" t="inlineStr">
        <is>
          <t>PRY-004</t>
        </is>
      </c>
      <c r="G79" t="inlineStr">
        <is>
          <t>Instagram</t>
        </is>
      </c>
      <c r="H79" t="inlineStr">
        <is>
          <t>Sofía Prada</t>
        </is>
      </c>
      <c r="I79" t="inlineStr">
        <is>
          <t>Ganado</t>
        </is>
      </c>
      <c r="J79" s="28" t="n">
        <v>45292</v>
      </c>
      <c r="K79" s="28" t="n">
        <v>45408</v>
      </c>
      <c r="L79" t="inlineStr">
        <is>
          <t>Compró Casa 57 en Altavista Park</t>
        </is>
      </c>
    </row>
    <row r="80" ht="15.75" customHeight="1" s="25">
      <c r="A80" t="inlineStr">
        <is>
          <t>CLI-0078</t>
        </is>
      </c>
      <c r="B80" t="inlineStr">
        <is>
          <t>Luisa Sánchez Cifuentes</t>
        </is>
      </c>
      <c r="C80" t="inlineStr">
        <is>
          <t>3171504845</t>
        </is>
      </c>
      <c r="D80" t="inlineStr">
        <is>
          <t>luisa.sanchez6@gmail.com</t>
        </is>
      </c>
      <c r="E80" t="inlineStr">
        <is>
          <t>Medellín</t>
        </is>
      </c>
      <c r="F80" t="inlineStr">
        <is>
          <t>PRY-003</t>
        </is>
      </c>
      <c r="G80" t="inlineStr">
        <is>
          <t>Referido</t>
        </is>
      </c>
      <c r="H80" t="inlineStr">
        <is>
          <t>Andrés Torres</t>
        </is>
      </c>
      <c r="I80" t="inlineStr">
        <is>
          <t>Ganado</t>
        </is>
      </c>
      <c r="J80" s="28" t="n">
        <v>45292</v>
      </c>
      <c r="K80" s="28" t="n">
        <v>45399</v>
      </c>
      <c r="L80" t="inlineStr">
        <is>
          <t>Compró Apto 1102 en Conecta Laureles</t>
        </is>
      </c>
    </row>
    <row r="81" ht="15.75" customHeight="1" s="25">
      <c r="A81" t="inlineStr">
        <is>
          <t>CLI-0079</t>
        </is>
      </c>
      <c r="B81" t="inlineStr">
        <is>
          <t>David Peláez Henao</t>
        </is>
      </c>
      <c r="C81" t="inlineStr">
        <is>
          <t>3104597819</t>
        </is>
      </c>
      <c r="D81" t="inlineStr">
        <is>
          <t>david.pelaez85@yahoo.com</t>
        </is>
      </c>
      <c r="E81" t="inlineStr">
        <is>
          <t>Bello</t>
        </is>
      </c>
      <c r="F81" t="inlineStr">
        <is>
          <t>PRY-004</t>
        </is>
      </c>
      <c r="G81" t="inlineStr">
        <is>
          <t>Feria Inmobiliaria</t>
        </is>
      </c>
      <c r="H81" t="inlineStr">
        <is>
          <t>Paula Arenas</t>
        </is>
      </c>
      <c r="I81" t="inlineStr">
        <is>
          <t>Ganado</t>
        </is>
      </c>
      <c r="J81" s="28" t="n">
        <v>45292</v>
      </c>
      <c r="K81" s="28" t="n">
        <v>45433</v>
      </c>
      <c r="L81" t="inlineStr">
        <is>
          <t>Compró Casa 2 en Altavista Park</t>
        </is>
      </c>
    </row>
    <row r="82" ht="15.75" customHeight="1" s="25">
      <c r="A82" t="inlineStr">
        <is>
          <t>CLI-0080</t>
        </is>
      </c>
      <c r="B82" t="inlineStr">
        <is>
          <t>Fernando Hernández Montes</t>
        </is>
      </c>
      <c r="C82" t="inlineStr">
        <is>
          <t>3155732833</t>
        </is>
      </c>
      <c r="D82" t="inlineStr">
        <is>
          <t>fernando.hernandez21@outlook.com</t>
        </is>
      </c>
      <c r="E82" t="inlineStr">
        <is>
          <t>Bello</t>
        </is>
      </c>
      <c r="F82" t="inlineStr">
        <is>
          <t>PRY-003</t>
        </is>
      </c>
      <c r="G82" t="inlineStr">
        <is>
          <t>Feria Inmobiliaria</t>
        </is>
      </c>
      <c r="H82" t="inlineStr">
        <is>
          <t>Sofía Prada</t>
        </is>
      </c>
      <c r="I82" t="inlineStr">
        <is>
          <t>Ganado</t>
        </is>
      </c>
      <c r="J82" s="28" t="n">
        <v>45292</v>
      </c>
      <c r="K82" s="28" t="n">
        <v>45371</v>
      </c>
      <c r="L82" t="inlineStr">
        <is>
          <t>Compró Apto 1204 en Conecta Laureles</t>
        </is>
      </c>
    </row>
    <row r="83" ht="15.75" customHeight="1" s="25">
      <c r="A83" t="inlineStr">
        <is>
          <t>CLI-0081</t>
        </is>
      </c>
      <c r="B83" t="inlineStr">
        <is>
          <t>Manuela Montes López</t>
        </is>
      </c>
      <c r="C83" t="inlineStr">
        <is>
          <t>3019906626</t>
        </is>
      </c>
      <c r="D83" t="inlineStr">
        <is>
          <t>manuela.montes77@yahoo.com</t>
        </is>
      </c>
      <c r="E83" t="inlineStr">
        <is>
          <t>Bello</t>
        </is>
      </c>
      <c r="F83" t="inlineStr">
        <is>
          <t>PRY-004</t>
        </is>
      </c>
      <c r="G83" t="inlineStr">
        <is>
          <t>Portal Web</t>
        </is>
      </c>
      <c r="H83" t="inlineStr">
        <is>
          <t>Andrés Torres</t>
        </is>
      </c>
      <c r="I83" t="inlineStr">
        <is>
          <t>Perdido</t>
        </is>
      </c>
      <c r="J83" s="28" t="n">
        <v>45292</v>
      </c>
      <c r="K83" s="28" t="n">
        <v>45309</v>
      </c>
      <c r="L83" t="inlineStr">
        <is>
          <t>No calificó para crédito</t>
        </is>
      </c>
    </row>
    <row r="84" ht="15.75" customHeight="1" s="25">
      <c r="A84" t="inlineStr">
        <is>
          <t>CLI-0082</t>
        </is>
      </c>
      <c r="B84" t="inlineStr">
        <is>
          <t>Iván Salazar Álvarez</t>
        </is>
      </c>
      <c r="C84" t="inlineStr">
        <is>
          <t>3157474357</t>
        </is>
      </c>
      <c r="D84" t="inlineStr">
        <is>
          <t>ivan.salazar39@gmail.com</t>
        </is>
      </c>
      <c r="E84" t="inlineStr">
        <is>
          <t>Medellín</t>
        </is>
      </c>
      <c r="F84" t="inlineStr">
        <is>
          <t>PRY-001</t>
        </is>
      </c>
      <c r="G84" t="inlineStr">
        <is>
          <t>Portal Web</t>
        </is>
      </c>
      <c r="H84" t="inlineStr">
        <is>
          <t>Andrés Torres</t>
        </is>
      </c>
      <c r="I84" t="inlineStr">
        <is>
          <t>Perdido</t>
        </is>
      </c>
      <c r="J84" s="28" t="n">
        <v>45292</v>
      </c>
      <c r="K84" s="28" t="n">
        <v>45315</v>
      </c>
      <c r="L84" t="inlineStr">
        <is>
          <t>No calificó para crédito</t>
        </is>
      </c>
    </row>
    <row r="85" ht="15.75" customHeight="1" s="25">
      <c r="A85" t="inlineStr">
        <is>
          <t>CLI-0083</t>
        </is>
      </c>
      <c r="B85" t="inlineStr">
        <is>
          <t>Esteban Escobar Pérez</t>
        </is>
      </c>
      <c r="C85" t="inlineStr">
        <is>
          <t>3132313353</t>
        </is>
      </c>
      <c r="D85" t="inlineStr">
        <is>
          <t>esteban.escobar33@outlook.com</t>
        </is>
      </c>
      <c r="E85" t="inlineStr">
        <is>
          <t>Medellín</t>
        </is>
      </c>
      <c r="F85" t="inlineStr">
        <is>
          <t>PRY-003</t>
        </is>
      </c>
      <c r="G85" t="inlineStr">
        <is>
          <t>Portal Web</t>
        </is>
      </c>
      <c r="H85" t="inlineStr">
        <is>
          <t>Luis Bedoya</t>
        </is>
      </c>
      <c r="I85" t="inlineStr">
        <is>
          <t>Ganado</t>
        </is>
      </c>
      <c r="J85" s="28" t="n">
        <v>45294</v>
      </c>
      <c r="K85" s="28" t="n">
        <v>45360</v>
      </c>
      <c r="L85" t="inlineStr">
        <is>
          <t>Compró Apto 1908 en Conecta Laureles</t>
        </is>
      </c>
    </row>
    <row r="86" ht="15.75" customHeight="1" s="25">
      <c r="A86" t="inlineStr">
        <is>
          <t>CLI-0084</t>
        </is>
      </c>
      <c r="B86" t="inlineStr">
        <is>
          <t>Mauricio Espinosa Jaramillo</t>
        </is>
      </c>
      <c r="C86" t="inlineStr">
        <is>
          <t>3178623426</t>
        </is>
      </c>
      <c r="D86" t="inlineStr">
        <is>
          <t>mauricio.espinosa29@yahoo.com</t>
        </is>
      </c>
      <c r="E86" t="inlineStr">
        <is>
          <t>Medellín</t>
        </is>
      </c>
      <c r="F86" t="inlineStr">
        <is>
          <t>PRY-003</t>
        </is>
      </c>
      <c r="G86" t="inlineStr">
        <is>
          <t>Instagram</t>
        </is>
      </c>
      <c r="H86" t="inlineStr">
        <is>
          <t>Andrés Torres</t>
        </is>
      </c>
      <c r="I86" t="inlineStr">
        <is>
          <t>Perdido</t>
        </is>
      </c>
      <c r="J86" s="28" t="n">
        <v>45294</v>
      </c>
      <c r="K86" s="28" t="n">
        <v>45372</v>
      </c>
      <c r="L86" t="inlineStr">
        <is>
          <t>Desistió de la compra</t>
        </is>
      </c>
    </row>
    <row r="87" ht="15.75" customHeight="1" s="25">
      <c r="A87" t="inlineStr">
        <is>
          <t>CLI-0085</t>
        </is>
      </c>
      <c r="B87" t="inlineStr">
        <is>
          <t>Ximena Álvarez Duque</t>
        </is>
      </c>
      <c r="C87" t="inlineStr">
        <is>
          <t>3229548894</t>
        </is>
      </c>
      <c r="D87" t="inlineStr">
        <is>
          <t>ximena.alvarez54@gmail.com</t>
        </is>
      </c>
      <c r="E87" t="inlineStr">
        <is>
          <t>Medellín</t>
        </is>
      </c>
      <c r="F87" t="inlineStr">
        <is>
          <t>PRY-001</t>
        </is>
      </c>
      <c r="G87" t="inlineStr">
        <is>
          <t>Portal Web</t>
        </is>
      </c>
      <c r="H87" t="inlineStr">
        <is>
          <t>Paula Arenas</t>
        </is>
      </c>
      <c r="I87" t="inlineStr">
        <is>
          <t>Ganado</t>
        </is>
      </c>
      <c r="J87" s="28" t="n">
        <v>45294</v>
      </c>
      <c r="K87" s="28" t="n">
        <v>45382</v>
      </c>
      <c r="L87" t="inlineStr">
        <is>
          <t>Compró Apto 1001 en Torres del Poblado</t>
        </is>
      </c>
    </row>
    <row r="88" ht="15.75" customHeight="1" s="25">
      <c r="A88" t="inlineStr">
        <is>
          <t>CLI-0086</t>
        </is>
      </c>
      <c r="B88" t="inlineStr">
        <is>
          <t>Rodrigo Salazar Zapata</t>
        </is>
      </c>
      <c r="C88" t="inlineStr">
        <is>
          <t>3244683174</t>
        </is>
      </c>
      <c r="D88" t="inlineStr">
        <is>
          <t>rodrigo.salazar29@hotmail.com</t>
        </is>
      </c>
      <c r="E88" t="inlineStr">
        <is>
          <t>Medellín</t>
        </is>
      </c>
      <c r="F88" t="inlineStr">
        <is>
          <t>PRY-001</t>
        </is>
      </c>
      <c r="G88" t="inlineStr">
        <is>
          <t>Facebook</t>
        </is>
      </c>
      <c r="H88" t="inlineStr">
        <is>
          <t>Ana Quintero</t>
        </is>
      </c>
      <c r="I88" t="inlineStr">
        <is>
          <t>Perdido</t>
        </is>
      </c>
      <c r="J88" s="28" t="n">
        <v>45294</v>
      </c>
      <c r="K88" s="28" t="n">
        <v>45317</v>
      </c>
      <c r="L88" t="inlineStr">
        <is>
          <t>Presupuesto insuficiente</t>
        </is>
      </c>
    </row>
    <row r="89" ht="15.75" customHeight="1" s="25">
      <c r="A89" t="inlineStr">
        <is>
          <t>CLI-0087</t>
        </is>
      </c>
      <c r="B89" t="inlineStr">
        <is>
          <t>Sebastián Cardona Ochoa</t>
        </is>
      </c>
      <c r="C89" t="inlineStr">
        <is>
          <t>3013654559</t>
        </is>
      </c>
      <c r="D89" t="inlineStr">
        <is>
          <t>sebastian.cardona88@gmail.com</t>
        </is>
      </c>
      <c r="E89" t="inlineStr">
        <is>
          <t>Itagüí</t>
        </is>
      </c>
      <c r="F89" t="inlineStr">
        <is>
          <t>PRY-001</t>
        </is>
      </c>
      <c r="G89" t="inlineStr">
        <is>
          <t>Portal Web</t>
        </is>
      </c>
      <c r="H89" t="inlineStr">
        <is>
          <t>Paula Arenas</t>
        </is>
      </c>
      <c r="I89" t="inlineStr">
        <is>
          <t>Perdido</t>
        </is>
      </c>
      <c r="J89" s="28" t="n">
        <v>45295</v>
      </c>
      <c r="K89" s="28" t="n">
        <v>45305</v>
      </c>
      <c r="L89" t="inlineStr">
        <is>
          <t>Presupuesto insuficiente</t>
        </is>
      </c>
    </row>
    <row r="90" ht="15.75" customHeight="1" s="25">
      <c r="A90" t="inlineStr">
        <is>
          <t>CLI-0088</t>
        </is>
      </c>
      <c r="B90" t="inlineStr">
        <is>
          <t>Andrés Vásquez Montoya</t>
        </is>
      </c>
      <c r="C90" t="inlineStr">
        <is>
          <t>3003299924</t>
        </is>
      </c>
      <c r="D90" t="inlineStr">
        <is>
          <t>andres.vasquez6@outlook.com</t>
        </is>
      </c>
      <c r="E90" t="inlineStr">
        <is>
          <t>Envigado</t>
        </is>
      </c>
      <c r="F90" t="inlineStr">
        <is>
          <t>PRY-004</t>
        </is>
      </c>
      <c r="G90" t="inlineStr">
        <is>
          <t>Llamada directa</t>
        </is>
      </c>
      <c r="H90" t="inlineStr">
        <is>
          <t>Andrés Torres</t>
        </is>
      </c>
      <c r="I90" t="inlineStr">
        <is>
          <t>Ganado</t>
        </is>
      </c>
      <c r="J90" s="28" t="n">
        <v>45296</v>
      </c>
      <c r="K90" s="28" t="n">
        <v>45387</v>
      </c>
      <c r="L90" t="inlineStr">
        <is>
          <t>Compró Casa 7 en Altavista Park</t>
        </is>
      </c>
    </row>
    <row r="91" ht="15.75" customHeight="1" s="25">
      <c r="A91" t="inlineStr">
        <is>
          <t>CLI-0089</t>
        </is>
      </c>
      <c r="B91" t="inlineStr">
        <is>
          <t>Daniel Ochoa Restrepo</t>
        </is>
      </c>
      <c r="C91" t="inlineStr">
        <is>
          <t>3178717679</t>
        </is>
      </c>
      <c r="D91" t="inlineStr">
        <is>
          <t>daniel.ochoa67@outlook.com</t>
        </is>
      </c>
      <c r="E91" t="inlineStr">
        <is>
          <t>Medellín</t>
        </is>
      </c>
      <c r="F91" t="inlineStr">
        <is>
          <t>PRY-001</t>
        </is>
      </c>
      <c r="G91" t="inlineStr">
        <is>
          <t>Feria Inmobiliaria</t>
        </is>
      </c>
      <c r="H91" t="inlineStr">
        <is>
          <t>Miguel Salazar</t>
        </is>
      </c>
      <c r="I91" t="inlineStr">
        <is>
          <t>Perdido</t>
        </is>
      </c>
      <c r="J91" s="28" t="n">
        <v>45296</v>
      </c>
      <c r="K91" s="28" t="n">
        <v>45354</v>
      </c>
      <c r="L91" t="inlineStr">
        <is>
          <t>Precio fuera de presupuesto</t>
        </is>
      </c>
    </row>
    <row r="92" ht="15.75" customHeight="1" s="25">
      <c r="A92" t="inlineStr">
        <is>
          <t>CLI-0090</t>
        </is>
      </c>
      <c r="B92" t="inlineStr">
        <is>
          <t>Jhon Vélez Jaramillo</t>
        </is>
      </c>
      <c r="C92" t="inlineStr">
        <is>
          <t>3108785690</t>
        </is>
      </c>
      <c r="D92" t="inlineStr">
        <is>
          <t>jhon.velez53@yahoo.com</t>
        </is>
      </c>
      <c r="E92" t="inlineStr">
        <is>
          <t>Medellín</t>
        </is>
      </c>
      <c r="F92" t="inlineStr">
        <is>
          <t>PRY-002</t>
        </is>
      </c>
      <c r="G92" t="inlineStr">
        <is>
          <t>Llamada directa</t>
        </is>
      </c>
      <c r="H92" t="inlineStr">
        <is>
          <t>Sofía Prada</t>
        </is>
      </c>
      <c r="I92" t="inlineStr">
        <is>
          <t>Perdido</t>
        </is>
      </c>
      <c r="J92" s="28" t="n">
        <v>45297</v>
      </c>
      <c r="K92" s="28" t="n">
        <v>45438</v>
      </c>
      <c r="L92" t="inlineStr">
        <is>
          <t>Crédito no aprobado</t>
        </is>
      </c>
    </row>
    <row r="93" ht="15.75" customHeight="1" s="25">
      <c r="A93" t="inlineStr">
        <is>
          <t>CLI-0091</t>
        </is>
      </c>
      <c r="B93" t="inlineStr">
        <is>
          <t>Daniela Vargas Vélez</t>
        </is>
      </c>
      <c r="C93" t="inlineStr">
        <is>
          <t>3007724415</t>
        </is>
      </c>
      <c r="D93" t="inlineStr">
        <is>
          <t>daniela.vargas69@yahoo.com</t>
        </is>
      </c>
      <c r="E93" t="inlineStr">
        <is>
          <t>Itagüí</t>
        </is>
      </c>
      <c r="F93" t="inlineStr">
        <is>
          <t>PRY-008</t>
        </is>
      </c>
      <c r="G93" t="inlineStr">
        <is>
          <t>Referido</t>
        </is>
      </c>
      <c r="H93" t="inlineStr">
        <is>
          <t>Andrés Torres</t>
        </is>
      </c>
      <c r="I93" t="inlineStr">
        <is>
          <t>Ganado</t>
        </is>
      </c>
      <c r="J93" s="28" t="n">
        <v>45297</v>
      </c>
      <c r="K93" s="28" t="n">
        <v>45372</v>
      </c>
      <c r="L93" t="inlineStr">
        <is>
          <t>Compró Casa 52 en Valle Verde Itagüí</t>
        </is>
      </c>
    </row>
    <row r="94" ht="15.75" customHeight="1" s="25">
      <c r="A94" t="inlineStr">
        <is>
          <t>CLI-0092</t>
        </is>
      </c>
      <c r="B94" t="inlineStr">
        <is>
          <t>Verónica Correa Montes</t>
        </is>
      </c>
      <c r="C94" t="inlineStr">
        <is>
          <t>3151590140</t>
        </is>
      </c>
      <c r="D94" t="inlineStr">
        <is>
          <t>veronica.correa6@outlook.com</t>
        </is>
      </c>
      <c r="E94" t="inlineStr">
        <is>
          <t>Itagüí</t>
        </is>
      </c>
      <c r="F94" t="inlineStr">
        <is>
          <t>PRY-008</t>
        </is>
      </c>
      <c r="G94" t="inlineStr">
        <is>
          <t>Portal Web</t>
        </is>
      </c>
      <c r="H94" t="inlineStr">
        <is>
          <t>Luis Bedoya</t>
        </is>
      </c>
      <c r="I94" t="inlineStr">
        <is>
          <t>Ganado</t>
        </is>
      </c>
      <c r="J94" s="28" t="n">
        <v>45297</v>
      </c>
      <c r="K94" s="28" t="n">
        <v>45416</v>
      </c>
      <c r="L94" t="inlineStr">
        <is>
          <t>Compró Casa 75 en Valle Verde Itagüí</t>
        </is>
      </c>
    </row>
    <row r="95" ht="15.75" customHeight="1" s="25">
      <c r="A95" t="inlineStr">
        <is>
          <t>CLI-0093</t>
        </is>
      </c>
      <c r="B95" t="inlineStr">
        <is>
          <t>Isabel Cifuentes Cano</t>
        </is>
      </c>
      <c r="C95" t="inlineStr">
        <is>
          <t>3243195254</t>
        </is>
      </c>
      <c r="D95" t="inlineStr">
        <is>
          <t>isabel.cifuentes16@gmail.com</t>
        </is>
      </c>
      <c r="E95" t="inlineStr">
        <is>
          <t>Medellín</t>
        </is>
      </c>
      <c r="F95" t="inlineStr">
        <is>
          <t>PRY-001</t>
        </is>
      </c>
      <c r="G95" t="inlineStr">
        <is>
          <t>Facebook</t>
        </is>
      </c>
      <c r="H95" t="inlineStr">
        <is>
          <t>Paula Arenas</t>
        </is>
      </c>
      <c r="I95" t="inlineStr">
        <is>
          <t>Perdido</t>
        </is>
      </c>
      <c r="J95" s="28" t="n">
        <v>45297</v>
      </c>
      <c r="K95" s="28" t="n">
        <v>45327</v>
      </c>
      <c r="L95" t="inlineStr">
        <is>
          <t>Sin respuesta tras 3 contactos</t>
        </is>
      </c>
    </row>
    <row r="96" ht="15.75" customHeight="1" s="25">
      <c r="A96" t="inlineStr">
        <is>
          <t>CLI-0094</t>
        </is>
      </c>
      <c r="B96" t="inlineStr">
        <is>
          <t>Ricardo Franco Arango</t>
        </is>
      </c>
      <c r="C96" t="inlineStr">
        <is>
          <t>3137896848</t>
        </is>
      </c>
      <c r="D96" t="inlineStr">
        <is>
          <t>ricardo.franco21@outlook.com</t>
        </is>
      </c>
      <c r="E96" t="inlineStr">
        <is>
          <t>Itagüí</t>
        </is>
      </c>
      <c r="F96" t="inlineStr">
        <is>
          <t>PRY-008</t>
        </is>
      </c>
      <c r="G96" t="inlineStr">
        <is>
          <t>Instagram</t>
        </is>
      </c>
      <c r="H96" t="inlineStr">
        <is>
          <t>Paula Arenas</t>
        </is>
      </c>
      <c r="I96" t="inlineStr">
        <is>
          <t>Perdido</t>
        </is>
      </c>
      <c r="J96" s="28" t="n">
        <v>45297</v>
      </c>
      <c r="K96" s="28" t="n">
        <v>45316</v>
      </c>
      <c r="L96" t="inlineStr">
        <is>
          <t>Sin respuesta tras 3 contactos</t>
        </is>
      </c>
    </row>
    <row r="97" ht="15.75" customHeight="1" s="25">
      <c r="A97" t="inlineStr">
        <is>
          <t>CLI-0095</t>
        </is>
      </c>
      <c r="B97" t="inlineStr">
        <is>
          <t>Sandra Betancur Higuita</t>
        </is>
      </c>
      <c r="C97" t="inlineStr">
        <is>
          <t>3154574800</t>
        </is>
      </c>
      <c r="D97" t="inlineStr">
        <is>
          <t>sandra.betancur19@hotmail.com</t>
        </is>
      </c>
      <c r="E97" t="inlineStr">
        <is>
          <t>Medellín</t>
        </is>
      </c>
      <c r="F97" t="inlineStr">
        <is>
          <t>PRY-003</t>
        </is>
      </c>
      <c r="G97" t="inlineStr">
        <is>
          <t>Portal Web</t>
        </is>
      </c>
      <c r="H97" t="inlineStr">
        <is>
          <t>Sofía Prada</t>
        </is>
      </c>
      <c r="I97" t="inlineStr">
        <is>
          <t>Perdido</t>
        </is>
      </c>
      <c r="J97" s="28" t="n">
        <v>45297</v>
      </c>
      <c r="K97" s="28" t="n">
        <v>45303</v>
      </c>
      <c r="L97" t="inlineStr">
        <is>
          <t>Datos de contacto errados</t>
        </is>
      </c>
    </row>
    <row r="98" ht="15.75" customHeight="1" s="25">
      <c r="A98" t="inlineStr">
        <is>
          <t>CLI-0096</t>
        </is>
      </c>
      <c r="B98" t="inlineStr">
        <is>
          <t>Fernando Peláez Arango</t>
        </is>
      </c>
      <c r="C98" t="inlineStr">
        <is>
          <t>3016943484</t>
        </is>
      </c>
      <c r="D98" t="inlineStr">
        <is>
          <t>fernando.pelaez29@gmail.com</t>
        </is>
      </c>
      <c r="E98" t="inlineStr">
        <is>
          <t>La Estrella</t>
        </is>
      </c>
      <c r="F98" t="inlineStr">
        <is>
          <t>PRY-001</t>
        </is>
      </c>
      <c r="G98" t="inlineStr">
        <is>
          <t>Portal Web</t>
        </is>
      </c>
      <c r="H98" t="inlineStr">
        <is>
          <t>Ana Quintero</t>
        </is>
      </c>
      <c r="I98" t="inlineStr">
        <is>
          <t>Perdido</t>
        </is>
      </c>
      <c r="J98" s="28" t="n">
        <v>45297</v>
      </c>
      <c r="K98" s="28" t="n">
        <v>45307</v>
      </c>
      <c r="L98" t="inlineStr">
        <is>
          <t>Presupuesto insuficiente</t>
        </is>
      </c>
    </row>
    <row r="99" ht="15.75" customHeight="1" s="25">
      <c r="A99" t="inlineStr">
        <is>
          <t>CLI-0097</t>
        </is>
      </c>
      <c r="B99" t="inlineStr">
        <is>
          <t>Diana Agudelo Palacio</t>
        </is>
      </c>
      <c r="C99" t="inlineStr">
        <is>
          <t>3049779534</t>
        </is>
      </c>
      <c r="D99" t="inlineStr">
        <is>
          <t>diana.agudelo84@outlook.com</t>
        </is>
      </c>
      <c r="E99" t="inlineStr">
        <is>
          <t>Medellín</t>
        </is>
      </c>
      <c r="F99" t="inlineStr">
        <is>
          <t>PRY-003</t>
        </is>
      </c>
      <c r="G99" t="inlineStr">
        <is>
          <t>Instagram</t>
        </is>
      </c>
      <c r="H99" t="inlineStr">
        <is>
          <t>Luis Bedoya</t>
        </is>
      </c>
      <c r="I99" t="inlineStr">
        <is>
          <t>Ganado</t>
        </is>
      </c>
      <c r="J99" s="28" t="n">
        <v>45298</v>
      </c>
      <c r="K99" s="28" t="n">
        <v>45382</v>
      </c>
      <c r="L99" t="inlineStr">
        <is>
          <t>Compró Apto 1402 en Conecta Laureles</t>
        </is>
      </c>
    </row>
    <row r="100" ht="15.75" customHeight="1" s="25">
      <c r="A100" t="inlineStr">
        <is>
          <t>CLI-0098</t>
        </is>
      </c>
      <c r="B100" t="inlineStr">
        <is>
          <t>Paula Salazar Uribe</t>
        </is>
      </c>
      <c r="C100" t="inlineStr">
        <is>
          <t>3246507188</t>
        </is>
      </c>
      <c r="D100" t="inlineStr">
        <is>
          <t>paula.salazar84@outlook.com</t>
        </is>
      </c>
      <c r="E100" t="inlineStr">
        <is>
          <t>Medellín</t>
        </is>
      </c>
      <c r="F100" t="inlineStr">
        <is>
          <t>PRY-004</t>
        </is>
      </c>
      <c r="G100" t="inlineStr">
        <is>
          <t>Portal Web</t>
        </is>
      </c>
      <c r="H100" t="inlineStr">
        <is>
          <t>Sofía Prada</t>
        </is>
      </c>
      <c r="I100" t="inlineStr">
        <is>
          <t>Perdido</t>
        </is>
      </c>
      <c r="J100" s="28" t="n">
        <v>45298</v>
      </c>
      <c r="K100" s="28" t="n">
        <v>45323</v>
      </c>
      <c r="L100" t="inlineStr">
        <is>
          <t>No calificó para crédito</t>
        </is>
      </c>
    </row>
    <row r="101" ht="15.75" customHeight="1" s="25">
      <c r="A101" t="inlineStr">
        <is>
          <t>CLI-0099</t>
        </is>
      </c>
      <c r="B101" t="inlineStr">
        <is>
          <t>Patricia Álvarez Giraldo</t>
        </is>
      </c>
      <c r="C101" t="inlineStr">
        <is>
          <t>3241398012</t>
        </is>
      </c>
      <c r="D101" t="inlineStr">
        <is>
          <t>patricia.alvarez58@hotmail.com</t>
        </is>
      </c>
      <c r="E101" t="inlineStr">
        <is>
          <t>Medellín</t>
        </is>
      </c>
      <c r="F101" t="inlineStr">
        <is>
          <t>PRY-003</t>
        </is>
      </c>
      <c r="G101" t="inlineStr">
        <is>
          <t>Portal Web</t>
        </is>
      </c>
      <c r="H101" t="inlineStr">
        <is>
          <t>Sofía Prada</t>
        </is>
      </c>
      <c r="I101" t="inlineStr">
        <is>
          <t>Perdido</t>
        </is>
      </c>
      <c r="J101" s="28" t="n">
        <v>45298</v>
      </c>
      <c r="K101" s="28" t="n">
        <v>45308</v>
      </c>
      <c r="L101" t="inlineStr">
        <is>
          <t>Sin respuesta tras 3 contactos</t>
        </is>
      </c>
    </row>
    <row r="102" ht="15.75" customHeight="1" s="25">
      <c r="A102" t="inlineStr">
        <is>
          <t>CLI-0100</t>
        </is>
      </c>
      <c r="B102" t="inlineStr">
        <is>
          <t>Verónica Escobar Vásquez</t>
        </is>
      </c>
      <c r="C102" t="inlineStr">
        <is>
          <t>3042287057</t>
        </is>
      </c>
      <c r="D102" t="inlineStr">
        <is>
          <t>veronica.escobar68@yahoo.com</t>
        </is>
      </c>
      <c r="E102" t="inlineStr">
        <is>
          <t>Medellín</t>
        </is>
      </c>
      <c r="F102" t="inlineStr">
        <is>
          <t>PRY-003</t>
        </is>
      </c>
      <c r="G102" t="inlineStr">
        <is>
          <t>Instagram</t>
        </is>
      </c>
      <c r="H102" t="inlineStr">
        <is>
          <t>Andrés Torres</t>
        </is>
      </c>
      <c r="I102" t="inlineStr">
        <is>
          <t>Perdido</t>
        </is>
      </c>
      <c r="J102" s="28" t="n">
        <v>45299</v>
      </c>
      <c r="K102" s="28" t="n">
        <v>45308</v>
      </c>
      <c r="L102" t="inlineStr">
        <is>
          <t>Sin respuesta tras 3 contactos</t>
        </is>
      </c>
    </row>
    <row r="103" ht="15.75" customHeight="1" s="25">
      <c r="A103" t="inlineStr">
        <is>
          <t>CLI-0101</t>
        </is>
      </c>
      <c r="B103" t="inlineStr">
        <is>
          <t>Alejandro Cano Giraldo</t>
        </is>
      </c>
      <c r="C103" t="inlineStr">
        <is>
          <t>3234074610</t>
        </is>
      </c>
      <c r="D103" t="inlineStr">
        <is>
          <t>alejandro.cano95@outlook.com</t>
        </is>
      </c>
      <c r="E103" t="inlineStr">
        <is>
          <t>Itagüí</t>
        </is>
      </c>
      <c r="F103" t="inlineStr">
        <is>
          <t>PRY-008</t>
        </is>
      </c>
      <c r="G103" t="inlineStr">
        <is>
          <t>Instagram</t>
        </is>
      </c>
      <c r="H103" t="inlineStr">
        <is>
          <t>Paula Arenas</t>
        </is>
      </c>
      <c r="I103" t="inlineStr">
        <is>
          <t>Perdido</t>
        </is>
      </c>
      <c r="J103" s="28" t="n">
        <v>45300</v>
      </c>
      <c r="K103" s="28" t="n">
        <v>45307</v>
      </c>
      <c r="L103" t="inlineStr">
        <is>
          <t>Buscaba arriendo, no compra</t>
        </is>
      </c>
    </row>
    <row r="104" ht="15.75" customHeight="1" s="25">
      <c r="A104" t="inlineStr">
        <is>
          <t>CLI-0102</t>
        </is>
      </c>
      <c r="B104" t="inlineStr">
        <is>
          <t>Ximena Mejía Toro</t>
        </is>
      </c>
      <c r="C104" t="inlineStr">
        <is>
          <t>3175586848</t>
        </is>
      </c>
      <c r="D104" t="inlineStr">
        <is>
          <t>ximena.mejia82@hotmail.com</t>
        </is>
      </c>
      <c r="E104" t="inlineStr">
        <is>
          <t>Envigado</t>
        </is>
      </c>
      <c r="F104" t="inlineStr">
        <is>
          <t>PRY-001</t>
        </is>
      </c>
      <c r="G104" t="inlineStr">
        <is>
          <t>Referido</t>
        </is>
      </c>
      <c r="H104" t="inlineStr">
        <is>
          <t>Luis Bedoya</t>
        </is>
      </c>
      <c r="I104" t="inlineStr">
        <is>
          <t>Perdido</t>
        </is>
      </c>
      <c r="J104" s="28" t="n">
        <v>45301</v>
      </c>
      <c r="K104" s="28" t="n">
        <v>45312</v>
      </c>
      <c r="L104" t="inlineStr">
        <is>
          <t>Buscaba arriendo, no compra</t>
        </is>
      </c>
    </row>
    <row r="105" ht="15.75" customHeight="1" s="25">
      <c r="A105" t="inlineStr">
        <is>
          <t>CLI-0103</t>
        </is>
      </c>
      <c r="B105" t="inlineStr">
        <is>
          <t>María Echeverri Betancur</t>
        </is>
      </c>
      <c r="C105" t="inlineStr">
        <is>
          <t>3014812520</t>
        </is>
      </c>
      <c r="D105" t="inlineStr">
        <is>
          <t>maria.echeverri66@gmail.com</t>
        </is>
      </c>
      <c r="E105" t="inlineStr">
        <is>
          <t>Medellín</t>
        </is>
      </c>
      <c r="F105" t="inlineStr">
        <is>
          <t>PRY-003</t>
        </is>
      </c>
      <c r="G105" t="inlineStr">
        <is>
          <t>Portal Web</t>
        </is>
      </c>
      <c r="H105" t="inlineStr">
        <is>
          <t>Luis Bedoya</t>
        </is>
      </c>
      <c r="I105" t="inlineStr">
        <is>
          <t>Perdido</t>
        </is>
      </c>
      <c r="J105" s="28" t="n">
        <v>45301</v>
      </c>
      <c r="K105" s="28" t="n">
        <v>45314</v>
      </c>
      <c r="L105" t="inlineStr">
        <is>
          <t>Sin respuesta tras 3 contactos</t>
        </is>
      </c>
    </row>
    <row r="106" ht="15.75" customHeight="1" s="25">
      <c r="A106" t="inlineStr">
        <is>
          <t>CLI-0104</t>
        </is>
      </c>
      <c r="B106" t="inlineStr">
        <is>
          <t>Julián Valencia Londoño</t>
        </is>
      </c>
      <c r="C106" t="inlineStr">
        <is>
          <t>3045405279</t>
        </is>
      </c>
      <c r="D106" t="inlineStr">
        <is>
          <t>julian.valencia51@outlook.com</t>
        </is>
      </c>
      <c r="E106" t="inlineStr">
        <is>
          <t>Medellín</t>
        </is>
      </c>
      <c r="F106" t="inlineStr">
        <is>
          <t>PRY-004</t>
        </is>
      </c>
      <c r="G106" t="inlineStr">
        <is>
          <t>Portal Web</t>
        </is>
      </c>
      <c r="H106" t="inlineStr">
        <is>
          <t>Ana Quintero</t>
        </is>
      </c>
      <c r="I106" t="inlineStr">
        <is>
          <t>Perdido</t>
        </is>
      </c>
      <c r="J106" s="28" t="n">
        <v>45301</v>
      </c>
      <c r="K106" s="28" t="n">
        <v>45328</v>
      </c>
      <c r="L106" t="inlineStr">
        <is>
          <t>No calificó para crédito</t>
        </is>
      </c>
    </row>
    <row r="107" ht="15.75" customHeight="1" s="25">
      <c r="A107" t="inlineStr">
        <is>
          <t>CLI-0105</t>
        </is>
      </c>
      <c r="B107" t="inlineStr">
        <is>
          <t>Valeria Cardona Pérez</t>
        </is>
      </c>
      <c r="C107" t="inlineStr">
        <is>
          <t>3149800408</t>
        </is>
      </c>
      <c r="D107" t="inlineStr">
        <is>
          <t>valeria.cardona66@yahoo.com</t>
        </is>
      </c>
      <c r="E107" t="inlineStr">
        <is>
          <t>Medellín</t>
        </is>
      </c>
      <c r="F107" t="inlineStr">
        <is>
          <t>PRY-003</t>
        </is>
      </c>
      <c r="G107" t="inlineStr">
        <is>
          <t>Portal Web</t>
        </is>
      </c>
      <c r="H107" t="inlineStr">
        <is>
          <t>Sofía Prada</t>
        </is>
      </c>
      <c r="I107" t="inlineStr">
        <is>
          <t>Perdido</t>
        </is>
      </c>
      <c r="J107" s="28" t="n">
        <v>45302</v>
      </c>
      <c r="K107" s="28" t="n">
        <v>45382</v>
      </c>
      <c r="L107" t="inlineStr">
        <is>
          <t>Eligió otro proyecto</t>
        </is>
      </c>
    </row>
    <row r="108" ht="15.75" customHeight="1" s="25">
      <c r="A108" t="inlineStr">
        <is>
          <t>CLI-0106</t>
        </is>
      </c>
      <c r="B108" t="inlineStr">
        <is>
          <t>Liliana Cifuentes Jaramillo</t>
        </is>
      </c>
      <c r="C108" t="inlineStr">
        <is>
          <t>3173190736</t>
        </is>
      </c>
      <c r="D108" t="inlineStr">
        <is>
          <t>liliana.cifuentes20@yahoo.com</t>
        </is>
      </c>
      <c r="E108" t="inlineStr">
        <is>
          <t>Itagüí</t>
        </is>
      </c>
      <c r="F108" t="inlineStr">
        <is>
          <t>PRY-008</t>
        </is>
      </c>
      <c r="G108" t="inlineStr">
        <is>
          <t>Instagram</t>
        </is>
      </c>
      <c r="H108" t="inlineStr">
        <is>
          <t>Luis Bedoya</t>
        </is>
      </c>
      <c r="I108" t="inlineStr">
        <is>
          <t>Perdido</t>
        </is>
      </c>
      <c r="J108" s="28" t="n">
        <v>45302</v>
      </c>
      <c r="K108" s="28" t="n">
        <v>45307</v>
      </c>
      <c r="L108" t="inlineStr">
        <is>
          <t>Datos de contacto errados</t>
        </is>
      </c>
    </row>
    <row r="109" ht="15.75" customHeight="1" s="25">
      <c r="A109" t="inlineStr">
        <is>
          <t>CLI-0107</t>
        </is>
      </c>
      <c r="B109" t="inlineStr">
        <is>
          <t>Ximena Gaviria Pérez</t>
        </is>
      </c>
      <c r="C109" t="inlineStr">
        <is>
          <t>3008741060</t>
        </is>
      </c>
      <c r="D109" t="inlineStr">
        <is>
          <t>ximena.gaviria55@gmail.com</t>
        </is>
      </c>
      <c r="E109" t="inlineStr">
        <is>
          <t>Medellín</t>
        </is>
      </c>
      <c r="F109" t="inlineStr">
        <is>
          <t>PRY-001</t>
        </is>
      </c>
      <c r="G109" t="inlineStr">
        <is>
          <t>Instagram</t>
        </is>
      </c>
      <c r="H109" t="inlineStr">
        <is>
          <t>Paula Arenas</t>
        </is>
      </c>
      <c r="I109" t="inlineStr">
        <is>
          <t>Perdido</t>
        </is>
      </c>
      <c r="J109" s="28" t="n">
        <v>45303</v>
      </c>
      <c r="K109" s="28" t="n">
        <v>45349</v>
      </c>
      <c r="L109" t="inlineStr">
        <is>
          <t>Crédito no aprobado</t>
        </is>
      </c>
    </row>
    <row r="110" ht="15.75" customHeight="1" s="25">
      <c r="A110" t="inlineStr">
        <is>
          <t>CLI-0108</t>
        </is>
      </c>
      <c r="B110" t="inlineStr">
        <is>
          <t>Carolina Peláez Echeverri</t>
        </is>
      </c>
      <c r="C110" t="inlineStr">
        <is>
          <t>3208363937</t>
        </is>
      </c>
      <c r="D110" t="inlineStr">
        <is>
          <t>carolina.pelaez75@outlook.com</t>
        </is>
      </c>
      <c r="E110" t="inlineStr">
        <is>
          <t>La Estrella</t>
        </is>
      </c>
      <c r="F110" t="inlineStr">
        <is>
          <t>PRY-003</t>
        </is>
      </c>
      <c r="G110" t="inlineStr">
        <is>
          <t>Feria Inmobiliaria</t>
        </is>
      </c>
      <c r="H110" t="inlineStr">
        <is>
          <t>Miguel Salazar</t>
        </is>
      </c>
      <c r="I110" t="inlineStr">
        <is>
          <t>Ganado</t>
        </is>
      </c>
      <c r="J110" s="28" t="n">
        <v>45303</v>
      </c>
      <c r="K110" s="28" t="n">
        <v>45387</v>
      </c>
      <c r="L110" t="inlineStr">
        <is>
          <t>Compró Apto 908 en Conecta Laureles</t>
        </is>
      </c>
    </row>
    <row r="111" ht="15.75" customHeight="1" s="25">
      <c r="A111" t="inlineStr">
        <is>
          <t>CLI-0109</t>
        </is>
      </c>
      <c r="B111" t="inlineStr">
        <is>
          <t>Juliana Montes Higuita</t>
        </is>
      </c>
      <c r="C111" t="inlineStr">
        <is>
          <t>3015944539</t>
        </is>
      </c>
      <c r="D111" t="inlineStr">
        <is>
          <t>juliana.montes96@outlook.com</t>
        </is>
      </c>
      <c r="E111" t="inlineStr">
        <is>
          <t>Medellín</t>
        </is>
      </c>
      <c r="F111" t="inlineStr">
        <is>
          <t>PRY-001</t>
        </is>
      </c>
      <c r="G111" t="inlineStr">
        <is>
          <t>Llamada directa</t>
        </is>
      </c>
      <c r="H111" t="inlineStr">
        <is>
          <t>Sofía Prada</t>
        </is>
      </c>
      <c r="I111" t="inlineStr">
        <is>
          <t>Perdido</t>
        </is>
      </c>
      <c r="J111" s="28" t="n">
        <v>45303</v>
      </c>
      <c r="K111" s="28" t="n">
        <v>45323</v>
      </c>
      <c r="L111" t="inlineStr">
        <is>
          <t>Buscaba arriendo, no compra</t>
        </is>
      </c>
    </row>
    <row r="112" ht="15.75" customHeight="1" s="25">
      <c r="A112" t="inlineStr">
        <is>
          <t>CLI-0110</t>
        </is>
      </c>
      <c r="B112" t="inlineStr">
        <is>
          <t>Esteban Marín Correa</t>
        </is>
      </c>
      <c r="C112" t="inlineStr">
        <is>
          <t>3226774963</t>
        </is>
      </c>
      <c r="D112" t="inlineStr">
        <is>
          <t>esteban.marin96@outlook.com</t>
        </is>
      </c>
      <c r="E112" t="inlineStr">
        <is>
          <t>Medellín</t>
        </is>
      </c>
      <c r="F112" t="inlineStr">
        <is>
          <t>PRY-003</t>
        </is>
      </c>
      <c r="G112" t="inlineStr">
        <is>
          <t>Portal Web</t>
        </is>
      </c>
      <c r="H112" t="inlineStr">
        <is>
          <t>Paula Arenas</t>
        </is>
      </c>
      <c r="I112" t="inlineStr">
        <is>
          <t>Perdido</t>
        </is>
      </c>
      <c r="J112" s="28" t="n">
        <v>45304</v>
      </c>
      <c r="K112" s="28" t="n">
        <v>45325</v>
      </c>
      <c r="L112" t="inlineStr">
        <is>
          <t>No calificó para crédito</t>
        </is>
      </c>
    </row>
    <row r="113" ht="15.75" customHeight="1" s="25">
      <c r="A113" t="inlineStr">
        <is>
          <t>CLI-0111</t>
        </is>
      </c>
      <c r="B113" t="inlineStr">
        <is>
          <t>Alejandra Betancur Henao</t>
        </is>
      </c>
      <c r="C113" t="inlineStr">
        <is>
          <t>3005479701</t>
        </is>
      </c>
      <c r="D113" t="inlineStr">
        <is>
          <t>alejandra.betancur35@yahoo.com</t>
        </is>
      </c>
      <c r="E113" t="inlineStr">
        <is>
          <t>Sabaneta</t>
        </is>
      </c>
      <c r="F113" t="inlineStr">
        <is>
          <t>PRY-003</t>
        </is>
      </c>
      <c r="G113" t="inlineStr">
        <is>
          <t>Feria Inmobiliaria</t>
        </is>
      </c>
      <c r="H113" t="inlineStr">
        <is>
          <t>Sofía Prada</t>
        </is>
      </c>
      <c r="I113" t="inlineStr">
        <is>
          <t>Ganado</t>
        </is>
      </c>
      <c r="J113" s="28" t="n">
        <v>45306</v>
      </c>
      <c r="K113" s="28" t="n">
        <v>45386</v>
      </c>
      <c r="L113" t="inlineStr">
        <is>
          <t>Compró Apto 703 en Conecta Laureles</t>
        </is>
      </c>
    </row>
    <row r="114" ht="15.75" customHeight="1" s="25">
      <c r="A114" t="inlineStr">
        <is>
          <t>CLI-0112</t>
        </is>
      </c>
      <c r="B114" t="inlineStr">
        <is>
          <t>Verónica Osorio Ramírez</t>
        </is>
      </c>
      <c r="C114" t="inlineStr">
        <is>
          <t>3006880263</t>
        </is>
      </c>
      <c r="D114" t="inlineStr">
        <is>
          <t>veronica.osorio8@outlook.com</t>
        </is>
      </c>
      <c r="E114" t="inlineStr">
        <is>
          <t>Medellín</t>
        </is>
      </c>
      <c r="F114" t="inlineStr">
        <is>
          <t>PRY-001</t>
        </is>
      </c>
      <c r="G114" t="inlineStr">
        <is>
          <t>Feria Inmobiliaria</t>
        </is>
      </c>
      <c r="H114" t="inlineStr">
        <is>
          <t>Paula Arenas</t>
        </is>
      </c>
      <c r="I114" t="inlineStr">
        <is>
          <t>Perdido</t>
        </is>
      </c>
      <c r="J114" s="28" t="n">
        <v>45306</v>
      </c>
      <c r="K114" s="28" t="n">
        <v>45321</v>
      </c>
      <c r="L114" t="inlineStr">
        <is>
          <t>Sin respuesta tras 3 contactos</t>
        </is>
      </c>
    </row>
    <row r="115" ht="15.75" customHeight="1" s="25">
      <c r="A115" t="inlineStr">
        <is>
          <t>CLI-0113</t>
        </is>
      </c>
      <c r="B115" t="inlineStr">
        <is>
          <t>Juliana Londoño Gaviria</t>
        </is>
      </c>
      <c r="C115" t="inlineStr">
        <is>
          <t>3007510018</t>
        </is>
      </c>
      <c r="D115" t="inlineStr">
        <is>
          <t>juliana.londono54@yahoo.com</t>
        </is>
      </c>
      <c r="E115" t="inlineStr">
        <is>
          <t>Sabaneta</t>
        </is>
      </c>
      <c r="F115" t="inlineStr">
        <is>
          <t>PRY-002</t>
        </is>
      </c>
      <c r="G115" t="inlineStr">
        <is>
          <t>Feria Inmobiliaria</t>
        </is>
      </c>
      <c r="H115" t="inlineStr">
        <is>
          <t>Andrés Torres</t>
        </is>
      </c>
      <c r="I115" t="inlineStr">
        <is>
          <t>Ganado</t>
        </is>
      </c>
      <c r="J115" s="28" t="n">
        <v>45307</v>
      </c>
      <c r="K115" s="28" t="n">
        <v>45422</v>
      </c>
      <c r="L115" t="inlineStr">
        <is>
          <t>Compró Casa 11 en Reserva Santa Elena</t>
        </is>
      </c>
    </row>
    <row r="116" ht="15.75" customHeight="1" s="25">
      <c r="A116" t="inlineStr">
        <is>
          <t>CLI-0114</t>
        </is>
      </c>
      <c r="B116" t="inlineStr">
        <is>
          <t>Fernando Giraldo Correa</t>
        </is>
      </c>
      <c r="C116" t="inlineStr">
        <is>
          <t>3148498614</t>
        </is>
      </c>
      <c r="D116" t="inlineStr">
        <is>
          <t>fernando.giraldo38@hotmail.com</t>
        </is>
      </c>
      <c r="E116" t="inlineStr">
        <is>
          <t>Sabaneta</t>
        </is>
      </c>
      <c r="F116" t="inlineStr">
        <is>
          <t>PRY-004</t>
        </is>
      </c>
      <c r="G116" t="inlineStr">
        <is>
          <t>Instagram</t>
        </is>
      </c>
      <c r="H116" t="inlineStr">
        <is>
          <t>Ana Quintero</t>
        </is>
      </c>
      <c r="I116" t="inlineStr">
        <is>
          <t>Perdido</t>
        </is>
      </c>
      <c r="J116" s="28" t="n">
        <v>45307</v>
      </c>
      <c r="K116" s="28" t="n">
        <v>45316</v>
      </c>
      <c r="L116" t="inlineStr">
        <is>
          <t>Presupuesto insuficiente</t>
        </is>
      </c>
    </row>
    <row r="117" ht="15.75" customHeight="1" s="25">
      <c r="A117" t="inlineStr">
        <is>
          <t>CLI-0115</t>
        </is>
      </c>
      <c r="B117" t="inlineStr">
        <is>
          <t>Hernán Higuita Vélez</t>
        </is>
      </c>
      <c r="C117" t="inlineStr">
        <is>
          <t>3173405132</t>
        </is>
      </c>
      <c r="D117" t="inlineStr">
        <is>
          <t>hernan.higuita13@outlook.com</t>
        </is>
      </c>
      <c r="E117" t="inlineStr">
        <is>
          <t>Medellín</t>
        </is>
      </c>
      <c r="F117" t="inlineStr">
        <is>
          <t>PRY-001</t>
        </is>
      </c>
      <c r="G117" t="inlineStr">
        <is>
          <t>Facebook</t>
        </is>
      </c>
      <c r="H117" t="inlineStr">
        <is>
          <t>Luis Bedoya</t>
        </is>
      </c>
      <c r="I117" t="inlineStr">
        <is>
          <t>Perdido</t>
        </is>
      </c>
      <c r="J117" s="28" t="n">
        <v>45308</v>
      </c>
      <c r="K117" s="28" t="n">
        <v>45334</v>
      </c>
      <c r="L117" t="inlineStr">
        <is>
          <t>Sin respuesta tras 3 contactos</t>
        </is>
      </c>
    </row>
    <row r="118" ht="15.75" customHeight="1" s="25">
      <c r="A118" t="inlineStr">
        <is>
          <t>CLI-0116</t>
        </is>
      </c>
      <c r="B118" t="inlineStr">
        <is>
          <t>Valeria Osorio Zuluaga</t>
        </is>
      </c>
      <c r="C118" t="inlineStr">
        <is>
          <t>3001616996</t>
        </is>
      </c>
      <c r="D118" t="inlineStr">
        <is>
          <t>valeria.osorio8@hotmail.com</t>
        </is>
      </c>
      <c r="E118" t="inlineStr">
        <is>
          <t>Medellín</t>
        </is>
      </c>
      <c r="F118" t="inlineStr">
        <is>
          <t>PRY-003</t>
        </is>
      </c>
      <c r="G118" t="inlineStr">
        <is>
          <t>Portal Web</t>
        </is>
      </c>
      <c r="H118" t="inlineStr">
        <is>
          <t>Luis Bedoya</t>
        </is>
      </c>
      <c r="I118" t="inlineStr">
        <is>
          <t>Perdido</t>
        </is>
      </c>
      <c r="J118" s="28" t="n">
        <v>45308</v>
      </c>
      <c r="K118" s="28" t="n">
        <v>45318</v>
      </c>
      <c r="L118" t="inlineStr">
        <is>
          <t>No calificó para crédito</t>
        </is>
      </c>
    </row>
    <row r="119" ht="15.75" customHeight="1" s="25">
      <c r="A119" t="inlineStr">
        <is>
          <t>CLI-0117</t>
        </is>
      </c>
      <c r="B119" t="inlineStr">
        <is>
          <t>Nicolás Higuita Espinosa</t>
        </is>
      </c>
      <c r="C119" t="inlineStr">
        <is>
          <t>3049913014</t>
        </is>
      </c>
      <c r="D119" t="inlineStr">
        <is>
          <t>nicolas.higuita72@gmail.com</t>
        </is>
      </c>
      <c r="E119" t="inlineStr">
        <is>
          <t>Medellín</t>
        </is>
      </c>
      <c r="F119" t="inlineStr">
        <is>
          <t>PRY-004</t>
        </is>
      </c>
      <c r="G119" t="inlineStr">
        <is>
          <t>Portal Web</t>
        </is>
      </c>
      <c r="H119" t="inlineStr">
        <is>
          <t>Juliana Vélez</t>
        </is>
      </c>
      <c r="I119" t="inlineStr">
        <is>
          <t>Perdido</t>
        </is>
      </c>
      <c r="J119" s="28" t="n">
        <v>45310</v>
      </c>
      <c r="K119" s="28" t="n">
        <v>45323</v>
      </c>
      <c r="L119" t="inlineStr">
        <is>
          <t>No calificó para crédito</t>
        </is>
      </c>
    </row>
    <row r="120" ht="15.75" customHeight="1" s="25">
      <c r="A120" t="inlineStr">
        <is>
          <t>CLI-0118</t>
        </is>
      </c>
      <c r="B120" t="inlineStr">
        <is>
          <t>Mariana Vásquez Echeverri</t>
        </is>
      </c>
      <c r="C120" t="inlineStr">
        <is>
          <t>3144288615</t>
        </is>
      </c>
      <c r="D120" t="inlineStr">
        <is>
          <t>mariana.vasquez22@hotmail.com</t>
        </is>
      </c>
      <c r="E120" t="inlineStr">
        <is>
          <t>Itagüí</t>
        </is>
      </c>
      <c r="F120" t="inlineStr">
        <is>
          <t>PRY-008</t>
        </is>
      </c>
      <c r="G120" t="inlineStr">
        <is>
          <t>Portal Web</t>
        </is>
      </c>
      <c r="H120" t="inlineStr">
        <is>
          <t>Andrés Torres</t>
        </is>
      </c>
      <c r="I120" t="inlineStr">
        <is>
          <t>Perdido</t>
        </is>
      </c>
      <c r="J120" s="28" t="n">
        <v>45311</v>
      </c>
      <c r="K120" s="28" t="n">
        <v>45370</v>
      </c>
      <c r="L120" t="inlineStr">
        <is>
          <t>Crédito no aprobado</t>
        </is>
      </c>
    </row>
    <row r="121" ht="15.75" customHeight="1" s="25">
      <c r="A121" t="inlineStr">
        <is>
          <t>CLI-0119</t>
        </is>
      </c>
      <c r="B121" t="inlineStr">
        <is>
          <t>Sandra Salazar Toro</t>
        </is>
      </c>
      <c r="C121" t="inlineStr">
        <is>
          <t>3227245675</t>
        </is>
      </c>
      <c r="D121" t="inlineStr">
        <is>
          <t>sandra.salazar37@gmail.com</t>
        </is>
      </c>
      <c r="E121" t="inlineStr">
        <is>
          <t>Itagüí</t>
        </is>
      </c>
      <c r="F121" t="inlineStr">
        <is>
          <t>PRY-008</t>
        </is>
      </c>
      <c r="G121" t="inlineStr">
        <is>
          <t>Portal Web</t>
        </is>
      </c>
      <c r="H121" t="inlineStr">
        <is>
          <t>Andrés Torres</t>
        </is>
      </c>
      <c r="I121" t="inlineStr">
        <is>
          <t>Perdido</t>
        </is>
      </c>
      <c r="J121" s="28" t="n">
        <v>45311</v>
      </c>
      <c r="K121" s="28" t="n">
        <v>45320</v>
      </c>
      <c r="L121" t="inlineStr">
        <is>
          <t>Datos de contacto errados</t>
        </is>
      </c>
    </row>
    <row r="122" ht="15.75" customHeight="1" s="25">
      <c r="A122" t="inlineStr">
        <is>
          <t>CLI-0120</t>
        </is>
      </c>
      <c r="B122" t="inlineStr">
        <is>
          <t>Sofía Pérez Vélez</t>
        </is>
      </c>
      <c r="C122" t="inlineStr">
        <is>
          <t>3151983994</t>
        </is>
      </c>
      <c r="D122" t="inlineStr">
        <is>
          <t>sofia.perez52@hotmail.com</t>
        </is>
      </c>
      <c r="E122" t="inlineStr">
        <is>
          <t>Medellín</t>
        </is>
      </c>
      <c r="F122" t="inlineStr">
        <is>
          <t>PRY-002</t>
        </is>
      </c>
      <c r="G122" t="inlineStr">
        <is>
          <t>Feria Inmobiliaria</t>
        </is>
      </c>
      <c r="H122" t="inlineStr">
        <is>
          <t>Paula Arenas</t>
        </is>
      </c>
      <c r="I122" t="inlineStr">
        <is>
          <t>Perdido</t>
        </is>
      </c>
      <c r="J122" s="28" t="n">
        <v>45312</v>
      </c>
      <c r="K122" s="28" t="n">
        <v>45457</v>
      </c>
      <c r="L122" t="inlineStr">
        <is>
          <t>Crédito no aprobado</t>
        </is>
      </c>
    </row>
    <row r="123" ht="15.75" customHeight="1" s="25">
      <c r="A123" t="inlineStr">
        <is>
          <t>CLI-0121</t>
        </is>
      </c>
      <c r="B123" t="inlineStr">
        <is>
          <t>Esteban Vélez Franco</t>
        </is>
      </c>
      <c r="C123" t="inlineStr">
        <is>
          <t>3047771507</t>
        </is>
      </c>
      <c r="D123" t="inlineStr">
        <is>
          <t>esteban.velez71@hotmail.com</t>
        </is>
      </c>
      <c r="E123" t="inlineStr">
        <is>
          <t>Medellín</t>
        </is>
      </c>
      <c r="F123" t="inlineStr">
        <is>
          <t>PRY-003</t>
        </is>
      </c>
      <c r="G123" t="inlineStr">
        <is>
          <t>Portal Web</t>
        </is>
      </c>
      <c r="H123" t="inlineStr">
        <is>
          <t>Juliana Vélez</t>
        </is>
      </c>
      <c r="I123" t="inlineStr">
        <is>
          <t>Ganado</t>
        </is>
      </c>
      <c r="J123" s="28" t="n">
        <v>45312</v>
      </c>
      <c r="K123" s="28" t="n">
        <v>45440</v>
      </c>
      <c r="L123" t="inlineStr">
        <is>
          <t>Compró Apto 2306 en Conecta Laureles</t>
        </is>
      </c>
    </row>
    <row r="124" ht="15.75" customHeight="1" s="25">
      <c r="A124" t="inlineStr">
        <is>
          <t>CLI-0122</t>
        </is>
      </c>
      <c r="B124" t="inlineStr">
        <is>
          <t>Simón Duque Franco</t>
        </is>
      </c>
      <c r="C124" t="inlineStr">
        <is>
          <t>3141779781</t>
        </is>
      </c>
      <c r="D124" t="inlineStr">
        <is>
          <t>simon.duque92@hotmail.com</t>
        </is>
      </c>
      <c r="E124" t="inlineStr">
        <is>
          <t>La Estrella</t>
        </is>
      </c>
      <c r="F124" t="inlineStr">
        <is>
          <t>PRY-004</t>
        </is>
      </c>
      <c r="G124" t="inlineStr">
        <is>
          <t>Portal Web</t>
        </is>
      </c>
      <c r="H124" t="inlineStr">
        <is>
          <t>Andrés Torres</t>
        </is>
      </c>
      <c r="I124" t="inlineStr">
        <is>
          <t>Ganado</t>
        </is>
      </c>
      <c r="J124" s="28" t="n">
        <v>45312</v>
      </c>
      <c r="K124" s="28" t="n">
        <v>45463</v>
      </c>
      <c r="L124" t="inlineStr">
        <is>
          <t>Compró Casa 4 en Altavista Park</t>
        </is>
      </c>
    </row>
    <row r="125" ht="15.75" customHeight="1" s="25">
      <c r="A125" t="inlineStr">
        <is>
          <t>CLI-0123</t>
        </is>
      </c>
      <c r="B125" t="inlineStr">
        <is>
          <t>Natalia Hernández Rojas</t>
        </is>
      </c>
      <c r="C125" t="inlineStr">
        <is>
          <t>3145252497</t>
        </is>
      </c>
      <c r="D125" t="inlineStr">
        <is>
          <t>natalia.hernandez70@gmail.com</t>
        </is>
      </c>
      <c r="E125" t="inlineStr">
        <is>
          <t>Medellín</t>
        </is>
      </c>
      <c r="F125" t="inlineStr">
        <is>
          <t>PRY-003</t>
        </is>
      </c>
      <c r="G125" t="inlineStr">
        <is>
          <t>Portal Web</t>
        </is>
      </c>
      <c r="H125" t="inlineStr">
        <is>
          <t>Luis Bedoya</t>
        </is>
      </c>
      <c r="I125" t="inlineStr">
        <is>
          <t>Perdido</t>
        </is>
      </c>
      <c r="J125" s="28" t="n">
        <v>45312</v>
      </c>
      <c r="K125" s="28" t="n">
        <v>45336</v>
      </c>
      <c r="L125" t="inlineStr">
        <is>
          <t>Sin respuesta tras 3 contactos</t>
        </is>
      </c>
    </row>
    <row r="126" ht="15.75" customHeight="1" s="25">
      <c r="A126" t="inlineStr">
        <is>
          <t>CLI-0124</t>
        </is>
      </c>
      <c r="B126" t="inlineStr">
        <is>
          <t>Esteban Echeverri Echeverri</t>
        </is>
      </c>
      <c r="C126" t="inlineStr">
        <is>
          <t>3249772148</t>
        </is>
      </c>
      <c r="D126" t="inlineStr">
        <is>
          <t>esteban.echeverri21@yahoo.com</t>
        </is>
      </c>
      <c r="E126" t="inlineStr">
        <is>
          <t>Itagüí</t>
        </is>
      </c>
      <c r="F126" t="inlineStr">
        <is>
          <t>PRY-008</t>
        </is>
      </c>
      <c r="G126" t="inlineStr">
        <is>
          <t>Referido</t>
        </is>
      </c>
      <c r="H126" t="inlineStr">
        <is>
          <t>Sofía Prada</t>
        </is>
      </c>
      <c r="I126" t="inlineStr">
        <is>
          <t>Perdido</t>
        </is>
      </c>
      <c r="J126" s="28" t="n">
        <v>45312</v>
      </c>
      <c r="K126" s="28" t="n">
        <v>45318</v>
      </c>
      <c r="L126" t="inlineStr">
        <is>
          <t>No calificó para crédito</t>
        </is>
      </c>
    </row>
    <row r="127" ht="15.75" customHeight="1" s="25">
      <c r="A127" t="inlineStr">
        <is>
          <t>CLI-0125</t>
        </is>
      </c>
      <c r="B127" t="inlineStr">
        <is>
          <t>Mónica Henao Hernández</t>
        </is>
      </c>
      <c r="C127" t="inlineStr">
        <is>
          <t>3143548609</t>
        </is>
      </c>
      <c r="D127" t="inlineStr">
        <is>
          <t>monica.henao9@outlook.com</t>
        </is>
      </c>
      <c r="E127" t="inlineStr">
        <is>
          <t>Medellín</t>
        </is>
      </c>
      <c r="F127" t="inlineStr">
        <is>
          <t>PRY-003</t>
        </is>
      </c>
      <c r="G127" t="inlineStr">
        <is>
          <t>Portal Web</t>
        </is>
      </c>
      <c r="H127" t="inlineStr">
        <is>
          <t>Ana Quintero</t>
        </is>
      </c>
      <c r="I127" t="inlineStr">
        <is>
          <t>Ganado</t>
        </is>
      </c>
      <c r="J127" s="28" t="n">
        <v>45313</v>
      </c>
      <c r="K127" s="28" t="n">
        <v>45434</v>
      </c>
      <c r="L127" t="inlineStr">
        <is>
          <t>Compró Apto 1807 en Conecta Laureles</t>
        </is>
      </c>
    </row>
    <row r="128" ht="15.75" customHeight="1" s="25">
      <c r="A128" t="inlineStr">
        <is>
          <t>CLI-0126</t>
        </is>
      </c>
      <c r="B128" t="inlineStr">
        <is>
          <t>Carolina Espinosa Arango</t>
        </is>
      </c>
      <c r="C128" t="inlineStr">
        <is>
          <t>3046735960</t>
        </is>
      </c>
      <c r="D128" t="inlineStr">
        <is>
          <t>carolina.espinosa6@yahoo.com</t>
        </is>
      </c>
      <c r="E128" t="inlineStr">
        <is>
          <t>Medellín</t>
        </is>
      </c>
      <c r="F128" t="inlineStr">
        <is>
          <t>PRY-001</t>
        </is>
      </c>
      <c r="G128" t="inlineStr">
        <is>
          <t>Portal Web</t>
        </is>
      </c>
      <c r="H128" t="inlineStr">
        <is>
          <t>Sofía Prada</t>
        </is>
      </c>
      <c r="I128" t="inlineStr">
        <is>
          <t>Perdido</t>
        </is>
      </c>
      <c r="J128" s="28" t="n">
        <v>45313</v>
      </c>
      <c r="K128" s="28" t="n">
        <v>45426</v>
      </c>
      <c r="L128" t="inlineStr">
        <is>
          <t>No volvió a responder</t>
        </is>
      </c>
    </row>
    <row r="129" ht="15.75" customHeight="1" s="25">
      <c r="A129" t="inlineStr">
        <is>
          <t>CLI-0127</t>
        </is>
      </c>
      <c r="B129" t="inlineStr">
        <is>
          <t>Simón Peláez Duque</t>
        </is>
      </c>
      <c r="C129" t="inlineStr">
        <is>
          <t>3107522232</t>
        </is>
      </c>
      <c r="D129" t="inlineStr">
        <is>
          <t>simon.pelaez20@yahoo.com</t>
        </is>
      </c>
      <c r="E129" t="inlineStr">
        <is>
          <t>Itagüí</t>
        </is>
      </c>
      <c r="F129" t="inlineStr">
        <is>
          <t>PRY-008</t>
        </is>
      </c>
      <c r="G129" t="inlineStr">
        <is>
          <t>Portal Web</t>
        </is>
      </c>
      <c r="H129" t="inlineStr">
        <is>
          <t>Andrés Torres</t>
        </is>
      </c>
      <c r="I129" t="inlineStr">
        <is>
          <t>Ganado</t>
        </is>
      </c>
      <c r="J129" s="28" t="n">
        <v>45314</v>
      </c>
      <c r="K129" s="28" t="n">
        <v>45403</v>
      </c>
      <c r="L129" t="inlineStr">
        <is>
          <t>Compró Casa 15 en Valle Verde Itagüí</t>
        </is>
      </c>
    </row>
    <row r="130" ht="15.75" customHeight="1" s="25">
      <c r="A130" t="inlineStr">
        <is>
          <t>CLI-0128</t>
        </is>
      </c>
      <c r="B130" t="inlineStr">
        <is>
          <t>Hernán Quintero Ochoa</t>
        </is>
      </c>
      <c r="C130" t="inlineStr">
        <is>
          <t>3235777260</t>
        </is>
      </c>
      <c r="D130" t="inlineStr">
        <is>
          <t>hernan.quintero5@outlook.com</t>
        </is>
      </c>
      <c r="E130" t="inlineStr">
        <is>
          <t>Itagüí</t>
        </is>
      </c>
      <c r="F130" t="inlineStr">
        <is>
          <t>PRY-008</t>
        </is>
      </c>
      <c r="G130" t="inlineStr">
        <is>
          <t>Instagram</t>
        </is>
      </c>
      <c r="H130" t="inlineStr">
        <is>
          <t>Ana Quintero</t>
        </is>
      </c>
      <c r="I130" t="inlineStr">
        <is>
          <t>Perdido</t>
        </is>
      </c>
      <c r="J130" s="28" t="n">
        <v>45315</v>
      </c>
      <c r="K130" s="28" t="n">
        <v>45350</v>
      </c>
      <c r="L130" t="inlineStr">
        <is>
          <t>Precio fuera de presupuesto</t>
        </is>
      </c>
    </row>
    <row r="131" ht="15.75" customHeight="1" s="25">
      <c r="A131" t="inlineStr">
        <is>
          <t>CLI-0129</t>
        </is>
      </c>
      <c r="B131" t="inlineStr">
        <is>
          <t>Diego Jaramillo Osorio</t>
        </is>
      </c>
      <c r="C131" t="inlineStr">
        <is>
          <t>3133972344</t>
        </is>
      </c>
      <c r="D131" t="inlineStr">
        <is>
          <t>diego.jaramillo19@outlook.com</t>
        </is>
      </c>
      <c r="E131" t="inlineStr">
        <is>
          <t>Envigado</t>
        </is>
      </c>
      <c r="F131" t="inlineStr">
        <is>
          <t>PRY-008</t>
        </is>
      </c>
      <c r="G131" t="inlineStr">
        <is>
          <t>Instagram</t>
        </is>
      </c>
      <c r="H131" t="inlineStr">
        <is>
          <t>Ana Quintero</t>
        </is>
      </c>
      <c r="I131" t="inlineStr">
        <is>
          <t>Ganado</t>
        </is>
      </c>
      <c r="J131" s="28" t="n">
        <v>45315</v>
      </c>
      <c r="K131" s="28" t="n">
        <v>45390</v>
      </c>
      <c r="L131" t="inlineStr">
        <is>
          <t>Compró Casa 91 en Valle Verde Itagüí</t>
        </is>
      </c>
    </row>
    <row r="132" ht="15.75" customHeight="1" s="25">
      <c r="A132" t="inlineStr">
        <is>
          <t>CLI-0130</t>
        </is>
      </c>
      <c r="B132" t="inlineStr">
        <is>
          <t>Óscar Betancur Correa</t>
        </is>
      </c>
      <c r="C132" t="inlineStr">
        <is>
          <t>3043981767</t>
        </is>
      </c>
      <c r="D132" t="inlineStr">
        <is>
          <t>oscar.betancur49@outlook.com</t>
        </is>
      </c>
      <c r="E132" t="inlineStr">
        <is>
          <t>Bello</t>
        </is>
      </c>
      <c r="F132" t="inlineStr">
        <is>
          <t>PRY-004</t>
        </is>
      </c>
      <c r="G132" t="inlineStr">
        <is>
          <t>Facebook</t>
        </is>
      </c>
      <c r="H132" t="inlineStr">
        <is>
          <t>Ana Quintero</t>
        </is>
      </c>
      <c r="I132" t="inlineStr">
        <is>
          <t>Ganado</t>
        </is>
      </c>
      <c r="J132" s="28" t="n">
        <v>45315</v>
      </c>
      <c r="K132" s="28" t="n">
        <v>45437</v>
      </c>
      <c r="L132" t="inlineStr">
        <is>
          <t>Compró Casa 14 en Altavista Park</t>
        </is>
      </c>
    </row>
    <row r="133" ht="15.75" customHeight="1" s="25">
      <c r="A133" t="inlineStr">
        <is>
          <t>CLI-0131</t>
        </is>
      </c>
      <c r="B133" t="inlineStr">
        <is>
          <t>Jhon Muñoz Zuluaga</t>
        </is>
      </c>
      <c r="C133" t="inlineStr">
        <is>
          <t>3154943291</t>
        </is>
      </c>
      <c r="D133" t="inlineStr">
        <is>
          <t>jhon.munoz99@outlook.com</t>
        </is>
      </c>
      <c r="E133" t="inlineStr">
        <is>
          <t>Medellín</t>
        </is>
      </c>
      <c r="F133" t="inlineStr">
        <is>
          <t>PRY-001</t>
        </is>
      </c>
      <c r="G133" t="inlineStr">
        <is>
          <t>Portal Web</t>
        </is>
      </c>
      <c r="H133" t="inlineStr">
        <is>
          <t>Miguel Salazar</t>
        </is>
      </c>
      <c r="I133" t="inlineStr">
        <is>
          <t>Ganado</t>
        </is>
      </c>
      <c r="J133" s="28" t="n">
        <v>45315</v>
      </c>
      <c r="K133" s="28" t="n">
        <v>45487</v>
      </c>
      <c r="L133" t="inlineStr">
        <is>
          <t>Compró Apto 1906 en Torres del Poblado</t>
        </is>
      </c>
    </row>
    <row r="134" ht="15.75" customHeight="1" s="25">
      <c r="A134" t="inlineStr">
        <is>
          <t>CLI-0132</t>
        </is>
      </c>
      <c r="B134" t="inlineStr">
        <is>
          <t>Liliana Osorio Correa</t>
        </is>
      </c>
      <c r="C134" t="inlineStr">
        <is>
          <t>3241000143</t>
        </is>
      </c>
      <c r="D134" t="inlineStr">
        <is>
          <t>liliana.osorio45@outlook.com</t>
        </is>
      </c>
      <c r="E134" t="inlineStr">
        <is>
          <t>Medellín</t>
        </is>
      </c>
      <c r="F134" t="inlineStr">
        <is>
          <t>PRY-001</t>
        </is>
      </c>
      <c r="G134" t="inlineStr">
        <is>
          <t>Portal Web</t>
        </is>
      </c>
      <c r="H134" t="inlineStr">
        <is>
          <t>Andrés Torres</t>
        </is>
      </c>
      <c r="I134" t="inlineStr">
        <is>
          <t>Perdido</t>
        </is>
      </c>
      <c r="J134" s="28" t="n">
        <v>45316</v>
      </c>
      <c r="K134" s="28" t="n">
        <v>45335</v>
      </c>
      <c r="L134" t="inlineStr">
        <is>
          <t>Presupuesto insuficiente</t>
        </is>
      </c>
    </row>
    <row r="135" ht="15.75" customHeight="1" s="25">
      <c r="A135" t="inlineStr">
        <is>
          <t>CLI-0133</t>
        </is>
      </c>
      <c r="B135" t="inlineStr">
        <is>
          <t>Iván Uribe Agudelo</t>
        </is>
      </c>
      <c r="C135" t="inlineStr">
        <is>
          <t>3102663784</t>
        </is>
      </c>
      <c r="D135" t="inlineStr">
        <is>
          <t>ivan.uribe72@outlook.com</t>
        </is>
      </c>
      <c r="E135" t="inlineStr">
        <is>
          <t>Itagüí</t>
        </is>
      </c>
      <c r="F135" t="inlineStr">
        <is>
          <t>PRY-008</t>
        </is>
      </c>
      <c r="G135" t="inlineStr">
        <is>
          <t>Facebook</t>
        </is>
      </c>
      <c r="H135" t="inlineStr">
        <is>
          <t>Paula Arenas</t>
        </is>
      </c>
      <c r="I135" t="inlineStr">
        <is>
          <t>Perdido</t>
        </is>
      </c>
      <c r="J135" s="28" t="n">
        <v>45318</v>
      </c>
      <c r="K135" s="28" t="n">
        <v>45346</v>
      </c>
      <c r="L135" t="inlineStr">
        <is>
          <t>Presupuesto insuficiente</t>
        </is>
      </c>
    </row>
    <row r="136" ht="15.75" customHeight="1" s="25">
      <c r="A136" t="inlineStr">
        <is>
          <t>CLI-0134</t>
        </is>
      </c>
      <c r="B136" t="inlineStr">
        <is>
          <t>Daniela Mejía Rojas</t>
        </is>
      </c>
      <c r="C136" t="inlineStr">
        <is>
          <t>3157721083</t>
        </is>
      </c>
      <c r="D136" t="inlineStr">
        <is>
          <t>daniela.mejia33@outlook.com</t>
        </is>
      </c>
      <c r="E136" t="inlineStr">
        <is>
          <t>Rionegro</t>
        </is>
      </c>
      <c r="F136" t="inlineStr">
        <is>
          <t>PRY-003</t>
        </is>
      </c>
      <c r="G136" t="inlineStr">
        <is>
          <t>Referido</t>
        </is>
      </c>
      <c r="H136" t="inlineStr">
        <is>
          <t>Juliana Vélez</t>
        </is>
      </c>
      <c r="I136" t="inlineStr">
        <is>
          <t>Perdido</t>
        </is>
      </c>
      <c r="J136" s="28" t="n">
        <v>45318</v>
      </c>
      <c r="K136" s="28" t="n">
        <v>45333</v>
      </c>
      <c r="L136" t="inlineStr">
        <is>
          <t>Presupuesto insuficiente</t>
        </is>
      </c>
    </row>
    <row r="137" ht="15.75" customHeight="1" s="25">
      <c r="A137" t="inlineStr">
        <is>
          <t>CLI-0135</t>
        </is>
      </c>
      <c r="B137" t="inlineStr">
        <is>
          <t>Tomás Salazar Correa</t>
        </is>
      </c>
      <c r="C137" t="inlineStr">
        <is>
          <t>3046647578</t>
        </is>
      </c>
      <c r="D137" t="inlineStr">
        <is>
          <t>tomas.salazar11@yahoo.com</t>
        </is>
      </c>
      <c r="E137" t="inlineStr">
        <is>
          <t>Medellín</t>
        </is>
      </c>
      <c r="F137" t="inlineStr">
        <is>
          <t>PRY-004</t>
        </is>
      </c>
      <c r="G137" t="inlineStr">
        <is>
          <t>Llamada directa</t>
        </is>
      </c>
      <c r="H137" t="inlineStr">
        <is>
          <t>Ana Quintero</t>
        </is>
      </c>
      <c r="I137" t="inlineStr">
        <is>
          <t>Perdido</t>
        </is>
      </c>
      <c r="J137" s="28" t="n">
        <v>45318</v>
      </c>
      <c r="K137" s="28" t="n">
        <v>45324</v>
      </c>
      <c r="L137" t="inlineStr">
        <is>
          <t>No calificó para crédito</t>
        </is>
      </c>
    </row>
    <row r="138" ht="15.75" customHeight="1" s="25">
      <c r="A138" t="inlineStr">
        <is>
          <t>CLI-0136</t>
        </is>
      </c>
      <c r="B138" t="inlineStr">
        <is>
          <t>Hernán Salcedo Espinosa</t>
        </is>
      </c>
      <c r="C138" t="inlineStr">
        <is>
          <t>3227707804</t>
        </is>
      </c>
      <c r="D138" t="inlineStr">
        <is>
          <t>hernan.salcedo62@hotmail.com</t>
        </is>
      </c>
      <c r="E138" t="inlineStr">
        <is>
          <t>Medellín</t>
        </is>
      </c>
      <c r="F138" t="inlineStr">
        <is>
          <t>PRY-004</t>
        </is>
      </c>
      <c r="G138" t="inlineStr">
        <is>
          <t>Referido</t>
        </is>
      </c>
      <c r="H138" t="inlineStr">
        <is>
          <t>Juliana Vélez</t>
        </is>
      </c>
      <c r="I138" t="inlineStr">
        <is>
          <t>Perdido</t>
        </is>
      </c>
      <c r="J138" s="28" t="n">
        <v>45319</v>
      </c>
      <c r="K138" s="28" t="n">
        <v>45331</v>
      </c>
      <c r="L138" t="inlineStr">
        <is>
          <t>Buscaba arriendo, no compra</t>
        </is>
      </c>
    </row>
    <row r="139" ht="15.75" customHeight="1" s="25">
      <c r="A139" t="inlineStr">
        <is>
          <t>CLI-0137</t>
        </is>
      </c>
      <c r="B139" t="inlineStr">
        <is>
          <t>Jorge Gaviria Pérez</t>
        </is>
      </c>
      <c r="C139" t="inlineStr">
        <is>
          <t>3245027363</t>
        </is>
      </c>
      <c r="D139" t="inlineStr">
        <is>
          <t>jorge.gaviria49@outlook.com</t>
        </is>
      </c>
      <c r="E139" t="inlineStr">
        <is>
          <t>Medellín</t>
        </is>
      </c>
      <c r="F139" t="inlineStr">
        <is>
          <t>PRY-001</t>
        </is>
      </c>
      <c r="G139" t="inlineStr">
        <is>
          <t>Instagram</t>
        </is>
      </c>
      <c r="H139" t="inlineStr">
        <is>
          <t>Andrés Torres</t>
        </is>
      </c>
      <c r="I139" t="inlineStr">
        <is>
          <t>Ganado</t>
        </is>
      </c>
      <c r="J139" s="28" t="n">
        <v>45320</v>
      </c>
      <c r="K139" s="28" t="n">
        <v>45457</v>
      </c>
      <c r="L139" t="inlineStr">
        <is>
          <t>Compró Apto 1604 en Torres del Poblado</t>
        </is>
      </c>
    </row>
    <row r="140" ht="15.75" customHeight="1" s="25">
      <c r="A140" t="inlineStr">
        <is>
          <t>CLI-0138</t>
        </is>
      </c>
      <c r="B140" t="inlineStr">
        <is>
          <t>Ximena Espinosa Valencia</t>
        </is>
      </c>
      <c r="C140" t="inlineStr">
        <is>
          <t>3005840609</t>
        </is>
      </c>
      <c r="D140" t="inlineStr">
        <is>
          <t>ximena.espinosa92@yahoo.com</t>
        </is>
      </c>
      <c r="E140" t="inlineStr">
        <is>
          <t>Itagüí</t>
        </is>
      </c>
      <c r="F140" t="inlineStr">
        <is>
          <t>PRY-008</t>
        </is>
      </c>
      <c r="G140" t="inlineStr">
        <is>
          <t>Feria Inmobiliaria</t>
        </is>
      </c>
      <c r="H140" t="inlineStr">
        <is>
          <t>Juliana Vélez</t>
        </is>
      </c>
      <c r="I140" t="inlineStr">
        <is>
          <t>Perdido</t>
        </is>
      </c>
      <c r="J140" s="28" t="n">
        <v>45320</v>
      </c>
      <c r="K140" s="28" t="n">
        <v>45342</v>
      </c>
      <c r="L140" t="inlineStr">
        <is>
          <t>Buscaba arriendo, no compra</t>
        </is>
      </c>
    </row>
    <row r="141" ht="15.75" customHeight="1" s="25">
      <c r="A141" t="inlineStr">
        <is>
          <t>CLI-0139</t>
        </is>
      </c>
      <c r="B141" t="inlineStr">
        <is>
          <t>Julián Rojas Duque</t>
        </is>
      </c>
      <c r="C141" t="inlineStr">
        <is>
          <t>3132482349</t>
        </is>
      </c>
      <c r="D141" t="inlineStr">
        <is>
          <t>julian.rojas48@yahoo.com</t>
        </is>
      </c>
      <c r="E141" t="inlineStr">
        <is>
          <t>Envigado</t>
        </is>
      </c>
      <c r="F141" t="inlineStr">
        <is>
          <t>PRY-003</t>
        </is>
      </c>
      <c r="G141" t="inlineStr">
        <is>
          <t>Llamada directa</t>
        </is>
      </c>
      <c r="H141" t="inlineStr">
        <is>
          <t>Paula Arenas</t>
        </is>
      </c>
      <c r="I141" t="inlineStr">
        <is>
          <t>Perdido</t>
        </is>
      </c>
      <c r="J141" s="28" t="n">
        <v>45321</v>
      </c>
      <c r="K141" s="28" t="n">
        <v>45343</v>
      </c>
      <c r="L141" t="inlineStr">
        <is>
          <t>Buscaba arriendo, no compra</t>
        </is>
      </c>
    </row>
    <row r="142" ht="15.75" customHeight="1" s="25">
      <c r="A142" t="inlineStr">
        <is>
          <t>CLI-0140</t>
        </is>
      </c>
      <c r="B142" t="inlineStr">
        <is>
          <t>Valentina Pérez Peláez</t>
        </is>
      </c>
      <c r="C142" t="inlineStr">
        <is>
          <t>3105518787</t>
        </is>
      </c>
      <c r="D142" t="inlineStr">
        <is>
          <t>valentina.perez92@outlook.com</t>
        </is>
      </c>
      <c r="E142" t="inlineStr">
        <is>
          <t>Medellín</t>
        </is>
      </c>
      <c r="F142" t="inlineStr">
        <is>
          <t>PRY-004</t>
        </is>
      </c>
      <c r="G142" t="inlineStr">
        <is>
          <t>Instagram</t>
        </is>
      </c>
      <c r="H142" t="inlineStr">
        <is>
          <t>Paula Arenas</t>
        </is>
      </c>
      <c r="I142" t="inlineStr">
        <is>
          <t>Perdido</t>
        </is>
      </c>
      <c r="J142" s="28" t="n">
        <v>45322</v>
      </c>
      <c r="K142" s="28" t="n">
        <v>45410</v>
      </c>
      <c r="L142" t="inlineStr">
        <is>
          <t>Desistió de la compra</t>
        </is>
      </c>
    </row>
    <row r="143" ht="15.75" customHeight="1" s="25">
      <c r="A143" t="inlineStr">
        <is>
          <t>CLI-0141</t>
        </is>
      </c>
      <c r="B143" t="inlineStr">
        <is>
          <t>Esteban Higuita Correa</t>
        </is>
      </c>
      <c r="C143" t="inlineStr">
        <is>
          <t>3248873610</t>
        </is>
      </c>
      <c r="D143" t="inlineStr">
        <is>
          <t>esteban.higuita1@hotmail.com</t>
        </is>
      </c>
      <c r="E143" t="inlineStr">
        <is>
          <t>Medellín</t>
        </is>
      </c>
      <c r="F143" t="inlineStr">
        <is>
          <t>PRY-003</t>
        </is>
      </c>
      <c r="G143" t="inlineStr">
        <is>
          <t>Portal Web</t>
        </is>
      </c>
      <c r="H143" t="inlineStr">
        <is>
          <t>Andrés Torres</t>
        </is>
      </c>
      <c r="I143" t="inlineStr">
        <is>
          <t>Perdido</t>
        </is>
      </c>
      <c r="J143" s="28" t="n">
        <v>45323</v>
      </c>
      <c r="K143" s="28" t="n">
        <v>45345</v>
      </c>
      <c r="L143" t="inlineStr">
        <is>
          <t>Datos de contacto errados</t>
        </is>
      </c>
    </row>
    <row r="144" ht="15.75" customHeight="1" s="25">
      <c r="A144" t="inlineStr">
        <is>
          <t>CLI-0142</t>
        </is>
      </c>
      <c r="B144" t="inlineStr">
        <is>
          <t>Carlos Peláez Correa</t>
        </is>
      </c>
      <c r="C144" t="inlineStr">
        <is>
          <t>3229134738</t>
        </is>
      </c>
      <c r="D144" t="inlineStr">
        <is>
          <t>carlos.pelaez7@hotmail.com</t>
        </is>
      </c>
      <c r="E144" t="inlineStr">
        <is>
          <t>Medellín</t>
        </is>
      </c>
      <c r="F144" t="inlineStr">
        <is>
          <t>PRY-004</t>
        </is>
      </c>
      <c r="G144" t="inlineStr">
        <is>
          <t>Portal Web</t>
        </is>
      </c>
      <c r="H144" t="inlineStr">
        <is>
          <t>Miguel Salazar</t>
        </is>
      </c>
      <c r="I144" t="inlineStr">
        <is>
          <t>Perdido</t>
        </is>
      </c>
      <c r="J144" s="28" t="n">
        <v>45323</v>
      </c>
      <c r="K144" s="28" t="n">
        <v>45338</v>
      </c>
      <c r="L144" t="inlineStr">
        <is>
          <t>Presupuesto insuficiente</t>
        </is>
      </c>
    </row>
    <row r="145" ht="15.75" customHeight="1" s="25">
      <c r="A145" t="inlineStr">
        <is>
          <t>CLI-0143</t>
        </is>
      </c>
      <c r="B145" t="inlineStr">
        <is>
          <t>Mauricio Sánchez Salazar</t>
        </is>
      </c>
      <c r="C145" t="inlineStr">
        <is>
          <t>3178111642</t>
        </is>
      </c>
      <c r="D145" t="inlineStr">
        <is>
          <t>mauricio.sanchez89@gmail.com</t>
        </is>
      </c>
      <c r="E145" t="inlineStr">
        <is>
          <t>Medellín</t>
        </is>
      </c>
      <c r="F145" t="inlineStr">
        <is>
          <t>PRY-001</t>
        </is>
      </c>
      <c r="G145" t="inlineStr">
        <is>
          <t>Portal Web</t>
        </is>
      </c>
      <c r="H145" t="inlineStr">
        <is>
          <t>Paula Arenas</t>
        </is>
      </c>
      <c r="I145" t="inlineStr">
        <is>
          <t>Perdido</t>
        </is>
      </c>
      <c r="J145" s="28" t="n">
        <v>45323</v>
      </c>
      <c r="K145" s="28" t="n">
        <v>45334</v>
      </c>
      <c r="L145" t="inlineStr">
        <is>
          <t>Presupuesto insuficiente</t>
        </is>
      </c>
    </row>
    <row r="146" ht="15.75" customHeight="1" s="25">
      <c r="A146" t="inlineStr">
        <is>
          <t>CLI-0144</t>
        </is>
      </c>
      <c r="B146" t="inlineStr">
        <is>
          <t>José Muñoz López</t>
        </is>
      </c>
      <c r="C146" t="inlineStr">
        <is>
          <t>3208425890</t>
        </is>
      </c>
      <c r="D146" t="inlineStr">
        <is>
          <t>jose.munoz29@yahoo.com</t>
        </is>
      </c>
      <c r="E146" t="inlineStr">
        <is>
          <t>Itagüí</t>
        </is>
      </c>
      <c r="F146" t="inlineStr">
        <is>
          <t>PRY-008</t>
        </is>
      </c>
      <c r="G146" t="inlineStr">
        <is>
          <t>Portal Web</t>
        </is>
      </c>
      <c r="H146" t="inlineStr">
        <is>
          <t>Luis Bedoya</t>
        </is>
      </c>
      <c r="I146" t="inlineStr">
        <is>
          <t>Ganado</t>
        </is>
      </c>
      <c r="J146" s="28" t="n">
        <v>45324</v>
      </c>
      <c r="K146" s="28" t="n">
        <v>45383</v>
      </c>
      <c r="L146" t="inlineStr">
        <is>
          <t>Compró Casa 55 en Valle Verde Itagüí</t>
        </is>
      </c>
    </row>
    <row r="147" ht="15.75" customHeight="1" s="25">
      <c r="A147" t="inlineStr">
        <is>
          <t>CLI-0145</t>
        </is>
      </c>
      <c r="B147" t="inlineStr">
        <is>
          <t>Gabriel Echeverri Rojas</t>
        </is>
      </c>
      <c r="C147" t="inlineStr">
        <is>
          <t>3226474823</t>
        </is>
      </c>
      <c r="D147" t="inlineStr">
        <is>
          <t>gabriel.echeverri98@outlook.com</t>
        </is>
      </c>
      <c r="E147" t="inlineStr">
        <is>
          <t>Medellín</t>
        </is>
      </c>
      <c r="F147" t="inlineStr">
        <is>
          <t>PRY-004</t>
        </is>
      </c>
      <c r="G147" t="inlineStr">
        <is>
          <t>Facebook</t>
        </is>
      </c>
      <c r="H147" t="inlineStr">
        <is>
          <t>Sofía Prada</t>
        </is>
      </c>
      <c r="I147" t="inlineStr">
        <is>
          <t>Ganado</t>
        </is>
      </c>
      <c r="J147" s="28" t="n">
        <v>45324</v>
      </c>
      <c r="K147" s="28" t="n">
        <v>45469</v>
      </c>
      <c r="L147" t="inlineStr">
        <is>
          <t>Compró Casa 15 en Altavista Park</t>
        </is>
      </c>
    </row>
    <row r="148" ht="15.75" customHeight="1" s="25">
      <c r="A148" t="inlineStr">
        <is>
          <t>CLI-0146</t>
        </is>
      </c>
      <c r="B148" t="inlineStr">
        <is>
          <t>Mateo Zuluaga Correa</t>
        </is>
      </c>
      <c r="C148" t="inlineStr">
        <is>
          <t>3158945143</t>
        </is>
      </c>
      <c r="D148" t="inlineStr">
        <is>
          <t>mateo.zuluaga56@gmail.com</t>
        </is>
      </c>
      <c r="E148" t="inlineStr">
        <is>
          <t>Medellín</t>
        </is>
      </c>
      <c r="F148" t="inlineStr">
        <is>
          <t>PRY-008</t>
        </is>
      </c>
      <c r="G148" t="inlineStr">
        <is>
          <t>Facebook</t>
        </is>
      </c>
      <c r="H148" t="inlineStr">
        <is>
          <t>Sofía Prada</t>
        </is>
      </c>
      <c r="I148" t="inlineStr">
        <is>
          <t>Perdido</t>
        </is>
      </c>
      <c r="J148" s="28" t="n">
        <v>45324</v>
      </c>
      <c r="K148" s="28" t="n">
        <v>45359</v>
      </c>
      <c r="L148" t="inlineStr">
        <is>
          <t>No volvió a responder</t>
        </is>
      </c>
    </row>
    <row r="149" ht="15.75" customHeight="1" s="25">
      <c r="A149" t="inlineStr">
        <is>
          <t>CLI-0147</t>
        </is>
      </c>
      <c r="B149" t="inlineStr">
        <is>
          <t>Alejandra Ochoa Muñoz</t>
        </is>
      </c>
      <c r="C149" t="inlineStr">
        <is>
          <t>3139957701</t>
        </is>
      </c>
      <c r="D149" t="inlineStr">
        <is>
          <t>alejandra.ochoa2@hotmail.com</t>
        </is>
      </c>
      <c r="E149" t="inlineStr">
        <is>
          <t>Medellín</t>
        </is>
      </c>
      <c r="F149" t="inlineStr">
        <is>
          <t>PRY-008</t>
        </is>
      </c>
      <c r="G149" t="inlineStr">
        <is>
          <t>Facebook</t>
        </is>
      </c>
      <c r="H149" t="inlineStr">
        <is>
          <t>Miguel Salazar</t>
        </is>
      </c>
      <c r="I149" t="inlineStr">
        <is>
          <t>Perdido</t>
        </is>
      </c>
      <c r="J149" s="28" t="n">
        <v>45324</v>
      </c>
      <c r="K149" s="28" t="n">
        <v>45350</v>
      </c>
      <c r="L149" t="inlineStr">
        <is>
          <t>Buscaba arriendo, no compra</t>
        </is>
      </c>
    </row>
    <row r="150" ht="15.75" customHeight="1" s="25">
      <c r="A150" t="inlineStr">
        <is>
          <t>CLI-0148</t>
        </is>
      </c>
      <c r="B150" t="inlineStr">
        <is>
          <t>Sara Franco Betancur</t>
        </is>
      </c>
      <c r="C150" t="inlineStr">
        <is>
          <t>3151684616</t>
        </is>
      </c>
      <c r="D150" t="inlineStr">
        <is>
          <t>sara.franco98@hotmail.com</t>
        </is>
      </c>
      <c r="E150" t="inlineStr">
        <is>
          <t>Rionegro</t>
        </is>
      </c>
      <c r="F150" t="inlineStr">
        <is>
          <t>PRY-003</t>
        </is>
      </c>
      <c r="G150" t="inlineStr">
        <is>
          <t>Instagram</t>
        </is>
      </c>
      <c r="H150" t="inlineStr">
        <is>
          <t>Sofía Prada</t>
        </is>
      </c>
      <c r="I150" t="inlineStr">
        <is>
          <t>Perdido</t>
        </is>
      </c>
      <c r="J150" s="28" t="n">
        <v>45325</v>
      </c>
      <c r="K150" s="28" t="n">
        <v>45337</v>
      </c>
      <c r="L150" t="inlineStr">
        <is>
          <t>Sin respuesta tras 3 contactos</t>
        </is>
      </c>
    </row>
    <row r="151" ht="15.75" customHeight="1" s="25">
      <c r="A151" t="inlineStr">
        <is>
          <t>CLI-0149</t>
        </is>
      </c>
      <c r="B151" t="inlineStr">
        <is>
          <t>José Peláez Salcedo</t>
        </is>
      </c>
      <c r="C151" t="inlineStr">
        <is>
          <t>3245619409</t>
        </is>
      </c>
      <c r="D151" t="inlineStr">
        <is>
          <t>jose.pelaez91@hotmail.com</t>
        </is>
      </c>
      <c r="E151" t="inlineStr">
        <is>
          <t>Sabaneta</t>
        </is>
      </c>
      <c r="F151" t="inlineStr">
        <is>
          <t>PRY-001</t>
        </is>
      </c>
      <c r="G151" t="inlineStr">
        <is>
          <t>Portal Web</t>
        </is>
      </c>
      <c r="H151" t="inlineStr">
        <is>
          <t>Paula Arenas</t>
        </is>
      </c>
      <c r="I151" t="inlineStr">
        <is>
          <t>Perdido</t>
        </is>
      </c>
      <c r="J151" s="28" t="n">
        <v>45326</v>
      </c>
      <c r="K151" s="28" t="n">
        <v>45354</v>
      </c>
      <c r="L151" t="inlineStr">
        <is>
          <t>Sin respuesta tras 3 contactos</t>
        </is>
      </c>
    </row>
    <row r="152" ht="15.75" customHeight="1" s="25">
      <c r="A152" t="inlineStr">
        <is>
          <t>CLI-0150</t>
        </is>
      </c>
      <c r="B152" t="inlineStr">
        <is>
          <t>María Espinosa Londoño</t>
        </is>
      </c>
      <c r="C152" t="inlineStr">
        <is>
          <t>3047935720</t>
        </is>
      </c>
      <c r="D152" t="inlineStr">
        <is>
          <t>maria.espinosa76@hotmail.com</t>
        </is>
      </c>
      <c r="E152" t="inlineStr">
        <is>
          <t>Medellín</t>
        </is>
      </c>
      <c r="F152" t="inlineStr">
        <is>
          <t>PRY-001</t>
        </is>
      </c>
      <c r="G152" t="inlineStr">
        <is>
          <t>Portal Web</t>
        </is>
      </c>
      <c r="H152" t="inlineStr">
        <is>
          <t>Juliana Vélez</t>
        </is>
      </c>
      <c r="I152" t="inlineStr">
        <is>
          <t>Perdido</t>
        </is>
      </c>
      <c r="J152" s="28" t="n">
        <v>45326</v>
      </c>
      <c r="K152" s="28" t="n">
        <v>45331</v>
      </c>
      <c r="L152" t="inlineStr">
        <is>
          <t>Presupuesto insuficiente</t>
        </is>
      </c>
    </row>
    <row r="153" ht="15.75" customHeight="1" s="25">
      <c r="A153" t="inlineStr">
        <is>
          <t>CLI-0151</t>
        </is>
      </c>
      <c r="B153" t="inlineStr">
        <is>
          <t>Katherine Gaviria Restrepo</t>
        </is>
      </c>
      <c r="C153" t="inlineStr">
        <is>
          <t>3222203976</t>
        </is>
      </c>
      <c r="D153" t="inlineStr">
        <is>
          <t>katherine.gaviria46@yahoo.com</t>
        </is>
      </c>
      <c r="E153" t="inlineStr">
        <is>
          <t>Sabaneta</t>
        </is>
      </c>
      <c r="F153" t="inlineStr">
        <is>
          <t>PRY-008</t>
        </is>
      </c>
      <c r="G153" t="inlineStr">
        <is>
          <t>Llamada directa</t>
        </is>
      </c>
      <c r="H153" t="inlineStr">
        <is>
          <t>Ana Quintero</t>
        </is>
      </c>
      <c r="I153" t="inlineStr">
        <is>
          <t>Perdido</t>
        </is>
      </c>
      <c r="J153" s="28" t="n">
        <v>45326</v>
      </c>
      <c r="K153" s="28" t="n">
        <v>45347</v>
      </c>
      <c r="L153" t="inlineStr">
        <is>
          <t>Sin respuesta tras 3 contactos</t>
        </is>
      </c>
    </row>
    <row r="154" ht="15.75" customHeight="1" s="25">
      <c r="A154" t="inlineStr">
        <is>
          <t>CLI-0152</t>
        </is>
      </c>
      <c r="B154" t="inlineStr">
        <is>
          <t>Camila Salcedo Peláez</t>
        </is>
      </c>
      <c r="C154" t="inlineStr">
        <is>
          <t>3242159661</t>
        </is>
      </c>
      <c r="D154" t="inlineStr">
        <is>
          <t>camila.salcedo23@outlook.com</t>
        </is>
      </c>
      <c r="E154" t="inlineStr">
        <is>
          <t>Medellín</t>
        </is>
      </c>
      <c r="F154" t="inlineStr">
        <is>
          <t>PRY-002</t>
        </is>
      </c>
      <c r="G154" t="inlineStr">
        <is>
          <t>Feria Inmobiliaria</t>
        </is>
      </c>
      <c r="H154" t="inlineStr">
        <is>
          <t>Luis Bedoya</t>
        </is>
      </c>
      <c r="I154" t="inlineStr">
        <is>
          <t>Ganado</t>
        </is>
      </c>
      <c r="J154" s="28" t="n">
        <v>45327</v>
      </c>
      <c r="K154" s="28" t="n">
        <v>45467</v>
      </c>
      <c r="L154" t="inlineStr">
        <is>
          <t>Compró Casa 40 en Reserva Santa Elena</t>
        </is>
      </c>
    </row>
    <row r="155" ht="15.75" customHeight="1" s="25">
      <c r="A155" t="inlineStr">
        <is>
          <t>CLI-0153</t>
        </is>
      </c>
      <c r="B155" t="inlineStr">
        <is>
          <t>Sebastián Mejía Gómez</t>
        </is>
      </c>
      <c r="C155" t="inlineStr">
        <is>
          <t>3008703222</t>
        </is>
      </c>
      <c r="D155" t="inlineStr">
        <is>
          <t>sebastian.mejia60@yahoo.com</t>
        </is>
      </c>
      <c r="E155" t="inlineStr">
        <is>
          <t>Rionegro</t>
        </is>
      </c>
      <c r="F155" t="inlineStr">
        <is>
          <t>PRY-004</t>
        </is>
      </c>
      <c r="G155" t="inlineStr">
        <is>
          <t>Portal Web</t>
        </is>
      </c>
      <c r="H155" t="inlineStr">
        <is>
          <t>Ana Quintero</t>
        </is>
      </c>
      <c r="I155" t="inlineStr">
        <is>
          <t>Perdido</t>
        </is>
      </c>
      <c r="J155" s="28" t="n">
        <v>45327</v>
      </c>
      <c r="K155" s="28" t="n">
        <v>45333</v>
      </c>
      <c r="L155" t="inlineStr">
        <is>
          <t>No calificó para crédito</t>
        </is>
      </c>
    </row>
    <row r="156" ht="15.75" customHeight="1" s="25">
      <c r="A156" t="inlineStr">
        <is>
          <t>CLI-0154</t>
        </is>
      </c>
      <c r="B156" t="inlineStr">
        <is>
          <t>Sebastián Londoño Muñoz</t>
        </is>
      </c>
      <c r="C156" t="inlineStr">
        <is>
          <t>3102731936</t>
        </is>
      </c>
      <c r="D156" t="inlineStr">
        <is>
          <t>sebastian.londono86@gmail.com</t>
        </is>
      </c>
      <c r="E156" t="inlineStr">
        <is>
          <t>Bello</t>
        </is>
      </c>
      <c r="F156" t="inlineStr">
        <is>
          <t>PRY-003</t>
        </is>
      </c>
      <c r="G156" t="inlineStr">
        <is>
          <t>Facebook</t>
        </is>
      </c>
      <c r="H156" t="inlineStr">
        <is>
          <t>Ana Quintero</t>
        </is>
      </c>
      <c r="I156" t="inlineStr">
        <is>
          <t>Perdido</t>
        </is>
      </c>
      <c r="J156" s="28" t="n">
        <v>45327</v>
      </c>
      <c r="K156" s="28" t="n">
        <v>45342</v>
      </c>
      <c r="L156" t="inlineStr">
        <is>
          <t>Buscaba arriendo, no compra</t>
        </is>
      </c>
    </row>
    <row r="157" ht="15.75" customHeight="1" s="25">
      <c r="A157" t="inlineStr">
        <is>
          <t>CLI-0155</t>
        </is>
      </c>
      <c r="B157" t="inlineStr">
        <is>
          <t>Cristian Correa Castaño</t>
        </is>
      </c>
      <c r="C157" t="inlineStr">
        <is>
          <t>3231102474</t>
        </is>
      </c>
      <c r="D157" t="inlineStr">
        <is>
          <t>cristian.correa52@outlook.com</t>
        </is>
      </c>
      <c r="E157" t="inlineStr">
        <is>
          <t>Rionegro</t>
        </is>
      </c>
      <c r="F157" t="inlineStr">
        <is>
          <t>PRY-003</t>
        </is>
      </c>
      <c r="G157" t="inlineStr">
        <is>
          <t>Referido</t>
        </is>
      </c>
      <c r="H157" t="inlineStr">
        <is>
          <t>Luis Bedoya</t>
        </is>
      </c>
      <c r="I157" t="inlineStr">
        <is>
          <t>Perdido</t>
        </is>
      </c>
      <c r="J157" s="28" t="n">
        <v>45327</v>
      </c>
      <c r="K157" s="28" t="n">
        <v>45352</v>
      </c>
      <c r="L157" t="inlineStr">
        <is>
          <t>Presupuesto insuficiente</t>
        </is>
      </c>
    </row>
    <row r="158" ht="15.75" customHeight="1" s="25">
      <c r="A158" t="inlineStr">
        <is>
          <t>CLI-0156</t>
        </is>
      </c>
      <c r="B158" t="inlineStr">
        <is>
          <t>Simón Zapata Toro</t>
        </is>
      </c>
      <c r="C158" t="inlineStr">
        <is>
          <t>3136876878</t>
        </is>
      </c>
      <c r="D158" t="inlineStr">
        <is>
          <t>simon.zapata95@outlook.com</t>
        </is>
      </c>
      <c r="E158" t="inlineStr">
        <is>
          <t>La Estrella</t>
        </is>
      </c>
      <c r="F158" t="inlineStr">
        <is>
          <t>PRY-005</t>
        </is>
      </c>
      <c r="G158" t="inlineStr">
        <is>
          <t>Facebook</t>
        </is>
      </c>
      <c r="H158" t="inlineStr">
        <is>
          <t>Ana Quintero</t>
        </is>
      </c>
      <c r="I158" t="inlineStr">
        <is>
          <t>Perdido</t>
        </is>
      </c>
      <c r="J158" s="28" t="n">
        <v>45328</v>
      </c>
      <c r="K158" s="28" t="n">
        <v>45451</v>
      </c>
      <c r="L158" t="inlineStr">
        <is>
          <t>Crédito no aprobado</t>
        </is>
      </c>
    </row>
    <row r="159" ht="15.75" customHeight="1" s="25">
      <c r="A159" t="inlineStr">
        <is>
          <t>CLI-0157</t>
        </is>
      </c>
      <c r="B159" t="inlineStr">
        <is>
          <t>Diego Higuita Zapata</t>
        </is>
      </c>
      <c r="C159" t="inlineStr">
        <is>
          <t>3147246104</t>
        </is>
      </c>
      <c r="D159" t="inlineStr">
        <is>
          <t>diego.higuita21@outlook.com</t>
        </is>
      </c>
      <c r="E159" t="inlineStr">
        <is>
          <t>La Estrella</t>
        </is>
      </c>
      <c r="F159" t="inlineStr">
        <is>
          <t>PRY-004</t>
        </is>
      </c>
      <c r="G159" t="inlineStr">
        <is>
          <t>Instagram</t>
        </is>
      </c>
      <c r="H159" t="inlineStr">
        <is>
          <t>Ana Quintero</t>
        </is>
      </c>
      <c r="I159" t="inlineStr">
        <is>
          <t>Perdido</t>
        </is>
      </c>
      <c r="J159" s="28" t="n">
        <v>45328</v>
      </c>
      <c r="K159" s="28" t="n">
        <v>45334</v>
      </c>
      <c r="L159" t="inlineStr">
        <is>
          <t>No calificó para crédito</t>
        </is>
      </c>
    </row>
    <row r="160" ht="15.75" customHeight="1" s="25">
      <c r="A160" t="inlineStr">
        <is>
          <t>CLI-0158</t>
        </is>
      </c>
      <c r="B160" t="inlineStr">
        <is>
          <t>Juan Pablo Salcedo Rojas</t>
        </is>
      </c>
      <c r="C160" t="inlineStr">
        <is>
          <t>3156703742</t>
        </is>
      </c>
      <c r="D160" t="inlineStr">
        <is>
          <t>juan.salcedo6@hotmail.com</t>
        </is>
      </c>
      <c r="E160" t="inlineStr">
        <is>
          <t>Sabaneta</t>
        </is>
      </c>
      <c r="F160" t="inlineStr">
        <is>
          <t>PRY-002</t>
        </is>
      </c>
      <c r="G160" t="inlineStr">
        <is>
          <t>Referido</t>
        </is>
      </c>
      <c r="H160" t="inlineStr">
        <is>
          <t>Luis Bedoya</t>
        </is>
      </c>
      <c r="I160" t="inlineStr">
        <is>
          <t>Ganado</t>
        </is>
      </c>
      <c r="J160" s="28" t="n">
        <v>45329</v>
      </c>
      <c r="K160" s="28" t="n">
        <v>45461</v>
      </c>
      <c r="L160" t="inlineStr">
        <is>
          <t>Compró Casa 18 en Reserva Santa Elena</t>
        </is>
      </c>
    </row>
    <row r="161" ht="15.75" customHeight="1" s="25">
      <c r="A161" t="inlineStr">
        <is>
          <t>CLI-0159</t>
        </is>
      </c>
      <c r="B161" t="inlineStr">
        <is>
          <t>Daniel Restrepo Ríos</t>
        </is>
      </c>
      <c r="C161" t="inlineStr">
        <is>
          <t>3158058022</t>
        </is>
      </c>
      <c r="D161" t="inlineStr">
        <is>
          <t>daniel.restrepo44@gmail.com</t>
        </is>
      </c>
      <c r="E161" t="inlineStr">
        <is>
          <t>Bello</t>
        </is>
      </c>
      <c r="F161" t="inlineStr">
        <is>
          <t>PRY-005</t>
        </is>
      </c>
      <c r="G161" t="inlineStr">
        <is>
          <t>Facebook</t>
        </is>
      </c>
      <c r="H161" t="inlineStr">
        <is>
          <t>Miguel Salazar</t>
        </is>
      </c>
      <c r="I161" t="inlineStr">
        <is>
          <t>Perdido</t>
        </is>
      </c>
      <c r="J161" s="28" t="n">
        <v>45329</v>
      </c>
      <c r="K161" s="28" t="n">
        <v>45450</v>
      </c>
      <c r="L161" t="inlineStr">
        <is>
          <t>Desistió de la compra</t>
        </is>
      </c>
    </row>
    <row r="162" ht="15.75" customHeight="1" s="25">
      <c r="A162" t="inlineStr">
        <is>
          <t>CLI-0160</t>
        </is>
      </c>
      <c r="B162" t="inlineStr">
        <is>
          <t>Óscar Montes Betancur</t>
        </is>
      </c>
      <c r="C162" t="inlineStr">
        <is>
          <t>3202444159</t>
        </is>
      </c>
      <c r="D162" t="inlineStr">
        <is>
          <t>oscar.montes96@yahoo.com</t>
        </is>
      </c>
      <c r="E162" t="inlineStr">
        <is>
          <t>La Estrella</t>
        </is>
      </c>
      <c r="F162" t="inlineStr">
        <is>
          <t>PRY-008</t>
        </is>
      </c>
      <c r="G162" t="inlineStr">
        <is>
          <t>Portal Web</t>
        </is>
      </c>
      <c r="H162" t="inlineStr">
        <is>
          <t>Andrés Torres</t>
        </is>
      </c>
      <c r="I162" t="inlineStr">
        <is>
          <t>Perdido</t>
        </is>
      </c>
      <c r="J162" s="28" t="n">
        <v>45330</v>
      </c>
      <c r="K162" s="28" t="n">
        <v>45354</v>
      </c>
      <c r="L162" t="inlineStr">
        <is>
          <t>Datos de contacto errados</t>
        </is>
      </c>
    </row>
    <row r="163" ht="15.75" customHeight="1" s="25">
      <c r="A163" t="inlineStr">
        <is>
          <t>CLI-0161</t>
        </is>
      </c>
      <c r="B163" t="inlineStr">
        <is>
          <t>Sofía Osorio Zuluaga</t>
        </is>
      </c>
      <c r="C163" t="inlineStr">
        <is>
          <t>3202011834</t>
        </is>
      </c>
      <c r="D163" t="inlineStr">
        <is>
          <t>sofia.osorio14@hotmail.com</t>
        </is>
      </c>
      <c r="E163" t="inlineStr">
        <is>
          <t>Bello</t>
        </is>
      </c>
      <c r="F163" t="inlineStr">
        <is>
          <t>PRY-003</t>
        </is>
      </c>
      <c r="G163" t="inlineStr">
        <is>
          <t>Portal Web</t>
        </is>
      </c>
      <c r="H163" t="inlineStr">
        <is>
          <t>Andrés Torres</t>
        </is>
      </c>
      <c r="I163" t="inlineStr">
        <is>
          <t>Perdido</t>
        </is>
      </c>
      <c r="J163" s="28" t="n">
        <v>45331</v>
      </c>
      <c r="K163" s="28" t="n">
        <v>45394</v>
      </c>
      <c r="L163" t="inlineStr">
        <is>
          <t>Desistió de la compra</t>
        </is>
      </c>
    </row>
    <row r="164" ht="15.75" customHeight="1" s="25">
      <c r="A164" t="inlineStr">
        <is>
          <t>CLI-0162</t>
        </is>
      </c>
      <c r="B164" t="inlineStr">
        <is>
          <t>Julián Osorio Higuita</t>
        </is>
      </c>
      <c r="C164" t="inlineStr">
        <is>
          <t>3206874403</t>
        </is>
      </c>
      <c r="D164" t="inlineStr">
        <is>
          <t>julian.osorio68@yahoo.com</t>
        </is>
      </c>
      <c r="E164" t="inlineStr">
        <is>
          <t>Envigado</t>
        </is>
      </c>
      <c r="F164" t="inlineStr">
        <is>
          <t>PRY-004</t>
        </is>
      </c>
      <c r="G164" t="inlineStr">
        <is>
          <t>Portal Web</t>
        </is>
      </c>
      <c r="H164" t="inlineStr">
        <is>
          <t>Andrés Torres</t>
        </is>
      </c>
      <c r="I164" t="inlineStr">
        <is>
          <t>Ganado</t>
        </is>
      </c>
      <c r="J164" s="28" t="n">
        <v>45331</v>
      </c>
      <c r="K164" s="28" t="n">
        <v>45481</v>
      </c>
      <c r="L164" t="inlineStr">
        <is>
          <t>Compró Casa 46 en Altavista Park</t>
        </is>
      </c>
    </row>
    <row r="165" ht="15.75" customHeight="1" s="25">
      <c r="A165" t="inlineStr">
        <is>
          <t>CLI-0163</t>
        </is>
      </c>
      <c r="B165" t="inlineStr">
        <is>
          <t>Sebastián Peláez Vélez</t>
        </is>
      </c>
      <c r="C165" t="inlineStr">
        <is>
          <t>3104109935</t>
        </is>
      </c>
      <c r="D165" t="inlineStr">
        <is>
          <t>sebastian.pelaez92@outlook.com</t>
        </is>
      </c>
      <c r="E165" t="inlineStr">
        <is>
          <t>Medellín</t>
        </is>
      </c>
      <c r="F165" t="inlineStr">
        <is>
          <t>PRY-003</t>
        </is>
      </c>
      <c r="G165" t="inlineStr">
        <is>
          <t>Referido</t>
        </is>
      </c>
      <c r="H165" t="inlineStr">
        <is>
          <t>Luis Bedoya</t>
        </is>
      </c>
      <c r="I165" t="inlineStr">
        <is>
          <t>Ganado</t>
        </is>
      </c>
      <c r="J165" s="28" t="n">
        <v>45331</v>
      </c>
      <c r="K165" s="28" t="n">
        <v>45410</v>
      </c>
      <c r="L165" t="inlineStr">
        <is>
          <t>Compró Apto 2201 en Conecta Laureles</t>
        </is>
      </c>
    </row>
    <row r="166" ht="15.75" customHeight="1" s="25">
      <c r="A166" t="inlineStr">
        <is>
          <t>CLI-0164</t>
        </is>
      </c>
      <c r="B166" t="inlineStr">
        <is>
          <t>Carlos Giraldo Echeverri</t>
        </is>
      </c>
      <c r="C166" t="inlineStr">
        <is>
          <t>3246839691</t>
        </is>
      </c>
      <c r="D166" t="inlineStr">
        <is>
          <t>carlos.giraldo96@yahoo.com</t>
        </is>
      </c>
      <c r="E166" t="inlineStr">
        <is>
          <t>Medellín</t>
        </is>
      </c>
      <c r="F166" t="inlineStr">
        <is>
          <t>PRY-003</t>
        </is>
      </c>
      <c r="G166" t="inlineStr">
        <is>
          <t>Portal Web</t>
        </is>
      </c>
      <c r="H166" t="inlineStr">
        <is>
          <t>Luis Bedoya</t>
        </is>
      </c>
      <c r="I166" t="inlineStr">
        <is>
          <t>Perdido</t>
        </is>
      </c>
      <c r="J166" s="28" t="n">
        <v>45331</v>
      </c>
      <c r="K166" s="28" t="n">
        <v>45383</v>
      </c>
      <c r="L166" t="inlineStr">
        <is>
          <t>Cambió de ciudad</t>
        </is>
      </c>
    </row>
    <row r="167" ht="15.75" customHeight="1" s="25">
      <c r="A167" t="inlineStr">
        <is>
          <t>CLI-0165</t>
        </is>
      </c>
      <c r="B167" t="inlineStr">
        <is>
          <t>Valeria Duque Correa</t>
        </is>
      </c>
      <c r="C167" t="inlineStr">
        <is>
          <t>3222662815</t>
        </is>
      </c>
      <c r="D167" t="inlineStr">
        <is>
          <t>valeria.duque18@outlook.com</t>
        </is>
      </c>
      <c r="E167" t="inlineStr">
        <is>
          <t>Itagüí</t>
        </is>
      </c>
      <c r="F167" t="inlineStr">
        <is>
          <t>PRY-008</t>
        </is>
      </c>
      <c r="G167" t="inlineStr">
        <is>
          <t>Referido</t>
        </is>
      </c>
      <c r="H167" t="inlineStr">
        <is>
          <t>Luis Bedoya</t>
        </is>
      </c>
      <c r="I167" t="inlineStr">
        <is>
          <t>Perdido</t>
        </is>
      </c>
      <c r="J167" s="28" t="n">
        <v>45331</v>
      </c>
      <c r="K167" s="28" t="n">
        <v>45344</v>
      </c>
      <c r="L167" t="inlineStr">
        <is>
          <t>No calificó para crédito</t>
        </is>
      </c>
    </row>
    <row r="168" ht="15.75" customHeight="1" s="25">
      <c r="A168" t="inlineStr">
        <is>
          <t>CLI-0166</t>
        </is>
      </c>
      <c r="B168" t="inlineStr">
        <is>
          <t>Emilio Quintero Ríos</t>
        </is>
      </c>
      <c r="C168" t="inlineStr">
        <is>
          <t>3176948748</t>
        </is>
      </c>
      <c r="D168" t="inlineStr">
        <is>
          <t>emilio.quintero12@gmail.com</t>
        </is>
      </c>
      <c r="E168" t="inlineStr">
        <is>
          <t>Bello</t>
        </is>
      </c>
      <c r="F168" t="inlineStr">
        <is>
          <t>PRY-003</t>
        </is>
      </c>
      <c r="G168" t="inlineStr">
        <is>
          <t>Facebook</t>
        </is>
      </c>
      <c r="H168" t="inlineStr">
        <is>
          <t>Miguel Salazar</t>
        </is>
      </c>
      <c r="I168" t="inlineStr">
        <is>
          <t>Ganado</t>
        </is>
      </c>
      <c r="J168" s="28" t="n">
        <v>45332</v>
      </c>
      <c r="K168" s="28" t="n">
        <v>45461</v>
      </c>
      <c r="L168" t="inlineStr">
        <is>
          <t>Compró Apto 1706 en Conecta Laureles</t>
        </is>
      </c>
    </row>
    <row r="169" ht="15.75" customHeight="1" s="25">
      <c r="A169" t="inlineStr">
        <is>
          <t>CLI-0167</t>
        </is>
      </c>
      <c r="B169" t="inlineStr">
        <is>
          <t>Lorena Gaviria Agudelo</t>
        </is>
      </c>
      <c r="C169" t="inlineStr">
        <is>
          <t>3007256544</t>
        </is>
      </c>
      <c r="D169" t="inlineStr">
        <is>
          <t>lorena.gaviria21@hotmail.com</t>
        </is>
      </c>
      <c r="E169" t="inlineStr">
        <is>
          <t>Medellín</t>
        </is>
      </c>
      <c r="F169" t="inlineStr">
        <is>
          <t>PRY-004</t>
        </is>
      </c>
      <c r="G169" t="inlineStr">
        <is>
          <t>Facebook</t>
        </is>
      </c>
      <c r="H169" t="inlineStr">
        <is>
          <t>Andrés Torres</t>
        </is>
      </c>
      <c r="I169" t="inlineStr">
        <is>
          <t>Ganado</t>
        </is>
      </c>
      <c r="J169" s="28" t="n">
        <v>45332</v>
      </c>
      <c r="K169" s="28" t="n">
        <v>45436</v>
      </c>
      <c r="L169" t="inlineStr">
        <is>
          <t>Compró Casa 53 en Altavista Park</t>
        </is>
      </c>
    </row>
    <row r="170" ht="15.75" customHeight="1" s="25">
      <c r="A170" t="inlineStr">
        <is>
          <t>CLI-0168</t>
        </is>
      </c>
      <c r="B170" t="inlineStr">
        <is>
          <t>Óscar Marín Quintero</t>
        </is>
      </c>
      <c r="C170" t="inlineStr">
        <is>
          <t>3046321285</t>
        </is>
      </c>
      <c r="D170" t="inlineStr">
        <is>
          <t>oscar.marin52@gmail.com</t>
        </is>
      </c>
      <c r="E170" t="inlineStr">
        <is>
          <t>Medellín</t>
        </is>
      </c>
      <c r="F170" t="inlineStr">
        <is>
          <t>PRY-004</t>
        </is>
      </c>
      <c r="G170" t="inlineStr">
        <is>
          <t>Portal Web</t>
        </is>
      </c>
      <c r="H170" t="inlineStr">
        <is>
          <t>Sofía Prada</t>
        </is>
      </c>
      <c r="I170" t="inlineStr">
        <is>
          <t>Perdido</t>
        </is>
      </c>
      <c r="J170" s="28" t="n">
        <v>45332</v>
      </c>
      <c r="K170" s="28" t="n">
        <v>45356</v>
      </c>
      <c r="L170" t="inlineStr">
        <is>
          <t>No calificó para crédito</t>
        </is>
      </c>
    </row>
    <row r="171" ht="15.75" customHeight="1" s="25">
      <c r="A171" t="inlineStr">
        <is>
          <t>CLI-0169</t>
        </is>
      </c>
      <c r="B171" t="inlineStr">
        <is>
          <t>David Cano Higuita</t>
        </is>
      </c>
      <c r="C171" t="inlineStr">
        <is>
          <t>3173337353</t>
        </is>
      </c>
      <c r="D171" t="inlineStr">
        <is>
          <t>david.cano38@outlook.com</t>
        </is>
      </c>
      <c r="E171" t="inlineStr">
        <is>
          <t>Medellín</t>
        </is>
      </c>
      <c r="F171" t="inlineStr">
        <is>
          <t>PRY-004</t>
        </is>
      </c>
      <c r="G171" t="inlineStr">
        <is>
          <t>Portal Web</t>
        </is>
      </c>
      <c r="H171" t="inlineStr">
        <is>
          <t>Luis Bedoya</t>
        </is>
      </c>
      <c r="I171" t="inlineStr">
        <is>
          <t>Perdido</t>
        </is>
      </c>
      <c r="J171" s="28" t="n">
        <v>45332</v>
      </c>
      <c r="K171" s="28" t="n">
        <v>45350</v>
      </c>
      <c r="L171" t="inlineStr">
        <is>
          <t>Buscaba arriendo, no compra</t>
        </is>
      </c>
    </row>
    <row r="172" ht="15.75" customHeight="1" s="25">
      <c r="A172" t="inlineStr">
        <is>
          <t>CLI-0170</t>
        </is>
      </c>
      <c r="B172" t="inlineStr">
        <is>
          <t>Alejandro Escobar Franco</t>
        </is>
      </c>
      <c r="C172" t="inlineStr">
        <is>
          <t>3154541906</t>
        </is>
      </c>
      <c r="D172" t="inlineStr">
        <is>
          <t>alejandro.escobar40@yahoo.com</t>
        </is>
      </c>
      <c r="E172" t="inlineStr">
        <is>
          <t>Bello</t>
        </is>
      </c>
      <c r="F172" t="inlineStr">
        <is>
          <t>PRY-004</t>
        </is>
      </c>
      <c r="G172" t="inlineStr">
        <is>
          <t>Portal Web</t>
        </is>
      </c>
      <c r="H172" t="inlineStr">
        <is>
          <t>Miguel Salazar</t>
        </is>
      </c>
      <c r="I172" t="inlineStr">
        <is>
          <t>Perdido</t>
        </is>
      </c>
      <c r="J172" s="28" t="n">
        <v>45332</v>
      </c>
      <c r="K172" s="28" t="n">
        <v>45361</v>
      </c>
      <c r="L172" t="inlineStr">
        <is>
          <t>Presupuesto insuficiente</t>
        </is>
      </c>
    </row>
    <row r="173" ht="15.75" customHeight="1" s="25">
      <c r="A173" t="inlineStr">
        <is>
          <t>CLI-0171</t>
        </is>
      </c>
      <c r="B173" t="inlineStr">
        <is>
          <t>Valeria Cifuentes Arango</t>
        </is>
      </c>
      <c r="C173" t="inlineStr">
        <is>
          <t>3101969566</t>
        </is>
      </c>
      <c r="D173" t="inlineStr">
        <is>
          <t>valeria.cifuentes86@hotmail.com</t>
        </is>
      </c>
      <c r="E173" t="inlineStr">
        <is>
          <t>La Estrella</t>
        </is>
      </c>
      <c r="F173" t="inlineStr">
        <is>
          <t>PRY-004</t>
        </is>
      </c>
      <c r="G173" t="inlineStr">
        <is>
          <t>Instagram</t>
        </is>
      </c>
      <c r="H173" t="inlineStr">
        <is>
          <t>Andrés Torres</t>
        </is>
      </c>
      <c r="I173" t="inlineStr">
        <is>
          <t>Perdido</t>
        </is>
      </c>
      <c r="J173" s="28" t="n">
        <v>45332</v>
      </c>
      <c r="K173" s="28" t="n">
        <v>45357</v>
      </c>
      <c r="L173" t="inlineStr">
        <is>
          <t>Buscaba arriendo, no compra</t>
        </is>
      </c>
    </row>
    <row r="174" ht="15.75" customHeight="1" s="25">
      <c r="A174" t="inlineStr">
        <is>
          <t>CLI-0172</t>
        </is>
      </c>
      <c r="B174" t="inlineStr">
        <is>
          <t>Julián Correa Franco</t>
        </is>
      </c>
      <c r="C174" t="inlineStr">
        <is>
          <t>3005775521</t>
        </is>
      </c>
      <c r="D174" t="inlineStr">
        <is>
          <t>julian.correa48@outlook.com</t>
        </is>
      </c>
      <c r="E174" t="inlineStr">
        <is>
          <t>Medellín</t>
        </is>
      </c>
      <c r="F174" t="inlineStr">
        <is>
          <t>PRY-008</t>
        </is>
      </c>
      <c r="G174" t="inlineStr">
        <is>
          <t>Facebook</t>
        </is>
      </c>
      <c r="H174" t="inlineStr">
        <is>
          <t>Andrés Torres</t>
        </is>
      </c>
      <c r="I174" t="inlineStr">
        <is>
          <t>Perdido</t>
        </is>
      </c>
      <c r="J174" s="28" t="n">
        <v>45332</v>
      </c>
      <c r="K174" s="28" t="n">
        <v>45342</v>
      </c>
      <c r="L174" t="inlineStr">
        <is>
          <t>Datos de contacto errados</t>
        </is>
      </c>
    </row>
    <row r="175" ht="15.75" customHeight="1" s="25">
      <c r="A175" t="inlineStr">
        <is>
          <t>CLI-0173</t>
        </is>
      </c>
      <c r="B175" t="inlineStr">
        <is>
          <t>Sara Álvarez Mejía</t>
        </is>
      </c>
      <c r="C175" t="inlineStr">
        <is>
          <t>3005132306</t>
        </is>
      </c>
      <c r="D175" t="inlineStr">
        <is>
          <t>sara.alvarez82@outlook.com</t>
        </is>
      </c>
      <c r="E175" t="inlineStr">
        <is>
          <t>Medellín</t>
        </is>
      </c>
      <c r="F175" t="inlineStr">
        <is>
          <t>PRY-004</t>
        </is>
      </c>
      <c r="G175" t="inlineStr">
        <is>
          <t>Portal Web</t>
        </is>
      </c>
      <c r="H175" t="inlineStr">
        <is>
          <t>Miguel Salazar</t>
        </is>
      </c>
      <c r="I175" t="inlineStr">
        <is>
          <t>Perdido</t>
        </is>
      </c>
      <c r="J175" s="28" t="n">
        <v>45333</v>
      </c>
      <c r="K175" s="28" t="n">
        <v>45434</v>
      </c>
      <c r="L175" t="inlineStr">
        <is>
          <t>Eligió otro proyecto</t>
        </is>
      </c>
    </row>
    <row r="176" ht="15.75" customHeight="1" s="25">
      <c r="A176" t="inlineStr">
        <is>
          <t>CLI-0174</t>
        </is>
      </c>
      <c r="B176" t="inlineStr">
        <is>
          <t>Paola Arango Zapata</t>
        </is>
      </c>
      <c r="C176" t="inlineStr">
        <is>
          <t>3007202025</t>
        </is>
      </c>
      <c r="D176" t="inlineStr">
        <is>
          <t>paola.arango40@outlook.com</t>
        </is>
      </c>
      <c r="E176" t="inlineStr">
        <is>
          <t>Envigado</t>
        </is>
      </c>
      <c r="F176" t="inlineStr">
        <is>
          <t>PRY-008</t>
        </is>
      </c>
      <c r="G176" t="inlineStr">
        <is>
          <t>Facebook</t>
        </is>
      </c>
      <c r="H176" t="inlineStr">
        <is>
          <t>Ana Quintero</t>
        </is>
      </c>
      <c r="I176" t="inlineStr">
        <is>
          <t>Perdido</t>
        </is>
      </c>
      <c r="J176" s="28" t="n">
        <v>45333</v>
      </c>
      <c r="K176" s="28" t="n">
        <v>45348</v>
      </c>
      <c r="L176" t="inlineStr">
        <is>
          <t>Buscaba arriendo, no compra</t>
        </is>
      </c>
    </row>
    <row r="177" ht="15.75" customHeight="1" s="25">
      <c r="A177" t="inlineStr">
        <is>
          <t>CLI-0175</t>
        </is>
      </c>
      <c r="B177" t="inlineStr">
        <is>
          <t>Valeria Arango Giraldo</t>
        </is>
      </c>
      <c r="C177" t="inlineStr">
        <is>
          <t>3131534062</t>
        </is>
      </c>
      <c r="D177" t="inlineStr">
        <is>
          <t>valeria.arango32@hotmail.com</t>
        </is>
      </c>
      <c r="E177" t="inlineStr">
        <is>
          <t>Itagüí</t>
        </is>
      </c>
      <c r="F177" t="inlineStr">
        <is>
          <t>PRY-004</t>
        </is>
      </c>
      <c r="G177" t="inlineStr">
        <is>
          <t>Instagram</t>
        </is>
      </c>
      <c r="H177" t="inlineStr">
        <is>
          <t>Luis Bedoya</t>
        </is>
      </c>
      <c r="I177" t="inlineStr">
        <is>
          <t>Perdido</t>
        </is>
      </c>
      <c r="J177" s="28" t="n">
        <v>45333</v>
      </c>
      <c r="K177" s="28" t="n">
        <v>45362</v>
      </c>
      <c r="L177" t="inlineStr">
        <is>
          <t>Buscaba arriendo, no compra</t>
        </is>
      </c>
    </row>
    <row r="178" ht="15.75" customHeight="1" s="25">
      <c r="A178" t="inlineStr">
        <is>
          <t>CLI-0176</t>
        </is>
      </c>
      <c r="B178" t="inlineStr">
        <is>
          <t>Nicolás Arango Echeverri</t>
        </is>
      </c>
      <c r="C178" t="inlineStr">
        <is>
          <t>3249522754</t>
        </is>
      </c>
      <c r="D178" t="inlineStr">
        <is>
          <t>nicolas.arango54@outlook.com</t>
        </is>
      </c>
      <c r="E178" t="inlineStr">
        <is>
          <t>Medellín</t>
        </is>
      </c>
      <c r="F178" t="inlineStr">
        <is>
          <t>PRY-003</t>
        </is>
      </c>
      <c r="G178" t="inlineStr">
        <is>
          <t>Facebook</t>
        </is>
      </c>
      <c r="H178" t="inlineStr">
        <is>
          <t>Andrés Torres</t>
        </is>
      </c>
      <c r="I178" t="inlineStr">
        <is>
          <t>Perdido</t>
        </is>
      </c>
      <c r="J178" s="28" t="n">
        <v>45333</v>
      </c>
      <c r="K178" s="28" t="n">
        <v>45342</v>
      </c>
      <c r="L178" t="inlineStr">
        <is>
          <t>Sin respuesta tras 3 contactos</t>
        </is>
      </c>
    </row>
    <row r="179" ht="15.75" customHeight="1" s="25">
      <c r="A179" t="inlineStr">
        <is>
          <t>CLI-0177</t>
        </is>
      </c>
      <c r="B179" t="inlineStr">
        <is>
          <t>Santiago Castaño Marín</t>
        </is>
      </c>
      <c r="C179" t="inlineStr">
        <is>
          <t>3245803555</t>
        </is>
      </c>
      <c r="D179" t="inlineStr">
        <is>
          <t>santiago.castano55@gmail.com</t>
        </is>
      </c>
      <c r="E179" t="inlineStr">
        <is>
          <t>Rionegro</t>
        </is>
      </c>
      <c r="F179" t="inlineStr">
        <is>
          <t>PRY-004</t>
        </is>
      </c>
      <c r="G179" t="inlineStr">
        <is>
          <t>Facebook</t>
        </is>
      </c>
      <c r="H179" t="inlineStr">
        <is>
          <t>Luis Bedoya</t>
        </is>
      </c>
      <c r="I179" t="inlineStr">
        <is>
          <t>Perdido</t>
        </is>
      </c>
      <c r="J179" s="28" t="n">
        <v>45334</v>
      </c>
      <c r="K179" s="28" t="n">
        <v>45361</v>
      </c>
      <c r="L179" t="inlineStr">
        <is>
          <t>Sin respuesta tras 3 contactos</t>
        </is>
      </c>
    </row>
    <row r="180" ht="15.75" customHeight="1" s="25">
      <c r="A180" t="inlineStr">
        <is>
          <t>CLI-0178</t>
        </is>
      </c>
      <c r="B180" t="inlineStr">
        <is>
          <t>Paola Bedoya Hernández</t>
        </is>
      </c>
      <c r="C180" t="inlineStr">
        <is>
          <t>3226689068</t>
        </is>
      </c>
      <c r="D180" t="inlineStr">
        <is>
          <t>paola.bedoya37@hotmail.com</t>
        </is>
      </c>
      <c r="E180" t="inlineStr">
        <is>
          <t>Medellín</t>
        </is>
      </c>
      <c r="F180" t="inlineStr">
        <is>
          <t>PRY-001</t>
        </is>
      </c>
      <c r="G180" t="inlineStr">
        <is>
          <t>Instagram</t>
        </is>
      </c>
      <c r="H180" t="inlineStr">
        <is>
          <t>Sofía Prada</t>
        </is>
      </c>
      <c r="I180" t="inlineStr">
        <is>
          <t>Perdido</t>
        </is>
      </c>
      <c r="J180" s="28" t="n">
        <v>45334</v>
      </c>
      <c r="K180" s="28" t="n">
        <v>45353</v>
      </c>
      <c r="L180" t="inlineStr">
        <is>
          <t>Presupuesto insuficiente</t>
        </is>
      </c>
    </row>
    <row r="181" ht="15.75" customHeight="1" s="25">
      <c r="A181" t="inlineStr">
        <is>
          <t>CLI-0179</t>
        </is>
      </c>
      <c r="B181" t="inlineStr">
        <is>
          <t>Daniela Bedoya Zuluaga</t>
        </is>
      </c>
      <c r="C181" t="inlineStr">
        <is>
          <t>3242432822</t>
        </is>
      </c>
      <c r="D181" t="inlineStr">
        <is>
          <t>daniela.bedoya57@hotmail.com</t>
        </is>
      </c>
      <c r="E181" t="inlineStr">
        <is>
          <t>Medellín</t>
        </is>
      </c>
      <c r="F181" t="inlineStr">
        <is>
          <t>PRY-001</t>
        </is>
      </c>
      <c r="G181" t="inlineStr">
        <is>
          <t>Instagram</t>
        </is>
      </c>
      <c r="H181" t="inlineStr">
        <is>
          <t>Juliana Vélez</t>
        </is>
      </c>
      <c r="I181" t="inlineStr">
        <is>
          <t>Perdido</t>
        </is>
      </c>
      <c r="J181" s="28" t="n">
        <v>45334</v>
      </c>
      <c r="K181" s="28" t="n">
        <v>45364</v>
      </c>
      <c r="L181" t="inlineStr">
        <is>
          <t>Sin respuesta tras 3 contactos</t>
        </is>
      </c>
    </row>
    <row r="182" ht="15.75" customHeight="1" s="25">
      <c r="A182" t="inlineStr">
        <is>
          <t>CLI-0180</t>
        </is>
      </c>
      <c r="B182" t="inlineStr">
        <is>
          <t>David Gómez Vargas</t>
        </is>
      </c>
      <c r="C182" t="inlineStr">
        <is>
          <t>3135062082</t>
        </is>
      </c>
      <c r="D182" t="inlineStr">
        <is>
          <t>david.gomez96@gmail.com</t>
        </is>
      </c>
      <c r="E182" t="inlineStr">
        <is>
          <t>Itagüí</t>
        </is>
      </c>
      <c r="F182" t="inlineStr">
        <is>
          <t>PRY-001</t>
        </is>
      </c>
      <c r="G182" t="inlineStr">
        <is>
          <t>Instagram</t>
        </is>
      </c>
      <c r="H182" t="inlineStr">
        <is>
          <t>Miguel Salazar</t>
        </is>
      </c>
      <c r="I182" t="inlineStr">
        <is>
          <t>Perdido</t>
        </is>
      </c>
      <c r="J182" s="28" t="n">
        <v>45335</v>
      </c>
      <c r="K182" s="28" t="n">
        <v>45346</v>
      </c>
      <c r="L182" t="inlineStr">
        <is>
          <t>Presupuesto insuficiente</t>
        </is>
      </c>
    </row>
    <row r="183" ht="15.75" customHeight="1" s="25">
      <c r="A183" t="inlineStr">
        <is>
          <t>CLI-0181</t>
        </is>
      </c>
      <c r="B183" t="inlineStr">
        <is>
          <t>Felipe Osorio Quintero</t>
        </is>
      </c>
      <c r="C183" t="inlineStr">
        <is>
          <t>3004528262</t>
        </is>
      </c>
      <c r="D183" t="inlineStr">
        <is>
          <t>felipe.osorio89@hotmail.com</t>
        </is>
      </c>
      <c r="E183" t="inlineStr">
        <is>
          <t>La Estrella</t>
        </is>
      </c>
      <c r="F183" t="inlineStr">
        <is>
          <t>PRY-004</t>
        </is>
      </c>
      <c r="G183" t="inlineStr">
        <is>
          <t>Portal Web</t>
        </is>
      </c>
      <c r="H183" t="inlineStr">
        <is>
          <t>Luis Bedoya</t>
        </is>
      </c>
      <c r="I183" t="inlineStr">
        <is>
          <t>Perdido</t>
        </is>
      </c>
      <c r="J183" s="28" t="n">
        <v>45335</v>
      </c>
      <c r="K183" s="28" t="n">
        <v>45345</v>
      </c>
      <c r="L183" t="inlineStr">
        <is>
          <t>Datos de contacto errados</t>
        </is>
      </c>
    </row>
    <row r="184" ht="15.75" customHeight="1" s="25">
      <c r="A184" t="inlineStr">
        <is>
          <t>CLI-0182</t>
        </is>
      </c>
      <c r="B184" t="inlineStr">
        <is>
          <t>Valentina Pérez Agudelo</t>
        </is>
      </c>
      <c r="C184" t="inlineStr">
        <is>
          <t>3176009514</t>
        </is>
      </c>
      <c r="D184" t="inlineStr">
        <is>
          <t>valentina.perez3@gmail.com</t>
        </is>
      </c>
      <c r="E184" t="inlineStr">
        <is>
          <t>Envigado</t>
        </is>
      </c>
      <c r="F184" t="inlineStr">
        <is>
          <t>PRY-001</t>
        </is>
      </c>
      <c r="G184" t="inlineStr">
        <is>
          <t>Portal Web</t>
        </is>
      </c>
      <c r="H184" t="inlineStr">
        <is>
          <t>Sofía Prada</t>
        </is>
      </c>
      <c r="I184" t="inlineStr">
        <is>
          <t>Ganado</t>
        </is>
      </c>
      <c r="J184" s="28" t="n">
        <v>45336</v>
      </c>
      <c r="K184" s="28" t="n">
        <v>45470</v>
      </c>
      <c r="L184" t="inlineStr">
        <is>
          <t>Compró Apto 805 en Torres del Poblado</t>
        </is>
      </c>
    </row>
    <row r="185" ht="15.75" customHeight="1" s="25">
      <c r="A185" t="inlineStr">
        <is>
          <t>CLI-0183</t>
        </is>
      </c>
      <c r="B185" t="inlineStr">
        <is>
          <t>Juliana Cifuentes Salazar</t>
        </is>
      </c>
      <c r="C185" t="inlineStr">
        <is>
          <t>3006580488</t>
        </is>
      </c>
      <c r="D185" t="inlineStr">
        <is>
          <t>juliana.cifuentes87@gmail.com</t>
        </is>
      </c>
      <c r="E185" t="inlineStr">
        <is>
          <t>Medellín</t>
        </is>
      </c>
      <c r="F185" t="inlineStr">
        <is>
          <t>PRY-003</t>
        </is>
      </c>
      <c r="G185" t="inlineStr">
        <is>
          <t>Feria Inmobiliaria</t>
        </is>
      </c>
      <c r="H185" t="inlineStr">
        <is>
          <t>Luis Bedoya</t>
        </is>
      </c>
      <c r="I185" t="inlineStr">
        <is>
          <t>Ganado</t>
        </is>
      </c>
      <c r="J185" s="28" t="n">
        <v>45336</v>
      </c>
      <c r="K185" s="28" t="n">
        <v>45439</v>
      </c>
      <c r="L185" t="inlineStr">
        <is>
          <t>Compró Apto 1505 en Conecta Laureles</t>
        </is>
      </c>
    </row>
    <row r="186" ht="15.75" customHeight="1" s="25">
      <c r="A186" t="inlineStr">
        <is>
          <t>CLI-0184</t>
        </is>
      </c>
      <c r="B186" t="inlineStr">
        <is>
          <t>Paula Sánchez Pérez</t>
        </is>
      </c>
      <c r="C186" t="inlineStr">
        <is>
          <t>3134601058</t>
        </is>
      </c>
      <c r="D186" t="inlineStr">
        <is>
          <t>paula.sanchez37@yahoo.com</t>
        </is>
      </c>
      <c r="E186" t="inlineStr">
        <is>
          <t>Itagüí</t>
        </is>
      </c>
      <c r="F186" t="inlineStr">
        <is>
          <t>PRY-003</t>
        </is>
      </c>
      <c r="G186" t="inlineStr">
        <is>
          <t>Facebook</t>
        </is>
      </c>
      <c r="H186" t="inlineStr">
        <is>
          <t>Andrés Torres</t>
        </is>
      </c>
      <c r="I186" t="inlineStr">
        <is>
          <t>Perdido</t>
        </is>
      </c>
      <c r="J186" s="28" t="n">
        <v>45336</v>
      </c>
      <c r="K186" s="28" t="n">
        <v>45358</v>
      </c>
      <c r="L186" t="inlineStr">
        <is>
          <t>Sin respuesta tras 3 contactos</t>
        </is>
      </c>
    </row>
    <row r="187" ht="15.75" customHeight="1" s="25">
      <c r="A187" t="inlineStr">
        <is>
          <t>CLI-0185</t>
        </is>
      </c>
      <c r="B187" t="inlineStr">
        <is>
          <t>Rodrigo Osorio Castaño</t>
        </is>
      </c>
      <c r="C187" t="inlineStr">
        <is>
          <t>3108606470</t>
        </is>
      </c>
      <c r="D187" t="inlineStr">
        <is>
          <t>rodrigo.osorio91@gmail.com</t>
        </is>
      </c>
      <c r="E187" t="inlineStr">
        <is>
          <t>Medellín</t>
        </is>
      </c>
      <c r="F187" t="inlineStr">
        <is>
          <t>PRY-004</t>
        </is>
      </c>
      <c r="G187" t="inlineStr">
        <is>
          <t>Feria Inmobiliaria</t>
        </is>
      </c>
      <c r="H187" t="inlineStr">
        <is>
          <t>Miguel Salazar</t>
        </is>
      </c>
      <c r="I187" t="inlineStr">
        <is>
          <t>Perdido</t>
        </is>
      </c>
      <c r="J187" s="28" t="n">
        <v>45336</v>
      </c>
      <c r="K187" s="28" t="n">
        <v>45351</v>
      </c>
      <c r="L187" t="inlineStr">
        <is>
          <t>Buscaba arriendo, no compra</t>
        </is>
      </c>
    </row>
    <row r="188" ht="15.75" customHeight="1" s="25">
      <c r="A188" t="inlineStr">
        <is>
          <t>CLI-0186</t>
        </is>
      </c>
      <c r="B188" t="inlineStr">
        <is>
          <t>Marcela Zuluaga Franco</t>
        </is>
      </c>
      <c r="C188" t="inlineStr">
        <is>
          <t>3003026768</t>
        </is>
      </c>
      <c r="D188" t="inlineStr">
        <is>
          <t>marcela.zuluaga54@gmail.com</t>
        </is>
      </c>
      <c r="E188" t="inlineStr">
        <is>
          <t>La Estrella</t>
        </is>
      </c>
      <c r="F188" t="inlineStr">
        <is>
          <t>PRY-003</t>
        </is>
      </c>
      <c r="G188" t="inlineStr">
        <is>
          <t>Referido</t>
        </is>
      </c>
      <c r="H188" t="inlineStr">
        <is>
          <t>Luis Bedoya</t>
        </is>
      </c>
      <c r="I188" t="inlineStr">
        <is>
          <t>Ganado</t>
        </is>
      </c>
      <c r="J188" s="28" t="n">
        <v>45337</v>
      </c>
      <c r="K188" s="28" t="n">
        <v>45436</v>
      </c>
      <c r="L188" t="inlineStr">
        <is>
          <t>Compró Apto 2503 en Conecta Laureles</t>
        </is>
      </c>
    </row>
    <row r="189" ht="15.75" customHeight="1" s="25">
      <c r="A189" t="inlineStr">
        <is>
          <t>CLI-0187</t>
        </is>
      </c>
      <c r="B189" t="inlineStr">
        <is>
          <t>Daniela Vélez Palacio</t>
        </is>
      </c>
      <c r="C189" t="inlineStr">
        <is>
          <t>3208522922</t>
        </is>
      </c>
      <c r="D189" t="inlineStr">
        <is>
          <t>daniela.velez48@yahoo.com</t>
        </is>
      </c>
      <c r="E189" t="inlineStr">
        <is>
          <t>Rionegro</t>
        </is>
      </c>
      <c r="F189" t="inlineStr">
        <is>
          <t>PRY-008</t>
        </is>
      </c>
      <c r="G189" t="inlineStr">
        <is>
          <t>Portal Web</t>
        </is>
      </c>
      <c r="H189" t="inlineStr">
        <is>
          <t>Luis Bedoya</t>
        </is>
      </c>
      <c r="I189" t="inlineStr">
        <is>
          <t>Perdido</t>
        </is>
      </c>
      <c r="J189" s="28" t="n">
        <v>45337</v>
      </c>
      <c r="K189" s="28" t="n">
        <v>45367</v>
      </c>
      <c r="L189" t="inlineStr">
        <is>
          <t>Buscaba arriendo, no compra</t>
        </is>
      </c>
    </row>
    <row r="190" ht="15.75" customHeight="1" s="25">
      <c r="A190" t="inlineStr">
        <is>
          <t>CLI-0188</t>
        </is>
      </c>
      <c r="B190" t="inlineStr">
        <is>
          <t>Esteban Vásquez Duque</t>
        </is>
      </c>
      <c r="C190" t="inlineStr">
        <is>
          <t>3151483436</t>
        </is>
      </c>
      <c r="D190" t="inlineStr">
        <is>
          <t>esteban.vasquez68@hotmail.com</t>
        </is>
      </c>
      <c r="E190" t="inlineStr">
        <is>
          <t>Medellín</t>
        </is>
      </c>
      <c r="F190" t="inlineStr">
        <is>
          <t>PRY-003</t>
        </is>
      </c>
      <c r="G190" t="inlineStr">
        <is>
          <t>Portal Web</t>
        </is>
      </c>
      <c r="H190" t="inlineStr">
        <is>
          <t>Luis Bedoya</t>
        </is>
      </c>
      <c r="I190" t="inlineStr">
        <is>
          <t>Perdido</t>
        </is>
      </c>
      <c r="J190" s="28" t="n">
        <v>45338</v>
      </c>
      <c r="K190" s="28" t="n">
        <v>45419</v>
      </c>
      <c r="L190" t="inlineStr">
        <is>
          <t>Desistió de la compra</t>
        </is>
      </c>
    </row>
    <row r="191" ht="15.75" customHeight="1" s="25">
      <c r="A191" t="inlineStr">
        <is>
          <t>CLI-0189</t>
        </is>
      </c>
      <c r="B191" t="inlineStr">
        <is>
          <t>Andrés Palacio Mejía</t>
        </is>
      </c>
      <c r="C191" t="inlineStr">
        <is>
          <t>3153440970</t>
        </is>
      </c>
      <c r="D191" t="inlineStr">
        <is>
          <t>andres.palacio24@gmail.com</t>
        </is>
      </c>
      <c r="E191" t="inlineStr">
        <is>
          <t>Itagüí</t>
        </is>
      </c>
      <c r="F191" t="inlineStr">
        <is>
          <t>PRY-008</t>
        </is>
      </c>
      <c r="G191" t="inlineStr">
        <is>
          <t>Instagram</t>
        </is>
      </c>
      <c r="H191" t="inlineStr">
        <is>
          <t>Miguel Salazar</t>
        </is>
      </c>
      <c r="I191" t="inlineStr">
        <is>
          <t>Perdido</t>
        </is>
      </c>
      <c r="J191" s="28" t="n">
        <v>45338</v>
      </c>
      <c r="K191" s="28" t="n">
        <v>45345</v>
      </c>
      <c r="L191" t="inlineStr">
        <is>
          <t>Sin respuesta tras 3 contactos</t>
        </is>
      </c>
    </row>
    <row r="192" ht="15.75" customHeight="1" s="25">
      <c r="A192" t="inlineStr">
        <is>
          <t>CLI-0190</t>
        </is>
      </c>
      <c r="B192" t="inlineStr">
        <is>
          <t>Valeria Valencia Restrepo</t>
        </is>
      </c>
      <c r="C192" t="inlineStr">
        <is>
          <t>3044514919</t>
        </is>
      </c>
      <c r="D192" t="inlineStr">
        <is>
          <t>valeria.valencia14@outlook.com</t>
        </is>
      </c>
      <c r="E192" t="inlineStr">
        <is>
          <t>Medellín</t>
        </is>
      </c>
      <c r="F192" t="inlineStr">
        <is>
          <t>PRY-003</t>
        </is>
      </c>
      <c r="G192" t="inlineStr">
        <is>
          <t>Referido</t>
        </is>
      </c>
      <c r="H192" t="inlineStr">
        <is>
          <t>Luis Bedoya</t>
        </is>
      </c>
      <c r="I192" t="inlineStr">
        <is>
          <t>Perdido</t>
        </is>
      </c>
      <c r="J192" s="28" t="n">
        <v>45338</v>
      </c>
      <c r="K192" s="28" t="n">
        <v>45365</v>
      </c>
      <c r="L192" t="inlineStr">
        <is>
          <t>Presupuesto insuficiente</t>
        </is>
      </c>
    </row>
    <row r="193" ht="15.75" customHeight="1" s="25">
      <c r="A193" t="inlineStr">
        <is>
          <t>CLI-0191</t>
        </is>
      </c>
      <c r="B193" t="inlineStr">
        <is>
          <t>Iván Hernández Castaño</t>
        </is>
      </c>
      <c r="C193" t="inlineStr">
        <is>
          <t>3138099916</t>
        </is>
      </c>
      <c r="D193" t="inlineStr">
        <is>
          <t>ivan.hernandez97@yahoo.com</t>
        </is>
      </c>
      <c r="E193" t="inlineStr">
        <is>
          <t>Itagüí</t>
        </is>
      </c>
      <c r="F193" t="inlineStr">
        <is>
          <t>PRY-003</t>
        </is>
      </c>
      <c r="G193" t="inlineStr">
        <is>
          <t>Feria Inmobiliaria</t>
        </is>
      </c>
      <c r="H193" t="inlineStr">
        <is>
          <t>Juliana Vélez</t>
        </is>
      </c>
      <c r="I193" t="inlineStr">
        <is>
          <t>Perdido</t>
        </is>
      </c>
      <c r="J193" s="28" t="n">
        <v>45338</v>
      </c>
      <c r="K193" s="28" t="n">
        <v>45350</v>
      </c>
      <c r="L193" t="inlineStr">
        <is>
          <t>Buscaba arriendo, no compra</t>
        </is>
      </c>
    </row>
    <row r="194" ht="15.75" customHeight="1" s="25">
      <c r="A194" t="inlineStr">
        <is>
          <t>CLI-0192</t>
        </is>
      </c>
      <c r="B194" t="inlineStr">
        <is>
          <t>Hernán Osorio Correa</t>
        </is>
      </c>
      <c r="C194" t="inlineStr">
        <is>
          <t>3249584088</t>
        </is>
      </c>
      <c r="D194" t="inlineStr">
        <is>
          <t>hernan.osorio67@yahoo.com</t>
        </is>
      </c>
      <c r="E194" t="inlineStr">
        <is>
          <t>Itagüí</t>
        </is>
      </c>
      <c r="F194" t="inlineStr">
        <is>
          <t>PRY-008</t>
        </is>
      </c>
      <c r="G194" t="inlineStr">
        <is>
          <t>Instagram</t>
        </is>
      </c>
      <c r="H194" t="inlineStr">
        <is>
          <t>Ana Quintero</t>
        </is>
      </c>
      <c r="I194" t="inlineStr">
        <is>
          <t>Perdido</t>
        </is>
      </c>
      <c r="J194" s="28" t="n">
        <v>45338</v>
      </c>
      <c r="K194" s="28" t="n">
        <v>45355</v>
      </c>
      <c r="L194" t="inlineStr">
        <is>
          <t>Datos de contacto errados</t>
        </is>
      </c>
    </row>
    <row r="195" ht="15.75" customHeight="1" s="25">
      <c r="A195" t="inlineStr">
        <is>
          <t>CLI-0193</t>
        </is>
      </c>
      <c r="B195" t="inlineStr">
        <is>
          <t>Carlos Mejía Castaño</t>
        </is>
      </c>
      <c r="C195" t="inlineStr">
        <is>
          <t>3203840915</t>
        </is>
      </c>
      <c r="D195" t="inlineStr">
        <is>
          <t>carlos.mejia46@outlook.com</t>
        </is>
      </c>
      <c r="E195" t="inlineStr">
        <is>
          <t>Medellín</t>
        </is>
      </c>
      <c r="F195" t="inlineStr">
        <is>
          <t>PRY-003</t>
        </is>
      </c>
      <c r="G195" t="inlineStr">
        <is>
          <t>Portal Web</t>
        </is>
      </c>
      <c r="H195" t="inlineStr">
        <is>
          <t>Miguel Salazar</t>
        </is>
      </c>
      <c r="I195" t="inlineStr">
        <is>
          <t>Perdido</t>
        </is>
      </c>
      <c r="J195" s="28" t="n">
        <v>45338</v>
      </c>
      <c r="K195" s="28" t="n">
        <v>45368</v>
      </c>
      <c r="L195" t="inlineStr">
        <is>
          <t>Sin respuesta tras 3 contactos</t>
        </is>
      </c>
    </row>
    <row r="196" ht="15.75" customHeight="1" s="25">
      <c r="A196" t="inlineStr">
        <is>
          <t>CLI-0194</t>
        </is>
      </c>
      <c r="B196" t="inlineStr">
        <is>
          <t>Sebastián Ochoa Vásquez</t>
        </is>
      </c>
      <c r="C196" t="inlineStr">
        <is>
          <t>3013753598</t>
        </is>
      </c>
      <c r="D196" t="inlineStr">
        <is>
          <t>sebastian.ochoa5@hotmail.com</t>
        </is>
      </c>
      <c r="E196" t="inlineStr">
        <is>
          <t>Medellín</t>
        </is>
      </c>
      <c r="F196" t="inlineStr">
        <is>
          <t>PRY-001</t>
        </is>
      </c>
      <c r="G196" t="inlineStr">
        <is>
          <t>Instagram</t>
        </is>
      </c>
      <c r="H196" t="inlineStr">
        <is>
          <t>Sofía Prada</t>
        </is>
      </c>
      <c r="I196" t="inlineStr">
        <is>
          <t>Perdido</t>
        </is>
      </c>
      <c r="J196" s="28" t="n">
        <v>45338</v>
      </c>
      <c r="K196" s="28" t="n">
        <v>45359</v>
      </c>
      <c r="L196" t="inlineStr">
        <is>
          <t>No calificó para crédito</t>
        </is>
      </c>
    </row>
    <row r="197" ht="15.75" customHeight="1" s="25">
      <c r="A197" t="inlineStr">
        <is>
          <t>CLI-0195</t>
        </is>
      </c>
      <c r="B197" t="inlineStr">
        <is>
          <t>Andrés Osorio Betancur</t>
        </is>
      </c>
      <c r="C197" t="inlineStr">
        <is>
          <t>3102662723</t>
        </is>
      </c>
      <c r="D197" t="inlineStr">
        <is>
          <t>andres.osorio71@yahoo.com</t>
        </is>
      </c>
      <c r="E197" t="inlineStr">
        <is>
          <t>Medellín</t>
        </is>
      </c>
      <c r="F197" t="inlineStr">
        <is>
          <t>PRY-004</t>
        </is>
      </c>
      <c r="G197" t="inlineStr">
        <is>
          <t>Instagram</t>
        </is>
      </c>
      <c r="H197" t="inlineStr">
        <is>
          <t>Juliana Vélez</t>
        </is>
      </c>
      <c r="I197" t="inlineStr">
        <is>
          <t>Perdido</t>
        </is>
      </c>
      <c r="J197" s="28" t="n">
        <v>45339</v>
      </c>
      <c r="K197" s="28" t="n">
        <v>45457</v>
      </c>
      <c r="L197" t="inlineStr">
        <is>
          <t>Precio fuera de presupuesto</t>
        </is>
      </c>
    </row>
    <row r="198" ht="15.75" customHeight="1" s="25">
      <c r="A198" t="inlineStr">
        <is>
          <t>CLI-0196</t>
        </is>
      </c>
      <c r="B198" t="inlineStr">
        <is>
          <t>Lorena Henao Peláez</t>
        </is>
      </c>
      <c r="C198" t="inlineStr">
        <is>
          <t>3205861484</t>
        </is>
      </c>
      <c r="D198" t="inlineStr">
        <is>
          <t>lorena.henao70@gmail.com</t>
        </is>
      </c>
      <c r="E198" t="inlineStr">
        <is>
          <t>Itagüí</t>
        </is>
      </c>
      <c r="F198" t="inlineStr">
        <is>
          <t>PRY-008</t>
        </is>
      </c>
      <c r="G198" t="inlineStr">
        <is>
          <t>Instagram</t>
        </is>
      </c>
      <c r="H198" t="inlineStr">
        <is>
          <t>Paula Arenas</t>
        </is>
      </c>
      <c r="I198" t="inlineStr">
        <is>
          <t>Perdido</t>
        </is>
      </c>
      <c r="J198" s="28" t="n">
        <v>45339</v>
      </c>
      <c r="K198" s="28" t="n">
        <v>45354</v>
      </c>
      <c r="L198" t="inlineStr">
        <is>
          <t>Presupuesto insuficiente</t>
        </is>
      </c>
    </row>
    <row r="199" ht="15.75" customHeight="1" s="25">
      <c r="A199" t="inlineStr">
        <is>
          <t>CLI-0197</t>
        </is>
      </c>
      <c r="B199" t="inlineStr">
        <is>
          <t>Daniela Gaviria Jaramillo</t>
        </is>
      </c>
      <c r="C199" t="inlineStr">
        <is>
          <t>3135541251</t>
        </is>
      </c>
      <c r="D199" t="inlineStr">
        <is>
          <t>daniela.gaviria8@yahoo.com</t>
        </is>
      </c>
      <c r="E199" t="inlineStr">
        <is>
          <t>Bello</t>
        </is>
      </c>
      <c r="F199" t="inlineStr">
        <is>
          <t>PRY-001</t>
        </is>
      </c>
      <c r="G199" t="inlineStr">
        <is>
          <t>Facebook</t>
        </is>
      </c>
      <c r="H199" t="inlineStr">
        <is>
          <t>Juliana Vélez</t>
        </is>
      </c>
      <c r="I199" t="inlineStr">
        <is>
          <t>Perdido</t>
        </is>
      </c>
      <c r="J199" s="28" t="n">
        <v>45339</v>
      </c>
      <c r="K199" s="28" t="n">
        <v>45366</v>
      </c>
      <c r="L199" t="inlineStr">
        <is>
          <t>Buscaba arriendo, no compra</t>
        </is>
      </c>
    </row>
    <row r="200" ht="15.75" customHeight="1" s="25">
      <c r="A200" t="inlineStr">
        <is>
          <t>CLI-0198</t>
        </is>
      </c>
      <c r="B200" t="inlineStr">
        <is>
          <t>Mateo Cardona Salazar</t>
        </is>
      </c>
      <c r="C200" t="inlineStr">
        <is>
          <t>3009252167</t>
        </is>
      </c>
      <c r="D200" t="inlineStr">
        <is>
          <t>mateo.cardona92@outlook.com</t>
        </is>
      </c>
      <c r="E200" t="inlineStr">
        <is>
          <t>Medellín</t>
        </is>
      </c>
      <c r="F200" t="inlineStr">
        <is>
          <t>PRY-008</t>
        </is>
      </c>
      <c r="G200" t="inlineStr">
        <is>
          <t>Portal Web</t>
        </is>
      </c>
      <c r="H200" t="inlineStr">
        <is>
          <t>Ana Quintero</t>
        </is>
      </c>
      <c r="I200" t="inlineStr">
        <is>
          <t>Perdido</t>
        </is>
      </c>
      <c r="J200" s="28" t="n">
        <v>45340</v>
      </c>
      <c r="K200" s="28" t="n">
        <v>45410</v>
      </c>
      <c r="L200" t="inlineStr">
        <is>
          <t>No volvió a responder</t>
        </is>
      </c>
    </row>
    <row r="201" ht="15.75" customHeight="1" s="25">
      <c r="A201" t="inlineStr">
        <is>
          <t>CLI-0199</t>
        </is>
      </c>
      <c r="B201" t="inlineStr">
        <is>
          <t>Fernando Vélez Betancur</t>
        </is>
      </c>
      <c r="C201" t="inlineStr">
        <is>
          <t>3048033828</t>
        </is>
      </c>
      <c r="D201" t="inlineStr">
        <is>
          <t>fernando.velez3@hotmail.com</t>
        </is>
      </c>
      <c r="E201" t="inlineStr">
        <is>
          <t>Bello</t>
        </is>
      </c>
      <c r="F201" t="inlineStr">
        <is>
          <t>PRY-004</t>
        </is>
      </c>
      <c r="G201" t="inlineStr">
        <is>
          <t>Feria Inmobiliaria</t>
        </is>
      </c>
      <c r="H201" t="inlineStr">
        <is>
          <t>Juliana Vélez</t>
        </is>
      </c>
      <c r="I201" t="inlineStr">
        <is>
          <t>Perdido</t>
        </is>
      </c>
      <c r="J201" s="28" t="n">
        <v>45340</v>
      </c>
      <c r="K201" s="28" t="n">
        <v>45345</v>
      </c>
      <c r="L201" t="inlineStr">
        <is>
          <t>Presupuesto insuficiente</t>
        </is>
      </c>
    </row>
    <row r="202" ht="15.75" customHeight="1" s="25">
      <c r="A202" t="inlineStr">
        <is>
          <t>CLI-0200</t>
        </is>
      </c>
      <c r="B202" t="inlineStr">
        <is>
          <t>Ricardo Duque Álvarez</t>
        </is>
      </c>
      <c r="C202" t="inlineStr">
        <is>
          <t>3001600328</t>
        </is>
      </c>
      <c r="D202" t="inlineStr">
        <is>
          <t>ricardo.duque78@hotmail.com</t>
        </is>
      </c>
      <c r="E202" t="inlineStr">
        <is>
          <t>Sabaneta</t>
        </is>
      </c>
      <c r="F202" t="inlineStr">
        <is>
          <t>PRY-008</t>
        </is>
      </c>
      <c r="G202" t="inlineStr">
        <is>
          <t>Instagram</t>
        </is>
      </c>
      <c r="H202" t="inlineStr">
        <is>
          <t>Luis Bedoya</t>
        </is>
      </c>
      <c r="I202" t="inlineStr">
        <is>
          <t>Perdido</t>
        </is>
      </c>
      <c r="J202" s="28" t="n">
        <v>45340</v>
      </c>
      <c r="K202" s="28" t="n">
        <v>45367</v>
      </c>
      <c r="L202" t="inlineStr">
        <is>
          <t>Datos de contacto errados</t>
        </is>
      </c>
    </row>
    <row r="203" ht="15.75" customHeight="1" s="25">
      <c r="A203" t="inlineStr">
        <is>
          <t>CLI-0201</t>
        </is>
      </c>
      <c r="B203" t="inlineStr">
        <is>
          <t>Simón Salcedo Giraldo</t>
        </is>
      </c>
      <c r="C203" t="inlineStr">
        <is>
          <t>3157709209</t>
        </is>
      </c>
      <c r="D203" t="inlineStr">
        <is>
          <t>simon.salcedo14@yahoo.com</t>
        </is>
      </c>
      <c r="E203" t="inlineStr">
        <is>
          <t>Medellín</t>
        </is>
      </c>
      <c r="F203" t="inlineStr">
        <is>
          <t>PRY-003</t>
        </is>
      </c>
      <c r="G203" t="inlineStr">
        <is>
          <t>Facebook</t>
        </is>
      </c>
      <c r="H203" t="inlineStr">
        <is>
          <t>Juliana Vélez</t>
        </is>
      </c>
      <c r="I203" t="inlineStr">
        <is>
          <t>Perdido</t>
        </is>
      </c>
      <c r="J203" s="28" t="n">
        <v>45340</v>
      </c>
      <c r="K203" s="28" t="n">
        <v>45367</v>
      </c>
      <c r="L203" t="inlineStr">
        <is>
          <t>No calificó para crédito</t>
        </is>
      </c>
    </row>
    <row r="204" ht="15.75" customHeight="1" s="25">
      <c r="A204" t="inlineStr">
        <is>
          <t>CLI-0202</t>
        </is>
      </c>
      <c r="B204" t="inlineStr">
        <is>
          <t>Cristian Hernández Jaramillo</t>
        </is>
      </c>
      <c r="C204" t="inlineStr">
        <is>
          <t>3202781166</t>
        </is>
      </c>
      <c r="D204" t="inlineStr">
        <is>
          <t>cristian.hernandez2@gmail.com</t>
        </is>
      </c>
      <c r="E204" t="inlineStr">
        <is>
          <t>La Estrella</t>
        </is>
      </c>
      <c r="F204" t="inlineStr">
        <is>
          <t>PRY-001</t>
        </is>
      </c>
      <c r="G204" t="inlineStr">
        <is>
          <t>Instagram</t>
        </is>
      </c>
      <c r="H204" t="inlineStr">
        <is>
          <t>Ana Quintero</t>
        </is>
      </c>
      <c r="I204" t="inlineStr">
        <is>
          <t>Perdido</t>
        </is>
      </c>
      <c r="J204" s="28" t="n">
        <v>45341</v>
      </c>
      <c r="K204" s="28" t="n">
        <v>45357</v>
      </c>
      <c r="L204" t="inlineStr">
        <is>
          <t>Sin respuesta tras 3 contactos</t>
        </is>
      </c>
    </row>
    <row r="205" ht="15.75" customHeight="1" s="25">
      <c r="A205" t="inlineStr">
        <is>
          <t>CLI-0203</t>
        </is>
      </c>
      <c r="B205" t="inlineStr">
        <is>
          <t>Gabriel Correa Castaño</t>
        </is>
      </c>
      <c r="C205" t="inlineStr">
        <is>
          <t>3137829883</t>
        </is>
      </c>
      <c r="D205" t="inlineStr">
        <is>
          <t>gabriel.correa66@hotmail.com</t>
        </is>
      </c>
      <c r="E205" t="inlineStr">
        <is>
          <t>Medellín</t>
        </is>
      </c>
      <c r="F205" t="inlineStr">
        <is>
          <t>PRY-003</t>
        </is>
      </c>
      <c r="G205" t="inlineStr">
        <is>
          <t>Llamada directa</t>
        </is>
      </c>
      <c r="H205" t="inlineStr">
        <is>
          <t>Miguel Salazar</t>
        </is>
      </c>
      <c r="I205" t="inlineStr">
        <is>
          <t>Perdido</t>
        </is>
      </c>
      <c r="J205" s="28" t="n">
        <v>45342</v>
      </c>
      <c r="K205" s="28" t="n">
        <v>45367</v>
      </c>
      <c r="L205" t="inlineStr">
        <is>
          <t>Sin respuesta tras 3 contactos</t>
        </is>
      </c>
    </row>
    <row r="206" ht="15.75" customHeight="1" s="25">
      <c r="A206" t="inlineStr">
        <is>
          <t>CLI-0204</t>
        </is>
      </c>
      <c r="B206" t="inlineStr">
        <is>
          <t>Felipe Salazar Álvarez</t>
        </is>
      </c>
      <c r="C206" t="inlineStr">
        <is>
          <t>3224737337</t>
        </is>
      </c>
      <c r="D206" t="inlineStr">
        <is>
          <t>felipe.salazar16@outlook.com</t>
        </is>
      </c>
      <c r="E206" t="inlineStr">
        <is>
          <t>Itagüí</t>
        </is>
      </c>
      <c r="F206" t="inlineStr">
        <is>
          <t>PRY-008</t>
        </is>
      </c>
      <c r="G206" t="inlineStr">
        <is>
          <t>Portal Web</t>
        </is>
      </c>
      <c r="H206" t="inlineStr">
        <is>
          <t>Miguel Salazar</t>
        </is>
      </c>
      <c r="I206" t="inlineStr">
        <is>
          <t>Perdido</t>
        </is>
      </c>
      <c r="J206" s="28" t="n">
        <v>45342</v>
      </c>
      <c r="K206" s="28" t="n">
        <v>45368</v>
      </c>
      <c r="L206" t="inlineStr">
        <is>
          <t>Buscaba arriendo, no compra</t>
        </is>
      </c>
    </row>
    <row r="207" ht="15.75" customHeight="1" s="25">
      <c r="A207" t="inlineStr">
        <is>
          <t>CLI-0205</t>
        </is>
      </c>
      <c r="B207" t="inlineStr">
        <is>
          <t>Tomás Peláez Cano</t>
        </is>
      </c>
      <c r="C207" t="inlineStr">
        <is>
          <t>3175399086</t>
        </is>
      </c>
      <c r="D207" t="inlineStr">
        <is>
          <t>tomas.pelaez61@outlook.com</t>
        </is>
      </c>
      <c r="E207" t="inlineStr">
        <is>
          <t>Medellín</t>
        </is>
      </c>
      <c r="F207" t="inlineStr">
        <is>
          <t>PRY-001</t>
        </is>
      </c>
      <c r="G207" t="inlineStr">
        <is>
          <t>Portal Web</t>
        </is>
      </c>
      <c r="H207" t="inlineStr">
        <is>
          <t>Miguel Salazar</t>
        </is>
      </c>
      <c r="I207" t="inlineStr">
        <is>
          <t>Ganado</t>
        </is>
      </c>
      <c r="J207" s="28" t="n">
        <v>45343</v>
      </c>
      <c r="K207" s="28" t="n">
        <v>45459</v>
      </c>
      <c r="L207" t="inlineStr">
        <is>
          <t>Compró Apto 404 en Torres del Poblado</t>
        </is>
      </c>
    </row>
    <row r="208" ht="15.75" customHeight="1" s="25">
      <c r="A208" t="inlineStr">
        <is>
          <t>CLI-0206</t>
        </is>
      </c>
      <c r="B208" t="inlineStr">
        <is>
          <t>Esteban Rojas Osorio</t>
        </is>
      </c>
      <c r="C208" t="inlineStr">
        <is>
          <t>3134167763</t>
        </is>
      </c>
      <c r="D208" t="inlineStr">
        <is>
          <t>esteban.rojas61@yahoo.com</t>
        </is>
      </c>
      <c r="E208" t="inlineStr">
        <is>
          <t>Medellín</t>
        </is>
      </c>
      <c r="F208" t="inlineStr">
        <is>
          <t>PRY-004</t>
        </is>
      </c>
      <c r="G208" t="inlineStr">
        <is>
          <t>Portal Web</t>
        </is>
      </c>
      <c r="H208" t="inlineStr">
        <is>
          <t>Luis Bedoya</t>
        </is>
      </c>
      <c r="I208" t="inlineStr">
        <is>
          <t>Perdido</t>
        </is>
      </c>
      <c r="J208" s="28" t="n">
        <v>45343</v>
      </c>
      <c r="K208" s="28" t="n">
        <v>45351</v>
      </c>
      <c r="L208" t="inlineStr">
        <is>
          <t>Presupuesto insuficiente</t>
        </is>
      </c>
    </row>
    <row r="209" ht="15.75" customHeight="1" s="25">
      <c r="A209" t="inlineStr">
        <is>
          <t>CLI-0207</t>
        </is>
      </c>
      <c r="B209" t="inlineStr">
        <is>
          <t>Juliana Giraldo Hernández</t>
        </is>
      </c>
      <c r="C209" t="inlineStr">
        <is>
          <t>3235624836</t>
        </is>
      </c>
      <c r="D209" t="inlineStr">
        <is>
          <t>juliana.giraldo46@yahoo.com</t>
        </is>
      </c>
      <c r="E209" t="inlineStr">
        <is>
          <t>Sabaneta</t>
        </is>
      </c>
      <c r="F209" t="inlineStr">
        <is>
          <t>PRY-001</t>
        </is>
      </c>
      <c r="G209" t="inlineStr">
        <is>
          <t>Facebook</t>
        </is>
      </c>
      <c r="H209" t="inlineStr">
        <is>
          <t>Sofía Prada</t>
        </is>
      </c>
      <c r="I209" t="inlineStr">
        <is>
          <t>Perdido</t>
        </is>
      </c>
      <c r="J209" s="28" t="n">
        <v>45343</v>
      </c>
      <c r="K209" s="28" t="n">
        <v>45365</v>
      </c>
      <c r="L209" t="inlineStr">
        <is>
          <t>Buscaba arriendo, no compra</t>
        </is>
      </c>
    </row>
    <row r="210" ht="15.75" customHeight="1" s="25">
      <c r="A210" t="inlineStr">
        <is>
          <t>CLI-0208</t>
        </is>
      </c>
      <c r="B210" t="inlineStr">
        <is>
          <t>Lorena Castaño Agudelo</t>
        </is>
      </c>
      <c r="C210" t="inlineStr">
        <is>
          <t>3001632932</t>
        </is>
      </c>
      <c r="D210" t="inlineStr">
        <is>
          <t>lorena.castano9@yahoo.com</t>
        </is>
      </c>
      <c r="E210" t="inlineStr">
        <is>
          <t>Rionegro</t>
        </is>
      </c>
      <c r="F210" t="inlineStr">
        <is>
          <t>PRY-001</t>
        </is>
      </c>
      <c r="G210" t="inlineStr">
        <is>
          <t>Instagram</t>
        </is>
      </c>
      <c r="H210" t="inlineStr">
        <is>
          <t>Luis Bedoya</t>
        </is>
      </c>
      <c r="I210" t="inlineStr">
        <is>
          <t>Perdido</t>
        </is>
      </c>
      <c r="J210" s="28" t="n">
        <v>45343</v>
      </c>
      <c r="K210" s="28" t="n">
        <v>45355</v>
      </c>
      <c r="L210" t="inlineStr">
        <is>
          <t>Datos de contacto errados</t>
        </is>
      </c>
    </row>
    <row r="211" ht="15.75" customHeight="1" s="25">
      <c r="A211" t="inlineStr">
        <is>
          <t>CLI-0209</t>
        </is>
      </c>
      <c r="B211" t="inlineStr">
        <is>
          <t>Emilio Zapata Salazar</t>
        </is>
      </c>
      <c r="C211" t="inlineStr">
        <is>
          <t>3238675571</t>
        </is>
      </c>
      <c r="D211" t="inlineStr">
        <is>
          <t>emilio.zapata62@hotmail.com</t>
        </is>
      </c>
      <c r="E211" t="inlineStr">
        <is>
          <t>Medellín</t>
        </is>
      </c>
      <c r="F211" t="inlineStr">
        <is>
          <t>PRY-004</t>
        </is>
      </c>
      <c r="G211" t="inlineStr">
        <is>
          <t>Llamada directa</t>
        </is>
      </c>
      <c r="H211" t="inlineStr">
        <is>
          <t>Paula Arenas</t>
        </is>
      </c>
      <c r="I211" t="inlineStr">
        <is>
          <t>Ganado</t>
        </is>
      </c>
      <c r="J211" s="28" t="n">
        <v>45344</v>
      </c>
      <c r="K211" s="28" t="n">
        <v>45475</v>
      </c>
      <c r="L211" t="inlineStr">
        <is>
          <t>Compró Casa 62 en Altavista Park</t>
        </is>
      </c>
    </row>
    <row r="212" ht="15.75" customHeight="1" s="25">
      <c r="A212" t="inlineStr">
        <is>
          <t>CLI-0210</t>
        </is>
      </c>
      <c r="B212" t="inlineStr">
        <is>
          <t>Laura Bedoya Gaviria</t>
        </is>
      </c>
      <c r="C212" t="inlineStr">
        <is>
          <t>3227006812</t>
        </is>
      </c>
      <c r="D212" t="inlineStr">
        <is>
          <t>laura.bedoya82@gmail.com</t>
        </is>
      </c>
      <c r="E212" t="inlineStr">
        <is>
          <t>Sabaneta</t>
        </is>
      </c>
      <c r="F212" t="inlineStr">
        <is>
          <t>PRY-004</t>
        </is>
      </c>
      <c r="G212" t="inlineStr">
        <is>
          <t>Portal Web</t>
        </is>
      </c>
      <c r="H212" t="inlineStr">
        <is>
          <t>Paula Arenas</t>
        </is>
      </c>
      <c r="I212" t="inlineStr">
        <is>
          <t>Perdido</t>
        </is>
      </c>
      <c r="J212" s="28" t="n">
        <v>45345</v>
      </c>
      <c r="K212" s="28" t="n">
        <v>45355</v>
      </c>
      <c r="L212" t="inlineStr">
        <is>
          <t>No calificó para crédito</t>
        </is>
      </c>
    </row>
    <row r="213" ht="15.75" customHeight="1" s="25">
      <c r="A213" t="inlineStr">
        <is>
          <t>CLI-0211</t>
        </is>
      </c>
      <c r="B213" t="inlineStr">
        <is>
          <t>Sebastián Palacio Ochoa</t>
        </is>
      </c>
      <c r="C213" t="inlineStr">
        <is>
          <t>3109167211</t>
        </is>
      </c>
      <c r="D213" t="inlineStr">
        <is>
          <t>sebastian.palacio29@gmail.com</t>
        </is>
      </c>
      <c r="E213" t="inlineStr">
        <is>
          <t>Medellín</t>
        </is>
      </c>
      <c r="F213" t="inlineStr">
        <is>
          <t>PRY-003</t>
        </is>
      </c>
      <c r="G213" t="inlineStr">
        <is>
          <t>Feria Inmobiliaria</t>
        </is>
      </c>
      <c r="H213" t="inlineStr">
        <is>
          <t>Andrés Torres</t>
        </is>
      </c>
      <c r="I213" t="inlineStr">
        <is>
          <t>Perdido</t>
        </is>
      </c>
      <c r="J213" s="28" t="n">
        <v>45345</v>
      </c>
      <c r="K213" s="28" t="n">
        <v>45360</v>
      </c>
      <c r="L213" t="inlineStr">
        <is>
          <t>Sin respuesta tras 3 contactos</t>
        </is>
      </c>
    </row>
    <row r="214" ht="15.75" customHeight="1" s="25">
      <c r="A214" t="inlineStr">
        <is>
          <t>CLI-0212</t>
        </is>
      </c>
      <c r="B214" t="inlineStr">
        <is>
          <t>Natalia Espinosa Gaviria</t>
        </is>
      </c>
      <c r="C214" t="inlineStr">
        <is>
          <t>3248986910</t>
        </is>
      </c>
      <c r="D214" t="inlineStr">
        <is>
          <t>natalia.espinosa44@yahoo.com</t>
        </is>
      </c>
      <c r="E214" t="inlineStr">
        <is>
          <t>Medellín</t>
        </is>
      </c>
      <c r="F214" t="inlineStr">
        <is>
          <t>PRY-003</t>
        </is>
      </c>
      <c r="G214" t="inlineStr">
        <is>
          <t>Facebook</t>
        </is>
      </c>
      <c r="H214" t="inlineStr">
        <is>
          <t>Sofía Prada</t>
        </is>
      </c>
      <c r="I214" t="inlineStr">
        <is>
          <t>Perdido</t>
        </is>
      </c>
      <c r="J214" s="28" t="n">
        <v>45346</v>
      </c>
      <c r="K214" s="28" t="n">
        <v>45367</v>
      </c>
      <c r="L214" t="inlineStr">
        <is>
          <t>Datos de contacto errados</t>
        </is>
      </c>
    </row>
    <row r="215" ht="15.75" customHeight="1" s="25">
      <c r="A215" t="inlineStr">
        <is>
          <t>CLI-0213</t>
        </is>
      </c>
      <c r="B215" t="inlineStr">
        <is>
          <t>Santiago Zuluaga Mejía</t>
        </is>
      </c>
      <c r="C215" t="inlineStr">
        <is>
          <t>3227007230</t>
        </is>
      </c>
      <c r="D215" t="inlineStr">
        <is>
          <t>santiago.zuluaga21@gmail.com</t>
        </is>
      </c>
      <c r="E215" t="inlineStr">
        <is>
          <t>Sabaneta</t>
        </is>
      </c>
      <c r="F215" t="inlineStr">
        <is>
          <t>PRY-003</t>
        </is>
      </c>
      <c r="G215" t="inlineStr">
        <is>
          <t>Portal Web</t>
        </is>
      </c>
      <c r="H215" t="inlineStr">
        <is>
          <t>Andrés Torres</t>
        </is>
      </c>
      <c r="I215" t="inlineStr">
        <is>
          <t>Perdido</t>
        </is>
      </c>
      <c r="J215" s="28" t="n">
        <v>45347</v>
      </c>
      <c r="K215" s="28" t="n">
        <v>45360</v>
      </c>
      <c r="L215" t="inlineStr">
        <is>
          <t>No calificó para crédito</t>
        </is>
      </c>
    </row>
    <row r="216" ht="15.75" customHeight="1" s="25">
      <c r="A216" t="inlineStr">
        <is>
          <t>CLI-0214</t>
        </is>
      </c>
      <c r="B216" t="inlineStr">
        <is>
          <t>Óscar Arango Ramírez</t>
        </is>
      </c>
      <c r="C216" t="inlineStr">
        <is>
          <t>3147030669</t>
        </is>
      </c>
      <c r="D216" t="inlineStr">
        <is>
          <t>oscar.arango27@yahoo.com</t>
        </is>
      </c>
      <c r="E216" t="inlineStr">
        <is>
          <t>La Estrella</t>
        </is>
      </c>
      <c r="F216" t="inlineStr">
        <is>
          <t>PRY-003</t>
        </is>
      </c>
      <c r="G216" t="inlineStr">
        <is>
          <t>Instagram</t>
        </is>
      </c>
      <c r="H216" t="inlineStr">
        <is>
          <t>Miguel Salazar</t>
        </is>
      </c>
      <c r="I216" t="inlineStr">
        <is>
          <t>Perdido</t>
        </is>
      </c>
      <c r="J216" s="28" t="n">
        <v>45347</v>
      </c>
      <c r="K216" s="28" t="n">
        <v>45356</v>
      </c>
      <c r="L216" t="inlineStr">
        <is>
          <t>Datos de contacto errados</t>
        </is>
      </c>
    </row>
    <row r="217" ht="15.75" customHeight="1" s="25">
      <c r="A217" t="inlineStr">
        <is>
          <t>CLI-0215</t>
        </is>
      </c>
      <c r="B217" t="inlineStr">
        <is>
          <t>Catalina Giraldo Palacio</t>
        </is>
      </c>
      <c r="C217" t="inlineStr">
        <is>
          <t>3012154025</t>
        </is>
      </c>
      <c r="D217" t="inlineStr">
        <is>
          <t>catalina.giraldo91@yahoo.com</t>
        </is>
      </c>
      <c r="E217" t="inlineStr">
        <is>
          <t>Medellín</t>
        </is>
      </c>
      <c r="F217" t="inlineStr">
        <is>
          <t>PRY-001</t>
        </is>
      </c>
      <c r="G217" t="inlineStr">
        <is>
          <t>Portal Web</t>
        </is>
      </c>
      <c r="H217" t="inlineStr">
        <is>
          <t>Ana Quintero</t>
        </is>
      </c>
      <c r="I217" t="inlineStr">
        <is>
          <t>Perdido</t>
        </is>
      </c>
      <c r="J217" s="28" t="n">
        <v>45348</v>
      </c>
      <c r="K217" s="28" t="n">
        <v>45361</v>
      </c>
      <c r="L217" t="inlineStr">
        <is>
          <t>Sin respuesta tras 3 contactos</t>
        </is>
      </c>
    </row>
    <row r="218" ht="15.75" customHeight="1" s="25">
      <c r="A218" t="inlineStr">
        <is>
          <t>CLI-0216</t>
        </is>
      </c>
      <c r="B218" t="inlineStr">
        <is>
          <t>Luisa Echeverri Marín</t>
        </is>
      </c>
      <c r="C218" t="inlineStr">
        <is>
          <t>3207738214</t>
        </is>
      </c>
      <c r="D218" t="inlineStr">
        <is>
          <t>luisa.echeverri79@hotmail.com</t>
        </is>
      </c>
      <c r="E218" t="inlineStr">
        <is>
          <t>Rionegro</t>
        </is>
      </c>
      <c r="F218" t="inlineStr">
        <is>
          <t>PRY-008</t>
        </is>
      </c>
      <c r="G218" t="inlineStr">
        <is>
          <t>Portal Web</t>
        </is>
      </c>
      <c r="H218" t="inlineStr">
        <is>
          <t>Andrés Torres</t>
        </is>
      </c>
      <c r="I218" t="inlineStr">
        <is>
          <t>Perdido</t>
        </is>
      </c>
      <c r="J218" s="28" t="n">
        <v>45348</v>
      </c>
      <c r="K218" s="28" t="n">
        <v>45366</v>
      </c>
      <c r="L218" t="inlineStr">
        <is>
          <t>Sin respuesta tras 3 contactos</t>
        </is>
      </c>
    </row>
    <row r="219" ht="15.75" customHeight="1" s="25">
      <c r="A219" t="inlineStr">
        <is>
          <t>CLI-0217</t>
        </is>
      </c>
      <c r="B219" t="inlineStr">
        <is>
          <t>Tomás Rojas Álvarez</t>
        </is>
      </c>
      <c r="C219" t="inlineStr">
        <is>
          <t>3175495310</t>
        </is>
      </c>
      <c r="D219" t="inlineStr">
        <is>
          <t>tomas.rojas12@hotmail.com</t>
        </is>
      </c>
      <c r="E219" t="inlineStr">
        <is>
          <t>Rionegro</t>
        </is>
      </c>
      <c r="F219" t="inlineStr">
        <is>
          <t>PRY-008</t>
        </is>
      </c>
      <c r="G219" t="inlineStr">
        <is>
          <t>Portal Web</t>
        </is>
      </c>
      <c r="H219" t="inlineStr">
        <is>
          <t>Andrés Torres</t>
        </is>
      </c>
      <c r="I219" t="inlineStr">
        <is>
          <t>Perdido</t>
        </is>
      </c>
      <c r="J219" s="28" t="n">
        <v>45349</v>
      </c>
      <c r="K219" s="28" t="n">
        <v>45366</v>
      </c>
      <c r="L219" t="inlineStr">
        <is>
          <t>No calificó para crédito</t>
        </is>
      </c>
    </row>
    <row r="220" ht="15.75" customHeight="1" s="25">
      <c r="A220" t="inlineStr">
        <is>
          <t>CLI-0218</t>
        </is>
      </c>
      <c r="B220" t="inlineStr">
        <is>
          <t>Manuela Bedoya Muñoz</t>
        </is>
      </c>
      <c r="C220" t="inlineStr">
        <is>
          <t>3228216537</t>
        </is>
      </c>
      <c r="D220" t="inlineStr">
        <is>
          <t>manuela.bedoya25@yahoo.com</t>
        </is>
      </c>
      <c r="E220" t="inlineStr">
        <is>
          <t>La Estrella</t>
        </is>
      </c>
      <c r="F220" t="inlineStr">
        <is>
          <t>PRY-008</t>
        </is>
      </c>
      <c r="G220" t="inlineStr">
        <is>
          <t>Facebook</t>
        </is>
      </c>
      <c r="H220" t="inlineStr">
        <is>
          <t>Miguel Salazar</t>
        </is>
      </c>
      <c r="I220" t="inlineStr">
        <is>
          <t>Perdido</t>
        </is>
      </c>
      <c r="J220" s="28" t="n">
        <v>45349</v>
      </c>
      <c r="K220" s="28" t="n">
        <v>45368</v>
      </c>
      <c r="L220" t="inlineStr">
        <is>
          <t>Presupuesto insuficiente</t>
        </is>
      </c>
    </row>
    <row r="221" ht="15.75" customHeight="1" s="25">
      <c r="A221" t="inlineStr">
        <is>
          <t>CLI-0219</t>
        </is>
      </c>
      <c r="B221" t="inlineStr">
        <is>
          <t>Iván Arango Jaramillo</t>
        </is>
      </c>
      <c r="C221" t="inlineStr">
        <is>
          <t>3245060345</t>
        </is>
      </c>
      <c r="D221" t="inlineStr">
        <is>
          <t>ivan.arango61@gmail.com</t>
        </is>
      </c>
      <c r="E221" t="inlineStr">
        <is>
          <t>Medellín</t>
        </is>
      </c>
      <c r="F221" t="inlineStr">
        <is>
          <t>PRY-003</t>
        </is>
      </c>
      <c r="G221" t="inlineStr">
        <is>
          <t>Instagram</t>
        </is>
      </c>
      <c r="H221" t="inlineStr">
        <is>
          <t>Luis Bedoya</t>
        </is>
      </c>
      <c r="I221" t="inlineStr">
        <is>
          <t>Perdido</t>
        </is>
      </c>
      <c r="J221" s="28" t="n">
        <v>45350</v>
      </c>
      <c r="K221" s="28" t="n">
        <v>45364</v>
      </c>
      <c r="L221" t="inlineStr">
        <is>
          <t>No calificó para crédito</t>
        </is>
      </c>
    </row>
    <row r="222" ht="15.75" customHeight="1" s="25">
      <c r="A222" t="inlineStr">
        <is>
          <t>CLI-0220</t>
        </is>
      </c>
      <c r="B222" t="inlineStr">
        <is>
          <t>Gloria Agudelo Cifuentes</t>
        </is>
      </c>
      <c r="C222" t="inlineStr">
        <is>
          <t>3248482051</t>
        </is>
      </c>
      <c r="D222" t="inlineStr">
        <is>
          <t>gloria.agudelo43@yahoo.com</t>
        </is>
      </c>
      <c r="E222" t="inlineStr">
        <is>
          <t>Bello</t>
        </is>
      </c>
      <c r="F222" t="inlineStr">
        <is>
          <t>PRY-008</t>
        </is>
      </c>
      <c r="G222" t="inlineStr">
        <is>
          <t>Instagram</t>
        </is>
      </c>
      <c r="H222" t="inlineStr">
        <is>
          <t>Luis Bedoya</t>
        </is>
      </c>
      <c r="I222" t="inlineStr">
        <is>
          <t>Perdido</t>
        </is>
      </c>
      <c r="J222" s="28" t="n">
        <v>45350</v>
      </c>
      <c r="K222" s="28" t="n">
        <v>45380</v>
      </c>
      <c r="L222" t="inlineStr">
        <is>
          <t>Buscaba arriendo, no compra</t>
        </is>
      </c>
    </row>
    <row r="223" ht="15.75" customHeight="1" s="25">
      <c r="A223" t="inlineStr">
        <is>
          <t>CLI-0221</t>
        </is>
      </c>
      <c r="B223" t="inlineStr">
        <is>
          <t>Sofía Toro Gómez</t>
        </is>
      </c>
      <c r="C223" t="inlineStr">
        <is>
          <t>3047572903</t>
        </is>
      </c>
      <c r="D223" t="inlineStr">
        <is>
          <t>sofia.toro87@hotmail.com</t>
        </is>
      </c>
      <c r="E223" t="inlineStr">
        <is>
          <t>Itagüí</t>
        </is>
      </c>
      <c r="F223" t="inlineStr">
        <is>
          <t>PRY-008</t>
        </is>
      </c>
      <c r="G223" t="inlineStr">
        <is>
          <t>Facebook</t>
        </is>
      </c>
      <c r="H223" t="inlineStr">
        <is>
          <t>Paula Arenas</t>
        </is>
      </c>
      <c r="I223" t="inlineStr">
        <is>
          <t>Perdido</t>
        </is>
      </c>
      <c r="J223" s="28" t="n">
        <v>45350</v>
      </c>
      <c r="K223" s="28" t="n">
        <v>45376</v>
      </c>
      <c r="L223" t="inlineStr">
        <is>
          <t>Presupuesto insuficiente</t>
        </is>
      </c>
    </row>
    <row r="224" ht="15.75" customHeight="1" s="25">
      <c r="A224" t="inlineStr">
        <is>
          <t>CLI-0222</t>
        </is>
      </c>
      <c r="B224" t="inlineStr">
        <is>
          <t>Ximena Vásquez Espinosa</t>
        </is>
      </c>
      <c r="C224" t="inlineStr">
        <is>
          <t>3135216044</t>
        </is>
      </c>
      <c r="D224" t="inlineStr">
        <is>
          <t>ximena.vasquez4@outlook.com</t>
        </is>
      </c>
      <c r="E224" t="inlineStr">
        <is>
          <t>La Estrella</t>
        </is>
      </c>
      <c r="F224" t="inlineStr">
        <is>
          <t>PRY-003</t>
        </is>
      </c>
      <c r="G224" t="inlineStr">
        <is>
          <t>Facebook</t>
        </is>
      </c>
      <c r="H224" t="inlineStr">
        <is>
          <t>Ana Quintero</t>
        </is>
      </c>
      <c r="I224" t="inlineStr">
        <is>
          <t>Perdido</t>
        </is>
      </c>
      <c r="J224" s="28" t="n">
        <v>45350</v>
      </c>
      <c r="K224" s="28" t="n">
        <v>45357</v>
      </c>
      <c r="L224" t="inlineStr">
        <is>
          <t>Sin respuesta tras 3 contactos</t>
        </is>
      </c>
    </row>
    <row r="225" ht="15.75" customHeight="1" s="25">
      <c r="A225" t="inlineStr">
        <is>
          <t>CLI-0223</t>
        </is>
      </c>
      <c r="B225" t="inlineStr">
        <is>
          <t>Mariana Escobar Pérez</t>
        </is>
      </c>
      <c r="C225" t="inlineStr">
        <is>
          <t>3179403750</t>
        </is>
      </c>
      <c r="D225" t="inlineStr">
        <is>
          <t>mariana.escobar2@gmail.com</t>
        </is>
      </c>
      <c r="E225" t="inlineStr">
        <is>
          <t>Medellín</t>
        </is>
      </c>
      <c r="F225" t="inlineStr">
        <is>
          <t>PRY-001</t>
        </is>
      </c>
      <c r="G225" t="inlineStr">
        <is>
          <t>Referido</t>
        </is>
      </c>
      <c r="H225" t="inlineStr">
        <is>
          <t>Juliana Vélez</t>
        </is>
      </c>
      <c r="I225" t="inlineStr">
        <is>
          <t>Perdido</t>
        </is>
      </c>
      <c r="J225" s="28" t="n">
        <v>45350</v>
      </c>
      <c r="K225" s="28" t="n">
        <v>45363</v>
      </c>
      <c r="L225" t="inlineStr">
        <is>
          <t>No calificó para crédito</t>
        </is>
      </c>
    </row>
    <row r="226" ht="15.75" customHeight="1" s="25">
      <c r="A226" t="inlineStr">
        <is>
          <t>CLI-0224</t>
        </is>
      </c>
      <c r="B226" t="inlineStr">
        <is>
          <t>Wilson Gómez Zapata</t>
        </is>
      </c>
      <c r="C226" t="inlineStr">
        <is>
          <t>3239904706</t>
        </is>
      </c>
      <c r="D226" t="inlineStr">
        <is>
          <t>wilson.gomez52@outlook.com</t>
        </is>
      </c>
      <c r="E226" t="inlineStr">
        <is>
          <t>Rionegro</t>
        </is>
      </c>
      <c r="F226" t="inlineStr">
        <is>
          <t>PRY-003</t>
        </is>
      </c>
      <c r="G226" t="inlineStr">
        <is>
          <t>Llamada directa</t>
        </is>
      </c>
      <c r="H226" t="inlineStr">
        <is>
          <t>Paula Arenas</t>
        </is>
      </c>
      <c r="I226" t="inlineStr">
        <is>
          <t>Perdido</t>
        </is>
      </c>
      <c r="J226" s="28" t="n">
        <v>45350</v>
      </c>
      <c r="K226" s="28" t="n">
        <v>45380</v>
      </c>
      <c r="L226" t="inlineStr">
        <is>
          <t>Presupuesto insuficiente</t>
        </is>
      </c>
    </row>
    <row r="227" ht="15.75" customHeight="1" s="25">
      <c r="A227" t="inlineStr">
        <is>
          <t>CLI-0225</t>
        </is>
      </c>
      <c r="B227" t="inlineStr">
        <is>
          <t>Emilio Duque Uribe</t>
        </is>
      </c>
      <c r="C227" t="inlineStr">
        <is>
          <t>3105853475</t>
        </is>
      </c>
      <c r="D227" t="inlineStr">
        <is>
          <t>emilio.duque65@outlook.com</t>
        </is>
      </c>
      <c r="E227" t="inlineStr">
        <is>
          <t>Medellín</t>
        </is>
      </c>
      <c r="F227" t="inlineStr">
        <is>
          <t>PRY-003</t>
        </is>
      </c>
      <c r="G227" t="inlineStr">
        <is>
          <t>Llamada directa</t>
        </is>
      </c>
      <c r="H227" t="inlineStr">
        <is>
          <t>Ana Quintero</t>
        </is>
      </c>
      <c r="I227" t="inlineStr">
        <is>
          <t>Ganado</t>
        </is>
      </c>
      <c r="J227" s="28" t="n">
        <v>45351</v>
      </c>
      <c r="K227" s="28" t="n">
        <v>45455</v>
      </c>
      <c r="L227" t="inlineStr">
        <is>
          <t>Compró Apto 2202 en Conecta Laureles</t>
        </is>
      </c>
    </row>
    <row r="228" ht="15.75" customHeight="1" s="25">
      <c r="A228" t="inlineStr">
        <is>
          <t>CLI-0226</t>
        </is>
      </c>
      <c r="B228" t="inlineStr">
        <is>
          <t>Alejandra Toro Ríos</t>
        </is>
      </c>
      <c r="C228" t="inlineStr">
        <is>
          <t>3009570468</t>
        </is>
      </c>
      <c r="D228" t="inlineStr">
        <is>
          <t>alejandra.toro54@yahoo.com</t>
        </is>
      </c>
      <c r="E228" t="inlineStr">
        <is>
          <t>Medellín</t>
        </is>
      </c>
      <c r="F228" t="inlineStr">
        <is>
          <t>PRY-001</t>
        </is>
      </c>
      <c r="G228" t="inlineStr">
        <is>
          <t>Referido</t>
        </is>
      </c>
      <c r="H228" t="inlineStr">
        <is>
          <t>Sofía Prada</t>
        </is>
      </c>
      <c r="I228" t="inlineStr">
        <is>
          <t>Perdido</t>
        </is>
      </c>
      <c r="J228" s="28" t="n">
        <v>45351</v>
      </c>
      <c r="K228" s="28" t="n">
        <v>45361</v>
      </c>
      <c r="L228" t="inlineStr">
        <is>
          <t>Datos de contacto errados</t>
        </is>
      </c>
    </row>
    <row r="229" ht="15.75" customHeight="1" s="25">
      <c r="A229" t="inlineStr">
        <is>
          <t>CLI-0227</t>
        </is>
      </c>
      <c r="B229" t="inlineStr">
        <is>
          <t>Alejandra Vélez Peláez</t>
        </is>
      </c>
      <c r="C229" t="inlineStr">
        <is>
          <t>3044158361</t>
        </is>
      </c>
      <c r="D229" t="inlineStr">
        <is>
          <t>alejandra.velez92@yahoo.com</t>
        </is>
      </c>
      <c r="E229" t="inlineStr">
        <is>
          <t>Bello</t>
        </is>
      </c>
      <c r="F229" t="inlineStr">
        <is>
          <t>PRY-003</t>
        </is>
      </c>
      <c r="G229" t="inlineStr">
        <is>
          <t>Instagram</t>
        </is>
      </c>
      <c r="H229" t="inlineStr">
        <is>
          <t>Sofía Prada</t>
        </is>
      </c>
      <c r="I229" t="inlineStr">
        <is>
          <t>Perdido</t>
        </is>
      </c>
      <c r="J229" s="28" t="n">
        <v>45351</v>
      </c>
      <c r="K229" s="28" t="n">
        <v>45361</v>
      </c>
      <c r="L229" t="inlineStr">
        <is>
          <t>Presupuesto insuficiente</t>
        </is>
      </c>
    </row>
    <row r="230" ht="15.75" customHeight="1" s="25">
      <c r="A230" t="inlineStr">
        <is>
          <t>CLI-0228</t>
        </is>
      </c>
      <c r="B230" t="inlineStr">
        <is>
          <t>Mónica Bedoya Franco</t>
        </is>
      </c>
      <c r="C230" t="inlineStr">
        <is>
          <t>3141496151</t>
        </is>
      </c>
      <c r="D230" t="inlineStr">
        <is>
          <t>monica.bedoya65@outlook.com</t>
        </is>
      </c>
      <c r="E230" t="inlineStr">
        <is>
          <t>Rionegro</t>
        </is>
      </c>
      <c r="F230" t="inlineStr">
        <is>
          <t>PRY-003</t>
        </is>
      </c>
      <c r="G230" t="inlineStr">
        <is>
          <t>Referido</t>
        </is>
      </c>
      <c r="H230" t="inlineStr">
        <is>
          <t>Andrés Torres</t>
        </is>
      </c>
      <c r="I230" t="inlineStr">
        <is>
          <t>Ganado</t>
        </is>
      </c>
      <c r="J230" s="28" t="n">
        <v>45352</v>
      </c>
      <c r="K230" s="28" t="n">
        <v>45475</v>
      </c>
      <c r="L230" t="inlineStr">
        <is>
          <t>Compró Apto 1804 en Conecta Laureles</t>
        </is>
      </c>
    </row>
    <row r="231" ht="15.75" customHeight="1" s="25">
      <c r="A231" t="inlineStr">
        <is>
          <t>CLI-0229</t>
        </is>
      </c>
      <c r="B231" t="inlineStr">
        <is>
          <t>Tomás Franco Quintero</t>
        </is>
      </c>
      <c r="C231" t="inlineStr">
        <is>
          <t>3042947013</t>
        </is>
      </c>
      <c r="D231" t="inlineStr">
        <is>
          <t>tomas.franco62@gmail.com</t>
        </is>
      </c>
      <c r="E231" t="inlineStr">
        <is>
          <t>Envigado</t>
        </is>
      </c>
      <c r="F231" t="inlineStr">
        <is>
          <t>PRY-003</t>
        </is>
      </c>
      <c r="G231" t="inlineStr">
        <is>
          <t>Instagram</t>
        </is>
      </c>
      <c r="H231" t="inlineStr">
        <is>
          <t>Miguel Salazar</t>
        </is>
      </c>
      <c r="I231" t="inlineStr">
        <is>
          <t>Perdido</t>
        </is>
      </c>
      <c r="J231" s="28" t="n">
        <v>45352</v>
      </c>
      <c r="K231" s="28" t="n">
        <v>45371</v>
      </c>
      <c r="L231" t="inlineStr">
        <is>
          <t>Datos de contacto errados</t>
        </is>
      </c>
    </row>
    <row r="232" ht="15.75" customHeight="1" s="25">
      <c r="A232" t="inlineStr">
        <is>
          <t>CLI-0230</t>
        </is>
      </c>
      <c r="B232" t="inlineStr">
        <is>
          <t>Natalia Pérez Mejía</t>
        </is>
      </c>
      <c r="C232" t="inlineStr">
        <is>
          <t>3209393936</t>
        </is>
      </c>
      <c r="D232" t="inlineStr">
        <is>
          <t>natalia.perez24@gmail.com</t>
        </is>
      </c>
      <c r="E232" t="inlineStr">
        <is>
          <t>Medellín</t>
        </is>
      </c>
      <c r="F232" t="inlineStr">
        <is>
          <t>PRY-001</t>
        </is>
      </c>
      <c r="G232" t="inlineStr">
        <is>
          <t>Instagram</t>
        </is>
      </c>
      <c r="H232" t="inlineStr">
        <is>
          <t>Ana Quintero</t>
        </is>
      </c>
      <c r="I232" t="inlineStr">
        <is>
          <t>Perdido</t>
        </is>
      </c>
      <c r="J232" s="28" t="n">
        <v>45353</v>
      </c>
      <c r="K232" s="28" t="n">
        <v>45362</v>
      </c>
      <c r="L232" t="inlineStr">
        <is>
          <t>Buscaba arriendo, no compra</t>
        </is>
      </c>
    </row>
    <row r="233" ht="15.75" customHeight="1" s="25">
      <c r="A233" t="inlineStr">
        <is>
          <t>CLI-0231</t>
        </is>
      </c>
      <c r="B233" t="inlineStr">
        <is>
          <t>Mauricio Bedoya Álvarez</t>
        </is>
      </c>
      <c r="C233" t="inlineStr">
        <is>
          <t>3204389668</t>
        </is>
      </c>
      <c r="D233" t="inlineStr">
        <is>
          <t>mauricio.bedoya81@outlook.com</t>
        </is>
      </c>
      <c r="E233" t="inlineStr">
        <is>
          <t>Medellín</t>
        </is>
      </c>
      <c r="F233" t="inlineStr">
        <is>
          <t>PRY-004</t>
        </is>
      </c>
      <c r="G233" t="inlineStr">
        <is>
          <t>Portal Web</t>
        </is>
      </c>
      <c r="H233" t="inlineStr">
        <is>
          <t>Juliana Vélez</t>
        </is>
      </c>
      <c r="I233" t="inlineStr">
        <is>
          <t>Ganado</t>
        </is>
      </c>
      <c r="J233" s="28" t="n">
        <v>45354</v>
      </c>
      <c r="K233" s="28" t="n">
        <v>45450</v>
      </c>
      <c r="L233" t="inlineStr">
        <is>
          <t>Compró Casa 8 en Altavista Park</t>
        </is>
      </c>
    </row>
    <row r="234" ht="15.75" customHeight="1" s="25">
      <c r="A234" t="inlineStr">
        <is>
          <t>CLI-0232</t>
        </is>
      </c>
      <c r="B234" t="inlineStr">
        <is>
          <t>Patricia Duque Londoño</t>
        </is>
      </c>
      <c r="C234" t="inlineStr">
        <is>
          <t>3176493051</t>
        </is>
      </c>
      <c r="D234" t="inlineStr">
        <is>
          <t>patricia.duque65@outlook.com</t>
        </is>
      </c>
      <c r="E234" t="inlineStr">
        <is>
          <t>Itagüí</t>
        </is>
      </c>
      <c r="F234" t="inlineStr">
        <is>
          <t>PRY-008</t>
        </is>
      </c>
      <c r="G234" t="inlineStr">
        <is>
          <t>Facebook</t>
        </is>
      </c>
      <c r="H234" t="inlineStr">
        <is>
          <t>Paula Arenas</t>
        </is>
      </c>
      <c r="I234" t="inlineStr">
        <is>
          <t>Perdido</t>
        </is>
      </c>
      <c r="J234" s="28" t="n">
        <v>45354</v>
      </c>
      <c r="K234" s="28" t="n">
        <v>45379</v>
      </c>
      <c r="L234" t="inlineStr">
        <is>
          <t>Sin respuesta tras 3 contactos</t>
        </is>
      </c>
    </row>
    <row r="235" ht="15.75" customHeight="1" s="25">
      <c r="A235" t="inlineStr">
        <is>
          <t>CLI-0233</t>
        </is>
      </c>
      <c r="B235" t="inlineStr">
        <is>
          <t>Lorena Salcedo Hernández</t>
        </is>
      </c>
      <c r="C235" t="inlineStr">
        <is>
          <t>3178929336</t>
        </is>
      </c>
      <c r="D235" t="inlineStr">
        <is>
          <t>lorena.salcedo49@outlook.com</t>
        </is>
      </c>
      <c r="E235" t="inlineStr">
        <is>
          <t>Medellín</t>
        </is>
      </c>
      <c r="F235" t="inlineStr">
        <is>
          <t>PRY-002</t>
        </is>
      </c>
      <c r="G235" t="inlineStr">
        <is>
          <t>Facebook</t>
        </is>
      </c>
      <c r="H235" t="inlineStr">
        <is>
          <t>Luis Bedoya</t>
        </is>
      </c>
      <c r="I235" t="inlineStr">
        <is>
          <t>Perdido</t>
        </is>
      </c>
      <c r="J235" s="28" t="n">
        <v>45355</v>
      </c>
      <c r="K235" s="28" t="n">
        <v>45361</v>
      </c>
      <c r="L235" t="inlineStr">
        <is>
          <t>No calificó para crédito</t>
        </is>
      </c>
    </row>
    <row r="236" ht="15.75" customHeight="1" s="25">
      <c r="A236" t="inlineStr">
        <is>
          <t>CLI-0234</t>
        </is>
      </c>
      <c r="B236" t="inlineStr">
        <is>
          <t>Katherine Duque Jaramillo</t>
        </is>
      </c>
      <c r="C236" t="inlineStr">
        <is>
          <t>3151358289</t>
        </is>
      </c>
      <c r="D236" t="inlineStr">
        <is>
          <t>katherine.duque74@hotmail.com</t>
        </is>
      </c>
      <c r="E236" t="inlineStr">
        <is>
          <t>La Estrella</t>
        </is>
      </c>
      <c r="F236" t="inlineStr">
        <is>
          <t>PRY-002</t>
        </is>
      </c>
      <c r="G236" t="inlineStr">
        <is>
          <t>Facebook</t>
        </is>
      </c>
      <c r="H236" t="inlineStr">
        <is>
          <t>Andrés Torres</t>
        </is>
      </c>
      <c r="I236" t="inlineStr">
        <is>
          <t>Perdido</t>
        </is>
      </c>
      <c r="J236" s="28" t="n">
        <v>45355</v>
      </c>
      <c r="K236" s="28" t="n">
        <v>45373</v>
      </c>
      <c r="L236" t="inlineStr">
        <is>
          <t>Presupuesto insuficiente</t>
        </is>
      </c>
    </row>
    <row r="237" ht="15.75" customHeight="1" s="25">
      <c r="A237" t="inlineStr">
        <is>
          <t>CLI-0235</t>
        </is>
      </c>
      <c r="B237" t="inlineStr">
        <is>
          <t>Jorge Bedoya Quintero</t>
        </is>
      </c>
      <c r="C237" t="inlineStr">
        <is>
          <t>3154689144</t>
        </is>
      </c>
      <c r="D237" t="inlineStr">
        <is>
          <t>jorge.bedoya97@outlook.com</t>
        </is>
      </c>
      <c r="E237" t="inlineStr">
        <is>
          <t>Rionegro</t>
        </is>
      </c>
      <c r="F237" t="inlineStr">
        <is>
          <t>PRY-005</t>
        </is>
      </c>
      <c r="G237" t="inlineStr">
        <is>
          <t>Facebook</t>
        </is>
      </c>
      <c r="H237" t="inlineStr">
        <is>
          <t>Paula Arenas</t>
        </is>
      </c>
      <c r="I237" t="inlineStr">
        <is>
          <t>Perdido</t>
        </is>
      </c>
      <c r="J237" s="28" t="n">
        <v>45356</v>
      </c>
      <c r="K237" s="28" t="n">
        <v>45488</v>
      </c>
      <c r="L237" t="inlineStr">
        <is>
          <t>Crédito no aprobado</t>
        </is>
      </c>
    </row>
    <row r="238" ht="15.75" customHeight="1" s="25">
      <c r="A238" t="inlineStr">
        <is>
          <t>CLI-0236</t>
        </is>
      </c>
      <c r="B238" t="inlineStr">
        <is>
          <t>Emilio Rojas Ríos</t>
        </is>
      </c>
      <c r="C238" t="inlineStr">
        <is>
          <t>3149648955</t>
        </is>
      </c>
      <c r="D238" t="inlineStr">
        <is>
          <t>emilio.rojas62@yahoo.com</t>
        </is>
      </c>
      <c r="E238" t="inlineStr">
        <is>
          <t>Medellín</t>
        </is>
      </c>
      <c r="F238" t="inlineStr">
        <is>
          <t>PRY-001</t>
        </is>
      </c>
      <c r="G238" t="inlineStr">
        <is>
          <t>Instagram</t>
        </is>
      </c>
      <c r="H238" t="inlineStr">
        <is>
          <t>Ana Quintero</t>
        </is>
      </c>
      <c r="I238" t="inlineStr">
        <is>
          <t>Perdido</t>
        </is>
      </c>
      <c r="J238" s="28" t="n">
        <v>45356</v>
      </c>
      <c r="K238" s="28" t="n">
        <v>45379</v>
      </c>
      <c r="L238" t="inlineStr">
        <is>
          <t>Sin respuesta tras 3 contactos</t>
        </is>
      </c>
    </row>
    <row r="239" ht="15.75" customHeight="1" s="25">
      <c r="A239" t="inlineStr">
        <is>
          <t>CLI-0237</t>
        </is>
      </c>
      <c r="B239" t="inlineStr">
        <is>
          <t>Daniela Escobar Espinosa</t>
        </is>
      </c>
      <c r="C239" t="inlineStr">
        <is>
          <t>3228646915</t>
        </is>
      </c>
      <c r="D239" t="inlineStr">
        <is>
          <t>daniela.escobar86@outlook.com</t>
        </is>
      </c>
      <c r="E239" t="inlineStr">
        <is>
          <t>Rionegro</t>
        </is>
      </c>
      <c r="F239" t="inlineStr">
        <is>
          <t>PRY-003</t>
        </is>
      </c>
      <c r="G239" t="inlineStr">
        <is>
          <t>Portal Web</t>
        </is>
      </c>
      <c r="H239" t="inlineStr">
        <is>
          <t>Miguel Salazar</t>
        </is>
      </c>
      <c r="I239" t="inlineStr">
        <is>
          <t>Ganado</t>
        </is>
      </c>
      <c r="J239" s="28" t="n">
        <v>45357</v>
      </c>
      <c r="K239" s="28" t="n">
        <v>45464</v>
      </c>
      <c r="L239" t="inlineStr">
        <is>
          <t>Compró Apto 2601 en Conecta Laureles</t>
        </is>
      </c>
    </row>
    <row r="240" ht="15.75" customHeight="1" s="25">
      <c r="A240" t="inlineStr">
        <is>
          <t>CLI-0238</t>
        </is>
      </c>
      <c r="B240" t="inlineStr">
        <is>
          <t>Valentina Cano Salcedo</t>
        </is>
      </c>
      <c r="C240" t="inlineStr">
        <is>
          <t>3147820153</t>
        </is>
      </c>
      <c r="D240" t="inlineStr">
        <is>
          <t>valentina.cano17@outlook.com</t>
        </is>
      </c>
      <c r="E240" t="inlineStr">
        <is>
          <t>La Estrella</t>
        </is>
      </c>
      <c r="F240" t="inlineStr">
        <is>
          <t>PRY-008</t>
        </is>
      </c>
      <c r="G240" t="inlineStr">
        <is>
          <t>Instagram</t>
        </is>
      </c>
      <c r="H240" t="inlineStr">
        <is>
          <t>Sofía Prada</t>
        </is>
      </c>
      <c r="I240" t="inlineStr">
        <is>
          <t>Perdido</t>
        </is>
      </c>
      <c r="J240" s="28" t="n">
        <v>45357</v>
      </c>
      <c r="K240" s="28" t="n">
        <v>45386</v>
      </c>
      <c r="L240" t="inlineStr">
        <is>
          <t>Presupuesto insuficiente</t>
        </is>
      </c>
    </row>
    <row r="241" ht="15.75" customHeight="1" s="25">
      <c r="A241" t="inlineStr">
        <is>
          <t>CLI-0239</t>
        </is>
      </c>
      <c r="B241" t="inlineStr">
        <is>
          <t>Julián Restrepo Valencia</t>
        </is>
      </c>
      <c r="C241" t="inlineStr">
        <is>
          <t>3232567284</t>
        </is>
      </c>
      <c r="D241" t="inlineStr">
        <is>
          <t>julian.restrepo88@hotmail.com</t>
        </is>
      </c>
      <c r="E241" t="inlineStr">
        <is>
          <t>Medellín</t>
        </is>
      </c>
      <c r="F241" t="inlineStr">
        <is>
          <t>PRY-003</t>
        </is>
      </c>
      <c r="G241" t="inlineStr">
        <is>
          <t>Instagram</t>
        </is>
      </c>
      <c r="H241" t="inlineStr">
        <is>
          <t>Luis Bedoya</t>
        </is>
      </c>
      <c r="I241" t="inlineStr">
        <is>
          <t>Perdido</t>
        </is>
      </c>
      <c r="J241" s="28" t="n">
        <v>45357</v>
      </c>
      <c r="K241" s="28" t="n">
        <v>45370</v>
      </c>
      <c r="L241" t="inlineStr">
        <is>
          <t>Sin respuesta tras 3 contactos</t>
        </is>
      </c>
    </row>
    <row r="242" ht="15.75" customHeight="1" s="25">
      <c r="A242" t="inlineStr">
        <is>
          <t>CLI-0240</t>
        </is>
      </c>
      <c r="B242" t="inlineStr">
        <is>
          <t>Manuela Hernández Sánchez</t>
        </is>
      </c>
      <c r="C242" t="inlineStr">
        <is>
          <t>3234731545</t>
        </is>
      </c>
      <c r="D242" t="inlineStr">
        <is>
          <t>manuela.hernandez25@yahoo.com</t>
        </is>
      </c>
      <c r="E242" t="inlineStr">
        <is>
          <t>Bello</t>
        </is>
      </c>
      <c r="F242" t="inlineStr">
        <is>
          <t>PRY-002</t>
        </is>
      </c>
      <c r="G242" t="inlineStr">
        <is>
          <t>Portal Web</t>
        </is>
      </c>
      <c r="H242" t="inlineStr">
        <is>
          <t>Miguel Salazar</t>
        </is>
      </c>
      <c r="I242" t="inlineStr">
        <is>
          <t>Perdido</t>
        </is>
      </c>
      <c r="J242" s="28" t="n">
        <v>45357</v>
      </c>
      <c r="K242" s="28" t="n">
        <v>45376</v>
      </c>
      <c r="L242" t="inlineStr">
        <is>
          <t>Sin respuesta tras 3 contactos</t>
        </is>
      </c>
    </row>
    <row r="243" ht="15.75" customHeight="1" s="25">
      <c r="A243" t="inlineStr">
        <is>
          <t>CLI-0241</t>
        </is>
      </c>
      <c r="B243" t="inlineStr">
        <is>
          <t>Esteban Ríos Muñoz</t>
        </is>
      </c>
      <c r="C243" t="inlineStr">
        <is>
          <t>3155715595</t>
        </is>
      </c>
      <c r="D243" t="inlineStr">
        <is>
          <t>esteban.rios78@gmail.com</t>
        </is>
      </c>
      <c r="E243" t="inlineStr">
        <is>
          <t>Medellín</t>
        </is>
      </c>
      <c r="F243" t="inlineStr">
        <is>
          <t>PRY-001</t>
        </is>
      </c>
      <c r="G243" t="inlineStr">
        <is>
          <t>Facebook</t>
        </is>
      </c>
      <c r="H243" t="inlineStr">
        <is>
          <t>Andrés Torres</t>
        </is>
      </c>
      <c r="I243" t="inlineStr">
        <is>
          <t>Perdido</t>
        </is>
      </c>
      <c r="J243" s="28" t="n">
        <v>45357</v>
      </c>
      <c r="K243" s="28" t="n">
        <v>45362</v>
      </c>
      <c r="L243" t="inlineStr">
        <is>
          <t>Datos de contacto errados</t>
        </is>
      </c>
    </row>
    <row r="244" ht="15.75" customHeight="1" s="25">
      <c r="A244" t="inlineStr">
        <is>
          <t>CLI-0242</t>
        </is>
      </c>
      <c r="B244" t="inlineStr">
        <is>
          <t>Diana Peláez Restrepo</t>
        </is>
      </c>
      <c r="C244" t="inlineStr">
        <is>
          <t>3144225635</t>
        </is>
      </c>
      <c r="D244" t="inlineStr">
        <is>
          <t>diana.pelaez43@outlook.com</t>
        </is>
      </c>
      <c r="E244" t="inlineStr">
        <is>
          <t>La Estrella</t>
        </is>
      </c>
      <c r="F244" t="inlineStr">
        <is>
          <t>PRY-004</t>
        </is>
      </c>
      <c r="G244" t="inlineStr">
        <is>
          <t>Facebook</t>
        </is>
      </c>
      <c r="H244" t="inlineStr">
        <is>
          <t>Juliana Vélez</t>
        </is>
      </c>
      <c r="I244" t="inlineStr">
        <is>
          <t>Perdido</t>
        </is>
      </c>
      <c r="J244" s="28" t="n">
        <v>45357</v>
      </c>
      <c r="K244" s="28" t="n">
        <v>45385</v>
      </c>
      <c r="L244" t="inlineStr">
        <is>
          <t>Datos de contacto errados</t>
        </is>
      </c>
    </row>
    <row r="245" ht="15.75" customHeight="1" s="25">
      <c r="A245" t="inlineStr">
        <is>
          <t>CLI-0243</t>
        </is>
      </c>
      <c r="B245" t="inlineStr">
        <is>
          <t>María Ramírez Correa</t>
        </is>
      </c>
      <c r="C245" t="inlineStr">
        <is>
          <t>3007334838</t>
        </is>
      </c>
      <c r="D245" t="inlineStr">
        <is>
          <t>maria.ramirez88@hotmail.com</t>
        </is>
      </c>
      <c r="E245" t="inlineStr">
        <is>
          <t>Medellín</t>
        </is>
      </c>
      <c r="F245" t="inlineStr">
        <is>
          <t>PRY-001</t>
        </is>
      </c>
      <c r="G245" t="inlineStr">
        <is>
          <t>Referido</t>
        </is>
      </c>
      <c r="H245" t="inlineStr">
        <is>
          <t>Ana Quintero</t>
        </is>
      </c>
      <c r="I245" t="inlineStr">
        <is>
          <t>Ganado</t>
        </is>
      </c>
      <c r="J245" s="28" t="n">
        <v>45358</v>
      </c>
      <c r="K245" s="28" t="n">
        <v>45502</v>
      </c>
      <c r="L245" t="inlineStr">
        <is>
          <t>Compró Apto 1201 en Torres del Poblado</t>
        </is>
      </c>
    </row>
    <row r="246" ht="15.75" customHeight="1" s="25">
      <c r="A246" t="inlineStr">
        <is>
          <t>CLI-0244</t>
        </is>
      </c>
      <c r="B246" t="inlineStr">
        <is>
          <t>Andrés Castaño Espinosa</t>
        </is>
      </c>
      <c r="C246" t="inlineStr">
        <is>
          <t>3019109467</t>
        </is>
      </c>
      <c r="D246" t="inlineStr">
        <is>
          <t>andres.castano92@yahoo.com</t>
        </is>
      </c>
      <c r="E246" t="inlineStr">
        <is>
          <t>Medellín</t>
        </is>
      </c>
      <c r="F246" t="inlineStr">
        <is>
          <t>PRY-002</t>
        </is>
      </c>
      <c r="G246" t="inlineStr">
        <is>
          <t>Feria Inmobiliaria</t>
        </is>
      </c>
      <c r="H246" t="inlineStr">
        <is>
          <t>Andrés Torres</t>
        </is>
      </c>
      <c r="I246" t="inlineStr">
        <is>
          <t>Ganado</t>
        </is>
      </c>
      <c r="J246" s="28" t="n">
        <v>45358</v>
      </c>
      <c r="K246" s="28" t="n">
        <v>45533</v>
      </c>
      <c r="L246" t="inlineStr">
        <is>
          <t>Compró Casa 22 en Reserva Santa Elena</t>
        </is>
      </c>
    </row>
    <row r="247" ht="15.75" customHeight="1" s="25">
      <c r="A247" t="inlineStr">
        <is>
          <t>CLI-0245</t>
        </is>
      </c>
      <c r="B247" t="inlineStr">
        <is>
          <t>Mateo López Echeverri</t>
        </is>
      </c>
      <c r="C247" t="inlineStr">
        <is>
          <t>3158992627</t>
        </is>
      </c>
      <c r="D247" t="inlineStr">
        <is>
          <t>mateo.lopez24@yahoo.com</t>
        </is>
      </c>
      <c r="E247" t="inlineStr">
        <is>
          <t>Medellín</t>
        </is>
      </c>
      <c r="F247" t="inlineStr">
        <is>
          <t>PRY-004</t>
        </is>
      </c>
      <c r="G247" t="inlineStr">
        <is>
          <t>Llamada directa</t>
        </is>
      </c>
      <c r="H247" t="inlineStr">
        <is>
          <t>Luis Bedoya</t>
        </is>
      </c>
      <c r="I247" t="inlineStr">
        <is>
          <t>Perdido</t>
        </is>
      </c>
      <c r="J247" s="28" t="n">
        <v>45358</v>
      </c>
      <c r="K247" s="28" t="n">
        <v>45377</v>
      </c>
      <c r="L247" t="inlineStr">
        <is>
          <t>Buscaba arriendo, no compra</t>
        </is>
      </c>
    </row>
    <row r="248" ht="15.75" customHeight="1" s="25">
      <c r="A248" t="inlineStr">
        <is>
          <t>CLI-0246</t>
        </is>
      </c>
      <c r="B248" t="inlineStr">
        <is>
          <t>Camila Correa Henao</t>
        </is>
      </c>
      <c r="C248" t="inlineStr">
        <is>
          <t>3204637439</t>
        </is>
      </c>
      <c r="D248" t="inlineStr">
        <is>
          <t>camila.correa82@gmail.com</t>
        </is>
      </c>
      <c r="E248" t="inlineStr">
        <is>
          <t>Medellín</t>
        </is>
      </c>
      <c r="F248" t="inlineStr">
        <is>
          <t>PRY-008</t>
        </is>
      </c>
      <c r="G248" t="inlineStr">
        <is>
          <t>Referido</t>
        </is>
      </c>
      <c r="H248" t="inlineStr">
        <is>
          <t>Miguel Salazar</t>
        </is>
      </c>
      <c r="I248" t="inlineStr">
        <is>
          <t>Perdido</t>
        </is>
      </c>
      <c r="J248" s="28" t="n">
        <v>45358</v>
      </c>
      <c r="K248" s="28" t="n">
        <v>45384</v>
      </c>
      <c r="L248" t="inlineStr">
        <is>
          <t>Sin respuesta tras 3 contactos</t>
        </is>
      </c>
    </row>
    <row r="249" ht="15.75" customHeight="1" s="25">
      <c r="A249" t="inlineStr">
        <is>
          <t>CLI-0247</t>
        </is>
      </c>
      <c r="B249" t="inlineStr">
        <is>
          <t>Carolina Osorio Zuluaga</t>
        </is>
      </c>
      <c r="C249" t="inlineStr">
        <is>
          <t>3106981195</t>
        </is>
      </c>
      <c r="D249" t="inlineStr">
        <is>
          <t>carolina.osorio70@yahoo.com</t>
        </is>
      </c>
      <c r="E249" t="inlineStr">
        <is>
          <t>Medellín</t>
        </is>
      </c>
      <c r="F249" t="inlineStr">
        <is>
          <t>PRY-001</t>
        </is>
      </c>
      <c r="G249" t="inlineStr">
        <is>
          <t>Portal Web</t>
        </is>
      </c>
      <c r="H249" t="inlineStr">
        <is>
          <t>Paula Arenas</t>
        </is>
      </c>
      <c r="I249" t="inlineStr">
        <is>
          <t>Ganado</t>
        </is>
      </c>
      <c r="J249" s="28" t="n">
        <v>45359</v>
      </c>
      <c r="K249" s="28" t="n">
        <v>45506</v>
      </c>
      <c r="L249" t="inlineStr">
        <is>
          <t>Compró Apto 1302 en Torres del Poblado</t>
        </is>
      </c>
    </row>
    <row r="250" ht="15.75" customHeight="1" s="25">
      <c r="A250" t="inlineStr">
        <is>
          <t>CLI-0248</t>
        </is>
      </c>
      <c r="B250" t="inlineStr">
        <is>
          <t>Carlos Rojas Pérez</t>
        </is>
      </c>
      <c r="C250" t="inlineStr">
        <is>
          <t>3244102210</t>
        </is>
      </c>
      <c r="D250" t="inlineStr">
        <is>
          <t>carlos.rojas66@hotmail.com</t>
        </is>
      </c>
      <c r="E250" t="inlineStr">
        <is>
          <t>Itagüí</t>
        </is>
      </c>
      <c r="F250" t="inlineStr">
        <is>
          <t>PRY-004</t>
        </is>
      </c>
      <c r="G250" t="inlineStr">
        <is>
          <t>Llamada directa</t>
        </is>
      </c>
      <c r="H250" t="inlineStr">
        <is>
          <t>Miguel Salazar</t>
        </is>
      </c>
      <c r="I250" t="inlineStr">
        <is>
          <t>Perdido</t>
        </is>
      </c>
      <c r="J250" s="28" t="n">
        <v>45359</v>
      </c>
      <c r="K250" s="28" t="n">
        <v>45376</v>
      </c>
      <c r="L250" t="inlineStr">
        <is>
          <t>Sin respuesta tras 3 contactos</t>
        </is>
      </c>
    </row>
    <row r="251" ht="15.75" customHeight="1" s="25">
      <c r="A251" t="inlineStr">
        <is>
          <t>CLI-0249</t>
        </is>
      </c>
      <c r="B251" t="inlineStr">
        <is>
          <t>Iván Uribe Rojas</t>
        </is>
      </c>
      <c r="C251" t="inlineStr">
        <is>
          <t>3242419857</t>
        </is>
      </c>
      <c r="D251" t="inlineStr">
        <is>
          <t>ivan.uribe57@gmail.com</t>
        </is>
      </c>
      <c r="E251" t="inlineStr">
        <is>
          <t>Medellín</t>
        </is>
      </c>
      <c r="F251" t="inlineStr">
        <is>
          <t>PRY-008</t>
        </is>
      </c>
      <c r="G251" t="inlineStr">
        <is>
          <t>Portal Web</t>
        </is>
      </c>
      <c r="H251" t="inlineStr">
        <is>
          <t>Luis Bedoya</t>
        </is>
      </c>
      <c r="I251" t="inlineStr">
        <is>
          <t>Perdido</t>
        </is>
      </c>
      <c r="J251" s="28" t="n">
        <v>45360</v>
      </c>
      <c r="K251" s="28" t="n">
        <v>45425</v>
      </c>
      <c r="L251" t="inlineStr">
        <is>
          <t>Crédito no aprobado</t>
        </is>
      </c>
    </row>
    <row r="252" ht="15.75" customHeight="1" s="25">
      <c r="A252" t="inlineStr">
        <is>
          <t>CLI-0250</t>
        </is>
      </c>
      <c r="B252" t="inlineStr">
        <is>
          <t>Cristian Ríos Marín</t>
        </is>
      </c>
      <c r="C252" t="inlineStr">
        <is>
          <t>3233375905</t>
        </is>
      </c>
      <c r="D252" t="inlineStr">
        <is>
          <t>cristian.rios81@hotmail.com</t>
        </is>
      </c>
      <c r="E252" t="inlineStr">
        <is>
          <t>Medellín</t>
        </is>
      </c>
      <c r="F252" t="inlineStr">
        <is>
          <t>PRY-008</t>
        </is>
      </c>
      <c r="G252" t="inlineStr">
        <is>
          <t>Referido</t>
        </is>
      </c>
      <c r="H252" t="inlineStr">
        <is>
          <t>Sofía Prada</t>
        </is>
      </c>
      <c r="I252" t="inlineStr">
        <is>
          <t>Ganado</t>
        </is>
      </c>
      <c r="J252" s="28" t="n">
        <v>45360</v>
      </c>
      <c r="K252" s="28" t="n">
        <v>45439</v>
      </c>
      <c r="L252" t="inlineStr">
        <is>
          <t>Compró Casa 67 en Valle Verde Itagüí</t>
        </is>
      </c>
    </row>
    <row r="253" ht="15.75" customHeight="1" s="25">
      <c r="A253" t="inlineStr">
        <is>
          <t>CLI-0251</t>
        </is>
      </c>
      <c r="B253" t="inlineStr">
        <is>
          <t>David Álvarez Ríos</t>
        </is>
      </c>
      <c r="C253" t="inlineStr">
        <is>
          <t>3004941809</t>
        </is>
      </c>
      <c r="D253" t="inlineStr">
        <is>
          <t>david.alvarez67@yahoo.com</t>
        </is>
      </c>
      <c r="E253" t="inlineStr">
        <is>
          <t>Medellín</t>
        </is>
      </c>
      <c r="F253" t="inlineStr">
        <is>
          <t>PRY-002</t>
        </is>
      </c>
      <c r="G253" t="inlineStr">
        <is>
          <t>Feria Inmobiliaria</t>
        </is>
      </c>
      <c r="H253" t="inlineStr">
        <is>
          <t>Luis Bedoya</t>
        </is>
      </c>
      <c r="I253" t="inlineStr">
        <is>
          <t>Perdido</t>
        </is>
      </c>
      <c r="J253" s="28" t="n">
        <v>45360</v>
      </c>
      <c r="K253" s="28" t="n">
        <v>45372</v>
      </c>
      <c r="L253" t="inlineStr">
        <is>
          <t>Presupuesto insuficiente</t>
        </is>
      </c>
    </row>
    <row r="254" ht="15.75" customHeight="1" s="25">
      <c r="A254" t="inlineStr">
        <is>
          <t>CLI-0252</t>
        </is>
      </c>
      <c r="B254" t="inlineStr">
        <is>
          <t>Iván Zuluaga Vásquez</t>
        </is>
      </c>
      <c r="C254" t="inlineStr">
        <is>
          <t>3047407487</t>
        </is>
      </c>
      <c r="D254" t="inlineStr">
        <is>
          <t>ivan.zuluaga93@outlook.com</t>
        </is>
      </c>
      <c r="E254" t="inlineStr">
        <is>
          <t>Sabaneta</t>
        </is>
      </c>
      <c r="F254" t="inlineStr">
        <is>
          <t>PRY-003</t>
        </is>
      </c>
      <c r="G254" t="inlineStr">
        <is>
          <t>Referido</t>
        </is>
      </c>
      <c r="H254" t="inlineStr">
        <is>
          <t>Juliana Vélez</t>
        </is>
      </c>
      <c r="I254" t="inlineStr">
        <is>
          <t>Perdido</t>
        </is>
      </c>
      <c r="J254" s="28" t="n">
        <v>45360</v>
      </c>
      <c r="K254" s="28" t="n">
        <v>45365</v>
      </c>
      <c r="L254" t="inlineStr">
        <is>
          <t>Presupuesto insuficiente</t>
        </is>
      </c>
    </row>
    <row r="255" ht="15.75" customHeight="1" s="25">
      <c r="A255" t="inlineStr">
        <is>
          <t>CLI-0253</t>
        </is>
      </c>
      <c r="B255" t="inlineStr">
        <is>
          <t>Lorena Betancur Jaramillo</t>
        </is>
      </c>
      <c r="C255" t="inlineStr">
        <is>
          <t>3157020531</t>
        </is>
      </c>
      <c r="D255" t="inlineStr">
        <is>
          <t>lorena.betancur94@hotmail.com</t>
        </is>
      </c>
      <c r="E255" t="inlineStr">
        <is>
          <t>Rionegro</t>
        </is>
      </c>
      <c r="F255" t="inlineStr">
        <is>
          <t>PRY-005</t>
        </is>
      </c>
      <c r="G255" t="inlineStr">
        <is>
          <t>Llamada directa</t>
        </is>
      </c>
      <c r="H255" t="inlineStr">
        <is>
          <t>Sofía Prada</t>
        </is>
      </c>
      <c r="I255" t="inlineStr">
        <is>
          <t>Ganado</t>
        </is>
      </c>
      <c r="J255" s="28" t="n">
        <v>45361</v>
      </c>
      <c r="K255" s="28" t="n">
        <v>45489</v>
      </c>
      <c r="L255" t="inlineStr">
        <is>
          <t>Compró Apto 1207 en Ciudadela Rionegro</t>
        </is>
      </c>
    </row>
    <row r="256" ht="15.75" customHeight="1" s="25">
      <c r="A256" t="inlineStr">
        <is>
          <t>CLI-0254</t>
        </is>
      </c>
      <c r="B256" t="inlineStr">
        <is>
          <t>Emilio Valencia Jaramillo</t>
        </is>
      </c>
      <c r="C256" t="inlineStr">
        <is>
          <t>3249276929</t>
        </is>
      </c>
      <c r="D256" t="inlineStr">
        <is>
          <t>emilio.valencia81@hotmail.com</t>
        </is>
      </c>
      <c r="E256" t="inlineStr">
        <is>
          <t>Medellín</t>
        </is>
      </c>
      <c r="F256" t="inlineStr">
        <is>
          <t>PRY-004</t>
        </is>
      </c>
      <c r="G256" t="inlineStr">
        <is>
          <t>Portal Web</t>
        </is>
      </c>
      <c r="H256" t="inlineStr">
        <is>
          <t>Andrés Torres</t>
        </is>
      </c>
      <c r="I256" t="inlineStr">
        <is>
          <t>Perdido</t>
        </is>
      </c>
      <c r="J256" s="28" t="n">
        <v>45361</v>
      </c>
      <c r="K256" s="28" t="n">
        <v>45390</v>
      </c>
      <c r="L256" t="inlineStr">
        <is>
          <t>Datos de contacto errados</t>
        </is>
      </c>
    </row>
    <row r="257" ht="15.75" customHeight="1" s="25">
      <c r="A257" t="inlineStr">
        <is>
          <t>CLI-0255</t>
        </is>
      </c>
      <c r="B257" t="inlineStr">
        <is>
          <t>Katherine Uribe Arango</t>
        </is>
      </c>
      <c r="C257" t="inlineStr">
        <is>
          <t>3144590945</t>
        </is>
      </c>
      <c r="D257" t="inlineStr">
        <is>
          <t>katherine.uribe85@gmail.com</t>
        </is>
      </c>
      <c r="E257" t="inlineStr">
        <is>
          <t>Envigado</t>
        </is>
      </c>
      <c r="F257" t="inlineStr">
        <is>
          <t>PRY-004</t>
        </is>
      </c>
      <c r="G257" t="inlineStr">
        <is>
          <t>Facebook</t>
        </is>
      </c>
      <c r="H257" t="inlineStr">
        <is>
          <t>Miguel Salazar</t>
        </is>
      </c>
      <c r="I257" t="inlineStr">
        <is>
          <t>Perdido</t>
        </is>
      </c>
      <c r="J257" s="28" t="n">
        <v>45362</v>
      </c>
      <c r="K257" s="28" t="n">
        <v>45392</v>
      </c>
      <c r="L257" t="inlineStr">
        <is>
          <t>Presupuesto insuficiente</t>
        </is>
      </c>
    </row>
    <row r="258" ht="15.75" customHeight="1" s="25">
      <c r="A258" t="inlineStr">
        <is>
          <t>CLI-0256</t>
        </is>
      </c>
      <c r="B258" t="inlineStr">
        <is>
          <t>Tomás Sánchez Agudelo</t>
        </is>
      </c>
      <c r="C258" t="inlineStr">
        <is>
          <t>3244451877</t>
        </is>
      </c>
      <c r="D258" t="inlineStr">
        <is>
          <t>tomas.sanchez23@hotmail.com</t>
        </is>
      </c>
      <c r="E258" t="inlineStr">
        <is>
          <t>Itagüí</t>
        </is>
      </c>
      <c r="F258" t="inlineStr">
        <is>
          <t>PRY-001</t>
        </is>
      </c>
      <c r="G258" t="inlineStr">
        <is>
          <t>Facebook</t>
        </is>
      </c>
      <c r="H258" t="inlineStr">
        <is>
          <t>Luis Bedoya</t>
        </is>
      </c>
      <c r="I258" t="inlineStr">
        <is>
          <t>Perdido</t>
        </is>
      </c>
      <c r="J258" s="28" t="n">
        <v>45362</v>
      </c>
      <c r="K258" s="28" t="n">
        <v>45386</v>
      </c>
      <c r="L258" t="inlineStr">
        <is>
          <t>Buscaba arriendo, no compra</t>
        </is>
      </c>
    </row>
    <row r="259" ht="15.75" customHeight="1" s="25">
      <c r="A259" t="inlineStr">
        <is>
          <t>CLI-0257</t>
        </is>
      </c>
      <c r="B259" t="inlineStr">
        <is>
          <t>Sebastián Sánchez Restrepo</t>
        </is>
      </c>
      <c r="C259" t="inlineStr">
        <is>
          <t>3146316000</t>
        </is>
      </c>
      <c r="D259" t="inlineStr">
        <is>
          <t>sebastian.sanchez91@outlook.com</t>
        </is>
      </c>
      <c r="E259" t="inlineStr">
        <is>
          <t>Medellín</t>
        </is>
      </c>
      <c r="F259" t="inlineStr">
        <is>
          <t>PRY-002</t>
        </is>
      </c>
      <c r="G259" t="inlineStr">
        <is>
          <t>Llamada directa</t>
        </is>
      </c>
      <c r="H259" t="inlineStr">
        <is>
          <t>Juliana Vélez</t>
        </is>
      </c>
      <c r="I259" t="inlineStr">
        <is>
          <t>Perdido</t>
        </is>
      </c>
      <c r="J259" s="28" t="n">
        <v>45363</v>
      </c>
      <c r="K259" s="28" t="n">
        <v>45391</v>
      </c>
      <c r="L259" t="inlineStr">
        <is>
          <t>No calificó para crédito</t>
        </is>
      </c>
    </row>
    <row r="260" ht="15.75" customHeight="1" s="25">
      <c r="A260" t="inlineStr">
        <is>
          <t>CLI-0258</t>
        </is>
      </c>
      <c r="B260" t="inlineStr">
        <is>
          <t>Paola Gaviria Hernández</t>
        </is>
      </c>
      <c r="C260" t="inlineStr">
        <is>
          <t>3148392862</t>
        </is>
      </c>
      <c r="D260" t="inlineStr">
        <is>
          <t>paola.gaviria57@hotmail.com</t>
        </is>
      </c>
      <c r="E260" t="inlineStr">
        <is>
          <t>Medellín</t>
        </is>
      </c>
      <c r="F260" t="inlineStr">
        <is>
          <t>PRY-004</t>
        </is>
      </c>
      <c r="G260" t="inlineStr">
        <is>
          <t>Instagram</t>
        </is>
      </c>
      <c r="H260" t="inlineStr">
        <is>
          <t>Juliana Vélez</t>
        </is>
      </c>
      <c r="I260" t="inlineStr">
        <is>
          <t>Ganado</t>
        </is>
      </c>
      <c r="J260" s="28" t="n">
        <v>45364</v>
      </c>
      <c r="K260" s="28" t="n">
        <v>45478</v>
      </c>
      <c r="L260" t="inlineStr">
        <is>
          <t>Compró Casa 34 en Altavista Park</t>
        </is>
      </c>
    </row>
    <row r="261" ht="15.75" customHeight="1" s="25">
      <c r="A261" t="inlineStr">
        <is>
          <t>CLI-0259</t>
        </is>
      </c>
      <c r="B261" t="inlineStr">
        <is>
          <t>Mauricio Cardona Jaramillo</t>
        </is>
      </c>
      <c r="C261" t="inlineStr">
        <is>
          <t>3146978959</t>
        </is>
      </c>
      <c r="D261" t="inlineStr">
        <is>
          <t>mauricio.cardona98@hotmail.com</t>
        </is>
      </c>
      <c r="E261" t="inlineStr">
        <is>
          <t>Medellín</t>
        </is>
      </c>
      <c r="F261" t="inlineStr">
        <is>
          <t>PRY-002</t>
        </is>
      </c>
      <c r="G261" t="inlineStr">
        <is>
          <t>Referido</t>
        </is>
      </c>
      <c r="H261" t="inlineStr">
        <is>
          <t>Sofía Prada</t>
        </is>
      </c>
      <c r="I261" t="inlineStr">
        <is>
          <t>Perdido</t>
        </is>
      </c>
      <c r="J261" s="28" t="n">
        <v>45364</v>
      </c>
      <c r="K261" s="28" t="n">
        <v>45390</v>
      </c>
      <c r="L261" t="inlineStr">
        <is>
          <t>Presupuesto insuficiente</t>
        </is>
      </c>
    </row>
    <row r="262" ht="15.75" customHeight="1" s="25">
      <c r="A262" t="inlineStr">
        <is>
          <t>CLI-0260</t>
        </is>
      </c>
      <c r="B262" t="inlineStr">
        <is>
          <t>Luisa Gómez Castaño</t>
        </is>
      </c>
      <c r="C262" t="inlineStr">
        <is>
          <t>3145976677</t>
        </is>
      </c>
      <c r="D262" t="inlineStr">
        <is>
          <t>luisa.gomez13@outlook.com</t>
        </is>
      </c>
      <c r="E262" t="inlineStr">
        <is>
          <t>Sabaneta</t>
        </is>
      </c>
      <c r="F262" t="inlineStr">
        <is>
          <t>PRY-001</t>
        </is>
      </c>
      <c r="G262" t="inlineStr">
        <is>
          <t>Llamada directa</t>
        </is>
      </c>
      <c r="H262" t="inlineStr">
        <is>
          <t>Luis Bedoya</t>
        </is>
      </c>
      <c r="I262" t="inlineStr">
        <is>
          <t>Perdido</t>
        </is>
      </c>
      <c r="J262" s="28" t="n">
        <v>45364</v>
      </c>
      <c r="K262" s="28" t="n">
        <v>45389</v>
      </c>
      <c r="L262" t="inlineStr">
        <is>
          <t>Buscaba arriendo, no compra</t>
        </is>
      </c>
    </row>
    <row r="263" ht="15.75" customHeight="1" s="25">
      <c r="A263" t="inlineStr">
        <is>
          <t>CLI-0261</t>
        </is>
      </c>
      <c r="B263" t="inlineStr">
        <is>
          <t>Tomás Rojas Espinosa</t>
        </is>
      </c>
      <c r="C263" t="inlineStr">
        <is>
          <t>3201588038</t>
        </is>
      </c>
      <c r="D263" t="inlineStr">
        <is>
          <t>tomas.rojas54@gmail.com</t>
        </is>
      </c>
      <c r="E263" t="inlineStr">
        <is>
          <t>Bello</t>
        </is>
      </c>
      <c r="F263" t="inlineStr">
        <is>
          <t>PRY-004</t>
        </is>
      </c>
      <c r="G263" t="inlineStr">
        <is>
          <t>Facebook</t>
        </is>
      </c>
      <c r="H263" t="inlineStr">
        <is>
          <t>Miguel Salazar</t>
        </is>
      </c>
      <c r="I263" t="inlineStr">
        <is>
          <t>Perdido</t>
        </is>
      </c>
      <c r="J263" s="28" t="n">
        <v>45365</v>
      </c>
      <c r="K263" s="28" t="n">
        <v>45380</v>
      </c>
      <c r="L263" t="inlineStr">
        <is>
          <t>Presupuesto insuficiente</t>
        </is>
      </c>
    </row>
    <row r="264" ht="15.75" customHeight="1" s="25">
      <c r="A264" t="inlineStr">
        <is>
          <t>CLI-0262</t>
        </is>
      </c>
      <c r="B264" t="inlineStr">
        <is>
          <t>Felipe Álvarez Vargas</t>
        </is>
      </c>
      <c r="C264" t="inlineStr">
        <is>
          <t>3137940203</t>
        </is>
      </c>
      <c r="D264" t="inlineStr">
        <is>
          <t>felipe.alvarez27@gmail.com</t>
        </is>
      </c>
      <c r="E264" t="inlineStr">
        <is>
          <t>Medellín</t>
        </is>
      </c>
      <c r="F264" t="inlineStr">
        <is>
          <t>PRY-004</t>
        </is>
      </c>
      <c r="G264" t="inlineStr">
        <is>
          <t>Portal Web</t>
        </is>
      </c>
      <c r="H264" t="inlineStr">
        <is>
          <t>Miguel Salazar</t>
        </is>
      </c>
      <c r="I264" t="inlineStr">
        <is>
          <t>Perdido</t>
        </is>
      </c>
      <c r="J264" s="28" t="n">
        <v>45365</v>
      </c>
      <c r="K264" s="28" t="n">
        <v>45382</v>
      </c>
      <c r="L264" t="inlineStr">
        <is>
          <t>No calificó para crédito</t>
        </is>
      </c>
    </row>
    <row r="265" ht="15.75" customHeight="1" s="25">
      <c r="A265" t="inlineStr">
        <is>
          <t>CLI-0263</t>
        </is>
      </c>
      <c r="B265" t="inlineStr">
        <is>
          <t>Mateo Montes Betancur</t>
        </is>
      </c>
      <c r="C265" t="inlineStr">
        <is>
          <t>3101761877</t>
        </is>
      </c>
      <c r="D265" t="inlineStr">
        <is>
          <t>mateo.montes62@outlook.com</t>
        </is>
      </c>
      <c r="E265" t="inlineStr">
        <is>
          <t>Medellín</t>
        </is>
      </c>
      <c r="F265" t="inlineStr">
        <is>
          <t>PRY-008</t>
        </is>
      </c>
      <c r="G265" t="inlineStr">
        <is>
          <t>Portal Web</t>
        </is>
      </c>
      <c r="H265" t="inlineStr">
        <is>
          <t>Ana Quintero</t>
        </is>
      </c>
      <c r="I265" t="inlineStr">
        <is>
          <t>Perdido</t>
        </is>
      </c>
      <c r="J265" s="28" t="n">
        <v>45365</v>
      </c>
      <c r="K265" s="28" t="n">
        <v>45379</v>
      </c>
      <c r="L265" t="inlineStr">
        <is>
          <t>No calificó para crédito</t>
        </is>
      </c>
    </row>
    <row r="266" ht="15.75" customHeight="1" s="25">
      <c r="A266" t="inlineStr">
        <is>
          <t>CLI-0264</t>
        </is>
      </c>
      <c r="B266" t="inlineStr">
        <is>
          <t>Camila Correa Duque</t>
        </is>
      </c>
      <c r="C266" t="inlineStr">
        <is>
          <t>3139347494</t>
        </is>
      </c>
      <c r="D266" t="inlineStr">
        <is>
          <t>camila.correa39@hotmail.com</t>
        </is>
      </c>
      <c r="E266" t="inlineStr">
        <is>
          <t>Itagüí</t>
        </is>
      </c>
      <c r="F266" t="inlineStr">
        <is>
          <t>PRY-002</t>
        </is>
      </c>
      <c r="G266" t="inlineStr">
        <is>
          <t>Instagram</t>
        </is>
      </c>
      <c r="H266" t="inlineStr">
        <is>
          <t>Andrés Torres</t>
        </is>
      </c>
      <c r="I266" t="inlineStr">
        <is>
          <t>Perdido</t>
        </is>
      </c>
      <c r="J266" s="28" t="n">
        <v>45366</v>
      </c>
      <c r="K266" s="28" t="n">
        <v>45375</v>
      </c>
      <c r="L266" t="inlineStr">
        <is>
          <t>Presupuesto insuficiente</t>
        </is>
      </c>
    </row>
    <row r="267" ht="15.75" customHeight="1" s="25">
      <c r="A267" t="inlineStr">
        <is>
          <t>CLI-0265</t>
        </is>
      </c>
      <c r="B267" t="inlineStr">
        <is>
          <t>Alejandro Duque Restrepo</t>
        </is>
      </c>
      <c r="C267" t="inlineStr">
        <is>
          <t>3175832851</t>
        </is>
      </c>
      <c r="D267" t="inlineStr">
        <is>
          <t>alejandro.duque91@outlook.com</t>
        </is>
      </c>
      <c r="E267" t="inlineStr">
        <is>
          <t>Envigado</t>
        </is>
      </c>
      <c r="F267" t="inlineStr">
        <is>
          <t>PRY-003</t>
        </is>
      </c>
      <c r="G267" t="inlineStr">
        <is>
          <t>Referido</t>
        </is>
      </c>
      <c r="H267" t="inlineStr">
        <is>
          <t>Sofía Prada</t>
        </is>
      </c>
      <c r="I267" t="inlineStr">
        <is>
          <t>Ganado</t>
        </is>
      </c>
      <c r="J267" s="28" t="n">
        <v>45367</v>
      </c>
      <c r="K267" s="28" t="n">
        <v>45477</v>
      </c>
      <c r="L267" t="inlineStr">
        <is>
          <t>Compró Apto 902 en Conecta Laureles</t>
        </is>
      </c>
    </row>
    <row r="268" ht="15.75" customHeight="1" s="25">
      <c r="A268" t="inlineStr">
        <is>
          <t>CLI-0266</t>
        </is>
      </c>
      <c r="B268" t="inlineStr">
        <is>
          <t>Mónica Gaviria Gómez</t>
        </is>
      </c>
      <c r="C268" t="inlineStr">
        <is>
          <t>3103020919</t>
        </is>
      </c>
      <c r="D268" t="inlineStr">
        <is>
          <t>monica.gaviria24@gmail.com</t>
        </is>
      </c>
      <c r="E268" t="inlineStr">
        <is>
          <t>Sabaneta</t>
        </is>
      </c>
      <c r="F268" t="inlineStr">
        <is>
          <t>PRY-002</t>
        </is>
      </c>
      <c r="G268" t="inlineStr">
        <is>
          <t>Portal Web</t>
        </is>
      </c>
      <c r="H268" t="inlineStr">
        <is>
          <t>Luis Bedoya</t>
        </is>
      </c>
      <c r="I268" t="inlineStr">
        <is>
          <t>Perdido</t>
        </is>
      </c>
      <c r="J268" s="28" t="n">
        <v>45367</v>
      </c>
      <c r="K268" s="28" t="n">
        <v>45396</v>
      </c>
      <c r="L268" t="inlineStr">
        <is>
          <t>Datos de contacto errados</t>
        </is>
      </c>
    </row>
    <row r="269" ht="15.75" customHeight="1" s="25">
      <c r="A269" t="inlineStr">
        <is>
          <t>CLI-0267</t>
        </is>
      </c>
      <c r="B269" t="inlineStr">
        <is>
          <t>Óscar Quintero Castaño</t>
        </is>
      </c>
      <c r="C269" t="inlineStr">
        <is>
          <t>3245166514</t>
        </is>
      </c>
      <c r="D269" t="inlineStr">
        <is>
          <t>oscar.quintero42@outlook.com</t>
        </is>
      </c>
      <c r="E269" t="inlineStr">
        <is>
          <t>Medellín</t>
        </is>
      </c>
      <c r="F269" t="inlineStr">
        <is>
          <t>PRY-003</t>
        </is>
      </c>
      <c r="G269" t="inlineStr">
        <is>
          <t>Instagram</t>
        </is>
      </c>
      <c r="H269" t="inlineStr">
        <is>
          <t>Miguel Salazar</t>
        </is>
      </c>
      <c r="I269" t="inlineStr">
        <is>
          <t>Perdido</t>
        </is>
      </c>
      <c r="J269" s="28" t="n">
        <v>45367</v>
      </c>
      <c r="K269" s="28" t="n">
        <v>45389</v>
      </c>
      <c r="L269" t="inlineStr">
        <is>
          <t>Sin respuesta tras 3 contactos</t>
        </is>
      </c>
    </row>
    <row r="270" ht="15.75" customHeight="1" s="25">
      <c r="A270" t="inlineStr">
        <is>
          <t>CLI-0268</t>
        </is>
      </c>
      <c r="B270" t="inlineStr">
        <is>
          <t>Laura Álvarez Toro</t>
        </is>
      </c>
      <c r="C270" t="inlineStr">
        <is>
          <t>3012054874</t>
        </is>
      </c>
      <c r="D270" t="inlineStr">
        <is>
          <t>laura.alvarez51@hotmail.com</t>
        </is>
      </c>
      <c r="E270" t="inlineStr">
        <is>
          <t>Medellín</t>
        </is>
      </c>
      <c r="F270" t="inlineStr">
        <is>
          <t>PRY-004</t>
        </is>
      </c>
      <c r="G270" t="inlineStr">
        <is>
          <t>Referido</t>
        </is>
      </c>
      <c r="H270" t="inlineStr">
        <is>
          <t>Miguel Salazar</t>
        </is>
      </c>
      <c r="I270" t="inlineStr">
        <is>
          <t>Ganado</t>
        </is>
      </c>
      <c r="J270" s="28" t="n">
        <v>45368</v>
      </c>
      <c r="K270" s="28" t="n">
        <v>45496</v>
      </c>
      <c r="L270" t="inlineStr">
        <is>
          <t>Compró Casa 36 en Altavista Park</t>
        </is>
      </c>
    </row>
    <row r="271" ht="15.75" customHeight="1" s="25">
      <c r="A271" t="inlineStr">
        <is>
          <t>CLI-0269</t>
        </is>
      </c>
      <c r="B271" t="inlineStr">
        <is>
          <t>Tomás Higuita Álvarez</t>
        </is>
      </c>
      <c r="C271" t="inlineStr">
        <is>
          <t>3246156633</t>
        </is>
      </c>
      <c r="D271" t="inlineStr">
        <is>
          <t>tomas.higuita66@gmail.com</t>
        </is>
      </c>
      <c r="E271" t="inlineStr">
        <is>
          <t>La Estrella</t>
        </is>
      </c>
      <c r="F271" t="inlineStr">
        <is>
          <t>PRY-008</t>
        </is>
      </c>
      <c r="G271" t="inlineStr">
        <is>
          <t>Portal Web</t>
        </is>
      </c>
      <c r="H271" t="inlineStr">
        <is>
          <t>Sofía Prada</t>
        </is>
      </c>
      <c r="I271" t="inlineStr">
        <is>
          <t>Perdido</t>
        </is>
      </c>
      <c r="J271" s="28" t="n">
        <v>45368</v>
      </c>
      <c r="K271" s="28" t="n">
        <v>45398</v>
      </c>
      <c r="L271" t="inlineStr">
        <is>
          <t>Sin respuesta tras 3 contactos</t>
        </is>
      </c>
    </row>
    <row r="272" ht="15.75" customHeight="1" s="25">
      <c r="A272" t="inlineStr">
        <is>
          <t>CLI-0270</t>
        </is>
      </c>
      <c r="B272" t="inlineStr">
        <is>
          <t>María Uribe Echeverri</t>
        </is>
      </c>
      <c r="C272" t="inlineStr">
        <is>
          <t>3108846134</t>
        </is>
      </c>
      <c r="D272" t="inlineStr">
        <is>
          <t>maria.uribe99@outlook.com</t>
        </is>
      </c>
      <c r="E272" t="inlineStr">
        <is>
          <t>Bello</t>
        </is>
      </c>
      <c r="F272" t="inlineStr">
        <is>
          <t>PRY-005</t>
        </is>
      </c>
      <c r="G272" t="inlineStr">
        <is>
          <t>Referido</t>
        </is>
      </c>
      <c r="H272" t="inlineStr">
        <is>
          <t>Ana Quintero</t>
        </is>
      </c>
      <c r="I272" t="inlineStr">
        <is>
          <t>Ganado</t>
        </is>
      </c>
      <c r="J272" s="28" t="n">
        <v>45369</v>
      </c>
      <c r="K272" s="28" t="n">
        <v>45503</v>
      </c>
      <c r="L272" t="inlineStr">
        <is>
          <t>Compró Casa 33 en Ciudadela Rionegro</t>
        </is>
      </c>
    </row>
    <row r="273" ht="15.75" customHeight="1" s="25">
      <c r="A273" t="inlineStr">
        <is>
          <t>CLI-0271</t>
        </is>
      </c>
      <c r="B273" t="inlineStr">
        <is>
          <t>Valentina Cardona Quintero</t>
        </is>
      </c>
      <c r="C273" t="inlineStr">
        <is>
          <t>3234161761</t>
        </is>
      </c>
      <c r="D273" t="inlineStr">
        <is>
          <t>valentina.cardona85@outlook.com</t>
        </is>
      </c>
      <c r="E273" t="inlineStr">
        <is>
          <t>Rionegro</t>
        </is>
      </c>
      <c r="F273" t="inlineStr">
        <is>
          <t>PRY-008</t>
        </is>
      </c>
      <c r="G273" t="inlineStr">
        <is>
          <t>Instagram</t>
        </is>
      </c>
      <c r="H273" t="inlineStr">
        <is>
          <t>Miguel Salazar</t>
        </is>
      </c>
      <c r="I273" t="inlineStr">
        <is>
          <t>Perdido</t>
        </is>
      </c>
      <c r="J273" s="28" t="n">
        <v>45369</v>
      </c>
      <c r="K273" s="28" t="n">
        <v>45398</v>
      </c>
      <c r="L273" t="inlineStr">
        <is>
          <t>Sin respuesta tras 3 contactos</t>
        </is>
      </c>
    </row>
    <row r="274" ht="15.75" customHeight="1" s="25">
      <c r="A274" t="inlineStr">
        <is>
          <t>CLI-0272</t>
        </is>
      </c>
      <c r="B274" t="inlineStr">
        <is>
          <t>Esteban Castaño Salcedo</t>
        </is>
      </c>
      <c r="C274" t="inlineStr">
        <is>
          <t>3205834988</t>
        </is>
      </c>
      <c r="D274" t="inlineStr">
        <is>
          <t>esteban.castano69@gmail.com</t>
        </is>
      </c>
      <c r="E274" t="inlineStr">
        <is>
          <t>Medellín</t>
        </is>
      </c>
      <c r="F274" t="inlineStr">
        <is>
          <t>PRY-004</t>
        </is>
      </c>
      <c r="G274" t="inlineStr">
        <is>
          <t>Facebook</t>
        </is>
      </c>
      <c r="H274" t="inlineStr">
        <is>
          <t>Miguel Salazar</t>
        </is>
      </c>
      <c r="I274" t="inlineStr">
        <is>
          <t>Perdido</t>
        </is>
      </c>
      <c r="J274" s="28" t="n">
        <v>45370</v>
      </c>
      <c r="K274" s="28" t="n">
        <v>45480</v>
      </c>
      <c r="L274" t="inlineStr">
        <is>
          <t>Crédito no aprobado</t>
        </is>
      </c>
    </row>
    <row r="275" ht="15.75" customHeight="1" s="25">
      <c r="A275" t="inlineStr">
        <is>
          <t>CLI-0273</t>
        </is>
      </c>
      <c r="B275" t="inlineStr">
        <is>
          <t>Carlos Henao Quintero</t>
        </is>
      </c>
      <c r="C275" t="inlineStr">
        <is>
          <t>3045582012</t>
        </is>
      </c>
      <c r="D275" t="inlineStr">
        <is>
          <t>carlos.henao7@hotmail.com</t>
        </is>
      </c>
      <c r="E275" t="inlineStr">
        <is>
          <t>Sabaneta</t>
        </is>
      </c>
      <c r="F275" t="inlineStr">
        <is>
          <t>PRY-001</t>
        </is>
      </c>
      <c r="G275" t="inlineStr">
        <is>
          <t>Facebook</t>
        </is>
      </c>
      <c r="H275" t="inlineStr">
        <is>
          <t>Miguel Salazar</t>
        </is>
      </c>
      <c r="I275" t="inlineStr">
        <is>
          <t>Perdido</t>
        </is>
      </c>
      <c r="J275" s="28" t="n">
        <v>45370</v>
      </c>
      <c r="K275" s="28" t="n">
        <v>45399</v>
      </c>
      <c r="L275" t="inlineStr">
        <is>
          <t>Sin respuesta tras 3 contactos</t>
        </is>
      </c>
    </row>
    <row r="276" ht="15.75" customHeight="1" s="25">
      <c r="A276" t="inlineStr">
        <is>
          <t>CLI-0274</t>
        </is>
      </c>
      <c r="B276" t="inlineStr">
        <is>
          <t>Liliana Quintero Osorio</t>
        </is>
      </c>
      <c r="C276" t="inlineStr">
        <is>
          <t>3175744518</t>
        </is>
      </c>
      <c r="D276" t="inlineStr">
        <is>
          <t>liliana.quintero93@yahoo.com</t>
        </is>
      </c>
      <c r="E276" t="inlineStr">
        <is>
          <t>Rionegro</t>
        </is>
      </c>
      <c r="F276" t="inlineStr">
        <is>
          <t>PRY-003</t>
        </is>
      </c>
      <c r="G276" t="inlineStr">
        <is>
          <t>Instagram</t>
        </is>
      </c>
      <c r="H276" t="inlineStr">
        <is>
          <t>Ana Quintero</t>
        </is>
      </c>
      <c r="I276" t="inlineStr">
        <is>
          <t>Perdido</t>
        </is>
      </c>
      <c r="J276" s="28" t="n">
        <v>45370</v>
      </c>
      <c r="K276" s="28" t="n">
        <v>45386</v>
      </c>
      <c r="L276" t="inlineStr">
        <is>
          <t>Sin respuesta tras 3 contactos</t>
        </is>
      </c>
    </row>
    <row r="277" ht="15.75" customHeight="1" s="25">
      <c r="A277" t="inlineStr">
        <is>
          <t>CLI-0275</t>
        </is>
      </c>
      <c r="B277" t="inlineStr">
        <is>
          <t>Gloria Gómez Franco</t>
        </is>
      </c>
      <c r="C277" t="inlineStr">
        <is>
          <t>3207335241</t>
        </is>
      </c>
      <c r="D277" t="inlineStr">
        <is>
          <t>gloria.gomez12@hotmail.com</t>
        </is>
      </c>
      <c r="E277" t="inlineStr">
        <is>
          <t>Itagüí</t>
        </is>
      </c>
      <c r="F277" t="inlineStr">
        <is>
          <t>PRY-008</t>
        </is>
      </c>
      <c r="G277" t="inlineStr">
        <is>
          <t>Facebook</t>
        </is>
      </c>
      <c r="H277" t="inlineStr">
        <is>
          <t>Miguel Salazar</t>
        </is>
      </c>
      <c r="I277" t="inlineStr">
        <is>
          <t>Perdido</t>
        </is>
      </c>
      <c r="J277" s="28" t="n">
        <v>45370</v>
      </c>
      <c r="K277" s="28" t="n">
        <v>45376</v>
      </c>
      <c r="L277" t="inlineStr">
        <is>
          <t>No calificó para crédito</t>
        </is>
      </c>
    </row>
    <row r="278" ht="15.75" customHeight="1" s="25">
      <c r="A278" t="inlineStr">
        <is>
          <t>CLI-0276</t>
        </is>
      </c>
      <c r="B278" t="inlineStr">
        <is>
          <t>Santiago Vargas Espinosa</t>
        </is>
      </c>
      <c r="C278" t="inlineStr">
        <is>
          <t>3046365007</t>
        </is>
      </c>
      <c r="D278" t="inlineStr">
        <is>
          <t>santiago.vargas63@hotmail.com</t>
        </is>
      </c>
      <c r="E278" t="inlineStr">
        <is>
          <t>Medellín</t>
        </is>
      </c>
      <c r="F278" t="inlineStr">
        <is>
          <t>PRY-004</t>
        </is>
      </c>
      <c r="G278" t="inlineStr">
        <is>
          <t>Instagram</t>
        </is>
      </c>
      <c r="H278" t="inlineStr">
        <is>
          <t>Luis Bedoya</t>
        </is>
      </c>
      <c r="I278" t="inlineStr">
        <is>
          <t>Perdido</t>
        </is>
      </c>
      <c r="J278" s="28" t="n">
        <v>45370</v>
      </c>
      <c r="K278" s="28" t="n">
        <v>45384</v>
      </c>
      <c r="L278" t="inlineStr">
        <is>
          <t>No calificó para crédito</t>
        </is>
      </c>
    </row>
    <row r="279" ht="15.75" customHeight="1" s="25">
      <c r="A279" t="inlineStr">
        <is>
          <t>CLI-0277</t>
        </is>
      </c>
      <c r="B279" t="inlineStr">
        <is>
          <t>Tomás Agudelo Sánchez</t>
        </is>
      </c>
      <c r="C279" t="inlineStr">
        <is>
          <t>3235922808</t>
        </is>
      </c>
      <c r="D279" t="inlineStr">
        <is>
          <t>tomas.agudelo81@gmail.com</t>
        </is>
      </c>
      <c r="E279" t="inlineStr">
        <is>
          <t>Medellín</t>
        </is>
      </c>
      <c r="F279" t="inlineStr">
        <is>
          <t>PRY-001</t>
        </is>
      </c>
      <c r="G279" t="inlineStr">
        <is>
          <t>Feria Inmobiliaria</t>
        </is>
      </c>
      <c r="H279" t="inlineStr">
        <is>
          <t>Ana Quintero</t>
        </is>
      </c>
      <c r="I279" t="inlineStr">
        <is>
          <t>Ganado</t>
        </is>
      </c>
      <c r="J279" s="28" t="n">
        <v>45371</v>
      </c>
      <c r="K279" s="28" t="n">
        <v>45442</v>
      </c>
      <c r="L279" t="inlineStr">
        <is>
          <t>Compró Apto 2103 en Torres del Poblado</t>
        </is>
      </c>
    </row>
    <row r="280" ht="15.75" customHeight="1" s="25">
      <c r="A280" t="inlineStr">
        <is>
          <t>CLI-0278</t>
        </is>
      </c>
      <c r="B280" t="inlineStr">
        <is>
          <t>Sandra Giraldo Henao</t>
        </is>
      </c>
      <c r="C280" t="inlineStr">
        <is>
          <t>3049214528</t>
        </is>
      </c>
      <c r="D280" t="inlineStr">
        <is>
          <t>sandra.giraldo9@gmail.com</t>
        </is>
      </c>
      <c r="E280" t="inlineStr">
        <is>
          <t>Rionegro</t>
        </is>
      </c>
      <c r="F280" t="inlineStr">
        <is>
          <t>PRY-005</t>
        </is>
      </c>
      <c r="G280" t="inlineStr">
        <is>
          <t>Feria Inmobiliaria</t>
        </is>
      </c>
      <c r="H280" t="inlineStr">
        <is>
          <t>Andrés Torres</t>
        </is>
      </c>
      <c r="I280" t="inlineStr">
        <is>
          <t>Ganado</t>
        </is>
      </c>
      <c r="J280" s="28" t="n">
        <v>45371</v>
      </c>
      <c r="K280" s="28" t="n">
        <v>45474</v>
      </c>
      <c r="L280" t="inlineStr">
        <is>
          <t>Compró Apto 602 en Ciudadela Rionegro</t>
        </is>
      </c>
    </row>
    <row r="281" ht="15.75" customHeight="1" s="25">
      <c r="A281" t="inlineStr">
        <is>
          <t>CLI-0279</t>
        </is>
      </c>
      <c r="B281" t="inlineStr">
        <is>
          <t>Andrés Palacio Zapata</t>
        </is>
      </c>
      <c r="C281" t="inlineStr">
        <is>
          <t>3138325585</t>
        </is>
      </c>
      <c r="D281" t="inlineStr">
        <is>
          <t>andres.palacio95@hotmail.com</t>
        </is>
      </c>
      <c r="E281" t="inlineStr">
        <is>
          <t>Medellín</t>
        </is>
      </c>
      <c r="F281" t="inlineStr">
        <is>
          <t>PRY-003</t>
        </is>
      </c>
      <c r="G281" t="inlineStr">
        <is>
          <t>Portal Web</t>
        </is>
      </c>
      <c r="H281" t="inlineStr">
        <is>
          <t>Andrés Torres</t>
        </is>
      </c>
      <c r="I281" t="inlineStr">
        <is>
          <t>Perdido</t>
        </is>
      </c>
      <c r="J281" s="28" t="n">
        <v>45372</v>
      </c>
      <c r="K281" s="28" t="n">
        <v>45390</v>
      </c>
      <c r="L281" t="inlineStr">
        <is>
          <t>Sin respuesta tras 3 contactos</t>
        </is>
      </c>
    </row>
    <row r="282" ht="15.75" customHeight="1" s="25">
      <c r="A282" t="inlineStr">
        <is>
          <t>CLI-0280</t>
        </is>
      </c>
      <c r="B282" t="inlineStr">
        <is>
          <t>Jorge Cifuentes Echeverri</t>
        </is>
      </c>
      <c r="C282" t="inlineStr">
        <is>
          <t>3009917458</t>
        </is>
      </c>
      <c r="D282" t="inlineStr">
        <is>
          <t>jorge.cifuentes90@yahoo.com</t>
        </is>
      </c>
      <c r="E282" t="inlineStr">
        <is>
          <t>Medellín</t>
        </is>
      </c>
      <c r="F282" t="inlineStr">
        <is>
          <t>PRY-003</t>
        </is>
      </c>
      <c r="G282" t="inlineStr">
        <is>
          <t>Portal Web</t>
        </is>
      </c>
      <c r="H282" t="inlineStr">
        <is>
          <t>Sofía Prada</t>
        </is>
      </c>
      <c r="I282" t="inlineStr">
        <is>
          <t>Perdido</t>
        </is>
      </c>
      <c r="J282" s="28" t="n">
        <v>45372</v>
      </c>
      <c r="K282" s="28" t="n">
        <v>45396</v>
      </c>
      <c r="L282" t="inlineStr">
        <is>
          <t>Presupuesto insuficiente</t>
        </is>
      </c>
    </row>
    <row r="283" ht="15.75" customHeight="1" s="25">
      <c r="A283" t="inlineStr">
        <is>
          <t>CLI-0281</t>
        </is>
      </c>
      <c r="B283" t="inlineStr">
        <is>
          <t>Camila Zuluaga Zuluaga</t>
        </is>
      </c>
      <c r="C283" t="inlineStr">
        <is>
          <t>3176508669</t>
        </is>
      </c>
      <c r="D283" t="inlineStr">
        <is>
          <t>camila.zuluaga62@yahoo.com</t>
        </is>
      </c>
      <c r="E283" t="inlineStr">
        <is>
          <t>Medellín</t>
        </is>
      </c>
      <c r="F283" t="inlineStr">
        <is>
          <t>PRY-003</t>
        </is>
      </c>
      <c r="G283" t="inlineStr">
        <is>
          <t>Referido</t>
        </is>
      </c>
      <c r="H283" t="inlineStr">
        <is>
          <t>Santiago Muñoz</t>
        </is>
      </c>
      <c r="I283" t="inlineStr">
        <is>
          <t>Ganado</t>
        </is>
      </c>
      <c r="J283" s="28" t="n">
        <v>45373</v>
      </c>
      <c r="K283" s="28" t="n">
        <v>45472</v>
      </c>
      <c r="L283" t="inlineStr">
        <is>
          <t>Compró Apto 1905 en Conecta Laureles</t>
        </is>
      </c>
    </row>
    <row r="284" ht="15.75" customHeight="1" s="25">
      <c r="A284" t="inlineStr">
        <is>
          <t>CLI-0282</t>
        </is>
      </c>
      <c r="B284" t="inlineStr">
        <is>
          <t>Patricia Cifuentes Castaño</t>
        </is>
      </c>
      <c r="C284" t="inlineStr">
        <is>
          <t>3234873017</t>
        </is>
      </c>
      <c r="D284" t="inlineStr">
        <is>
          <t>patricia.cifuentes17@outlook.com</t>
        </is>
      </c>
      <c r="E284" t="inlineStr">
        <is>
          <t>Medellín</t>
        </is>
      </c>
      <c r="F284" t="inlineStr">
        <is>
          <t>PRY-002</t>
        </is>
      </c>
      <c r="G284" t="inlineStr">
        <is>
          <t>Feria Inmobiliaria</t>
        </is>
      </c>
      <c r="H284" t="inlineStr">
        <is>
          <t>Luis Bedoya</t>
        </is>
      </c>
      <c r="I284" t="inlineStr">
        <is>
          <t>Perdido</t>
        </is>
      </c>
      <c r="J284" s="28" t="n">
        <v>45373</v>
      </c>
      <c r="K284" s="28" t="n">
        <v>45388</v>
      </c>
      <c r="L284" t="inlineStr">
        <is>
          <t>Presupuesto insuficiente</t>
        </is>
      </c>
    </row>
    <row r="285" ht="15.75" customHeight="1" s="25">
      <c r="A285" t="inlineStr">
        <is>
          <t>CLI-0283</t>
        </is>
      </c>
      <c r="B285" t="inlineStr">
        <is>
          <t>Iván Muñoz Espinosa</t>
        </is>
      </c>
      <c r="C285" t="inlineStr">
        <is>
          <t>3248397047</t>
        </is>
      </c>
      <c r="D285" t="inlineStr">
        <is>
          <t>ivan.munoz59@gmail.com</t>
        </is>
      </c>
      <c r="E285" t="inlineStr">
        <is>
          <t>Medellín</t>
        </is>
      </c>
      <c r="F285" t="inlineStr">
        <is>
          <t>PRY-008</t>
        </is>
      </c>
      <c r="G285" t="inlineStr">
        <is>
          <t>Instagram</t>
        </is>
      </c>
      <c r="H285" t="inlineStr">
        <is>
          <t>Paula Arenas</t>
        </is>
      </c>
      <c r="I285" t="inlineStr">
        <is>
          <t>Perdido</t>
        </is>
      </c>
      <c r="J285" s="28" t="n">
        <v>45374</v>
      </c>
      <c r="K285" s="28" t="n">
        <v>45398</v>
      </c>
      <c r="L285" t="inlineStr">
        <is>
          <t>Sin respuesta tras 3 contactos</t>
        </is>
      </c>
    </row>
    <row r="286" ht="15.75" customHeight="1" s="25">
      <c r="A286" t="inlineStr">
        <is>
          <t>CLI-0284</t>
        </is>
      </c>
      <c r="B286" t="inlineStr">
        <is>
          <t>Camila Escobar Betancur</t>
        </is>
      </c>
      <c r="C286" t="inlineStr">
        <is>
          <t>3241558454</t>
        </is>
      </c>
      <c r="D286" t="inlineStr">
        <is>
          <t>camila.escobar87@yahoo.com</t>
        </is>
      </c>
      <c r="E286" t="inlineStr">
        <is>
          <t>Bello</t>
        </is>
      </c>
      <c r="F286" t="inlineStr">
        <is>
          <t>PRY-001</t>
        </is>
      </c>
      <c r="G286" t="inlineStr">
        <is>
          <t>Portal Web</t>
        </is>
      </c>
      <c r="H286" t="inlineStr">
        <is>
          <t>Paula Arenas</t>
        </is>
      </c>
      <c r="I286" t="inlineStr">
        <is>
          <t>Perdido</t>
        </is>
      </c>
      <c r="J286" s="28" t="n">
        <v>45374</v>
      </c>
      <c r="K286" s="28" t="n">
        <v>45383</v>
      </c>
      <c r="L286" t="inlineStr">
        <is>
          <t>Datos de contacto errados</t>
        </is>
      </c>
    </row>
    <row r="287" ht="15.75" customHeight="1" s="25">
      <c r="A287" t="inlineStr">
        <is>
          <t>CLI-0285</t>
        </is>
      </c>
      <c r="B287" t="inlineStr">
        <is>
          <t>Jhon Marín López</t>
        </is>
      </c>
      <c r="C287" t="inlineStr">
        <is>
          <t>3229792691</t>
        </is>
      </c>
      <c r="D287" t="inlineStr">
        <is>
          <t>jhon.marin8@gmail.com</t>
        </is>
      </c>
      <c r="E287" t="inlineStr">
        <is>
          <t>Sabaneta</t>
        </is>
      </c>
      <c r="F287" t="inlineStr">
        <is>
          <t>PRY-002</t>
        </is>
      </c>
      <c r="G287" t="inlineStr">
        <is>
          <t>Llamada directa</t>
        </is>
      </c>
      <c r="H287" t="inlineStr">
        <is>
          <t>Andrés Torres</t>
        </is>
      </c>
      <c r="I287" t="inlineStr">
        <is>
          <t>Ganado</t>
        </is>
      </c>
      <c r="J287" s="28" t="n">
        <v>45375</v>
      </c>
      <c r="K287" s="28" t="n">
        <v>45483</v>
      </c>
      <c r="L287" t="inlineStr">
        <is>
          <t>Compró Casa 48 en Reserva Santa Elena</t>
        </is>
      </c>
    </row>
    <row r="288" ht="15.75" customHeight="1" s="25">
      <c r="A288" t="inlineStr">
        <is>
          <t>CLI-0286</t>
        </is>
      </c>
      <c r="B288" t="inlineStr">
        <is>
          <t>Carolina Cano Toro</t>
        </is>
      </c>
      <c r="C288" t="inlineStr">
        <is>
          <t>3224667481</t>
        </is>
      </c>
      <c r="D288" t="inlineStr">
        <is>
          <t>carolina.cano1@hotmail.com</t>
        </is>
      </c>
      <c r="E288" t="inlineStr">
        <is>
          <t>Medellín</t>
        </is>
      </c>
      <c r="F288" t="inlineStr">
        <is>
          <t>PRY-004</t>
        </is>
      </c>
      <c r="G288" t="inlineStr">
        <is>
          <t>Instagram</t>
        </is>
      </c>
      <c r="H288" t="inlineStr">
        <is>
          <t>Miguel Salazar</t>
        </is>
      </c>
      <c r="I288" t="inlineStr">
        <is>
          <t>Perdido</t>
        </is>
      </c>
      <c r="J288" s="28" t="n">
        <v>45375</v>
      </c>
      <c r="K288" s="28" t="n">
        <v>45480</v>
      </c>
      <c r="L288" t="inlineStr">
        <is>
          <t>Crédito no aprobado</t>
        </is>
      </c>
    </row>
    <row r="289" ht="15.75" customHeight="1" s="25">
      <c r="A289" t="inlineStr">
        <is>
          <t>CLI-0287</t>
        </is>
      </c>
      <c r="B289" t="inlineStr">
        <is>
          <t>Gabriel Marín Rojas</t>
        </is>
      </c>
      <c r="C289" t="inlineStr">
        <is>
          <t>3002820500</t>
        </is>
      </c>
      <c r="D289" t="inlineStr">
        <is>
          <t>gabriel.marin8@gmail.com</t>
        </is>
      </c>
      <c r="E289" t="inlineStr">
        <is>
          <t>Medellín</t>
        </is>
      </c>
      <c r="F289" t="inlineStr">
        <is>
          <t>PRY-004</t>
        </is>
      </c>
      <c r="G289" t="inlineStr">
        <is>
          <t>Feria Inmobiliaria</t>
        </is>
      </c>
      <c r="H289" t="inlineStr">
        <is>
          <t>Paula Arenas</t>
        </is>
      </c>
      <c r="I289" t="inlineStr">
        <is>
          <t>Perdido</t>
        </is>
      </c>
      <c r="J289" s="28" t="n">
        <v>45375</v>
      </c>
      <c r="K289" s="28" t="n">
        <v>45397</v>
      </c>
      <c r="L289" t="inlineStr">
        <is>
          <t>Presupuesto insuficiente</t>
        </is>
      </c>
    </row>
    <row r="290" ht="15.75" customHeight="1" s="25">
      <c r="A290" t="inlineStr">
        <is>
          <t>CLI-0288</t>
        </is>
      </c>
      <c r="B290" t="inlineStr">
        <is>
          <t>Carlos Uribe Valencia</t>
        </is>
      </c>
      <c r="C290" t="inlineStr">
        <is>
          <t>3109174169</t>
        </is>
      </c>
      <c r="D290" t="inlineStr">
        <is>
          <t>carlos.uribe22@yahoo.com</t>
        </is>
      </c>
      <c r="E290" t="inlineStr">
        <is>
          <t>Medellín</t>
        </is>
      </c>
      <c r="F290" t="inlineStr">
        <is>
          <t>PRY-003</t>
        </is>
      </c>
      <c r="G290" t="inlineStr">
        <is>
          <t>Instagram</t>
        </is>
      </c>
      <c r="H290" t="inlineStr">
        <is>
          <t>Paula Arenas</t>
        </is>
      </c>
      <c r="I290" t="inlineStr">
        <is>
          <t>Perdido</t>
        </is>
      </c>
      <c r="J290" s="28" t="n">
        <v>45375</v>
      </c>
      <c r="K290" s="28" t="n">
        <v>45394</v>
      </c>
      <c r="L290" t="inlineStr">
        <is>
          <t>Presupuesto insuficiente</t>
        </is>
      </c>
    </row>
    <row r="291" ht="15.75" customHeight="1" s="25">
      <c r="A291" t="inlineStr">
        <is>
          <t>CLI-0289</t>
        </is>
      </c>
      <c r="B291" t="inlineStr">
        <is>
          <t>Jorge López Álvarez</t>
        </is>
      </c>
      <c r="C291" t="inlineStr">
        <is>
          <t>3103148560</t>
        </is>
      </c>
      <c r="D291" t="inlineStr">
        <is>
          <t>jorge.lopez98@gmail.com</t>
        </is>
      </c>
      <c r="E291" t="inlineStr">
        <is>
          <t>Medellín</t>
        </is>
      </c>
      <c r="F291" t="inlineStr">
        <is>
          <t>PRY-002</t>
        </is>
      </c>
      <c r="G291" t="inlineStr">
        <is>
          <t>Instagram</t>
        </is>
      </c>
      <c r="H291" t="inlineStr">
        <is>
          <t>Ana Quintero</t>
        </is>
      </c>
      <c r="I291" t="inlineStr">
        <is>
          <t>Perdido</t>
        </is>
      </c>
      <c r="J291" s="28" t="n">
        <v>45375</v>
      </c>
      <c r="K291" s="28" t="n">
        <v>45387</v>
      </c>
      <c r="L291" t="inlineStr">
        <is>
          <t>Sin respuesta tras 3 contactos</t>
        </is>
      </c>
    </row>
    <row r="292" ht="15.75" customHeight="1" s="25">
      <c r="A292" t="inlineStr">
        <is>
          <t>CLI-0290</t>
        </is>
      </c>
      <c r="B292" t="inlineStr">
        <is>
          <t>Cristian Franco Arango</t>
        </is>
      </c>
      <c r="C292" t="inlineStr">
        <is>
          <t>3006560447</t>
        </is>
      </c>
      <c r="D292" t="inlineStr">
        <is>
          <t>cristian.franco1@gmail.com</t>
        </is>
      </c>
      <c r="E292" t="inlineStr">
        <is>
          <t>Medellín</t>
        </is>
      </c>
      <c r="F292" t="inlineStr">
        <is>
          <t>PRY-004</t>
        </is>
      </c>
      <c r="G292" t="inlineStr">
        <is>
          <t>Portal Web</t>
        </is>
      </c>
      <c r="H292" t="inlineStr">
        <is>
          <t>Luis Bedoya</t>
        </is>
      </c>
      <c r="I292" t="inlineStr">
        <is>
          <t>Perdido</t>
        </is>
      </c>
      <c r="J292" s="28" t="n">
        <v>45376</v>
      </c>
      <c r="K292" s="28" t="n">
        <v>45435</v>
      </c>
      <c r="L292" t="inlineStr">
        <is>
          <t>Precio fuera de presupuesto</t>
        </is>
      </c>
    </row>
    <row r="293" ht="15.75" customHeight="1" s="25">
      <c r="A293" t="inlineStr">
        <is>
          <t>CLI-0291</t>
        </is>
      </c>
      <c r="B293" t="inlineStr">
        <is>
          <t>Catalina Higuita Palacio</t>
        </is>
      </c>
      <c r="C293" t="inlineStr">
        <is>
          <t>3248175751</t>
        </is>
      </c>
      <c r="D293" t="inlineStr">
        <is>
          <t>catalina.higuita10@hotmail.com</t>
        </is>
      </c>
      <c r="E293" t="inlineStr">
        <is>
          <t>Medellín</t>
        </is>
      </c>
      <c r="F293" t="inlineStr">
        <is>
          <t>PRY-003</t>
        </is>
      </c>
      <c r="G293" t="inlineStr">
        <is>
          <t>Facebook</t>
        </is>
      </c>
      <c r="H293" t="inlineStr">
        <is>
          <t>Andrés Torres</t>
        </is>
      </c>
      <c r="I293" t="inlineStr">
        <is>
          <t>Perdido</t>
        </is>
      </c>
      <c r="J293" s="28" t="n">
        <v>45376</v>
      </c>
      <c r="K293" s="28" t="n">
        <v>45401</v>
      </c>
      <c r="L293" t="inlineStr">
        <is>
          <t>No calificó para crédito</t>
        </is>
      </c>
    </row>
    <row r="294" ht="15.75" customHeight="1" s="25">
      <c r="A294" t="inlineStr">
        <is>
          <t>CLI-0292</t>
        </is>
      </c>
      <c r="B294" t="inlineStr">
        <is>
          <t>Santiago Sánchez Hernández</t>
        </is>
      </c>
      <c r="C294" t="inlineStr">
        <is>
          <t>3042675624</t>
        </is>
      </c>
      <c r="D294" t="inlineStr">
        <is>
          <t>santiago.sanchez46@gmail.com</t>
        </is>
      </c>
      <c r="E294" t="inlineStr">
        <is>
          <t>Sabaneta</t>
        </is>
      </c>
      <c r="F294" t="inlineStr">
        <is>
          <t>PRY-001</t>
        </is>
      </c>
      <c r="G294" t="inlineStr">
        <is>
          <t>Portal Web</t>
        </is>
      </c>
      <c r="H294" t="inlineStr">
        <is>
          <t>Paula Arenas</t>
        </is>
      </c>
      <c r="I294" t="inlineStr">
        <is>
          <t>Perdido</t>
        </is>
      </c>
      <c r="J294" s="28" t="n">
        <v>45376</v>
      </c>
      <c r="K294" s="28" t="n">
        <v>45401</v>
      </c>
      <c r="L294" t="inlineStr">
        <is>
          <t>Presupuesto insuficiente</t>
        </is>
      </c>
    </row>
    <row r="295" ht="15.75" customHeight="1" s="25">
      <c r="A295" t="inlineStr">
        <is>
          <t>CLI-0293</t>
        </is>
      </c>
      <c r="B295" t="inlineStr">
        <is>
          <t>Laura Zuluaga Giraldo</t>
        </is>
      </c>
      <c r="C295" t="inlineStr">
        <is>
          <t>3014232869</t>
        </is>
      </c>
      <c r="D295" t="inlineStr">
        <is>
          <t>laura.zuluaga74@hotmail.com</t>
        </is>
      </c>
      <c r="E295" t="inlineStr">
        <is>
          <t>Medellín</t>
        </is>
      </c>
      <c r="F295" t="inlineStr">
        <is>
          <t>PRY-002</t>
        </is>
      </c>
      <c r="G295" t="inlineStr">
        <is>
          <t>Instagram</t>
        </is>
      </c>
      <c r="H295" t="inlineStr">
        <is>
          <t>Luis Bedoya</t>
        </is>
      </c>
      <c r="I295" t="inlineStr">
        <is>
          <t>Perdido</t>
        </is>
      </c>
      <c r="J295" s="28" t="n">
        <v>45376</v>
      </c>
      <c r="K295" s="28" t="n">
        <v>45400</v>
      </c>
      <c r="L295" t="inlineStr">
        <is>
          <t>Presupuesto insuficiente</t>
        </is>
      </c>
    </row>
    <row r="296" ht="15.75" customHeight="1" s="25">
      <c r="A296" t="inlineStr">
        <is>
          <t>CLI-0294</t>
        </is>
      </c>
      <c r="B296" t="inlineStr">
        <is>
          <t>Paula Vargas Marín</t>
        </is>
      </c>
      <c r="C296" t="inlineStr">
        <is>
          <t>3016999215</t>
        </is>
      </c>
      <c r="D296" t="inlineStr">
        <is>
          <t>paula.vargas73@yahoo.com</t>
        </is>
      </c>
      <c r="E296" t="inlineStr">
        <is>
          <t>La Estrella</t>
        </is>
      </c>
      <c r="F296" t="inlineStr">
        <is>
          <t>PRY-003</t>
        </is>
      </c>
      <c r="G296" t="inlineStr">
        <is>
          <t>Feria Inmobiliaria</t>
        </is>
      </c>
      <c r="H296" t="inlineStr">
        <is>
          <t>Luis Bedoya</t>
        </is>
      </c>
      <c r="I296" t="inlineStr">
        <is>
          <t>Perdido</t>
        </is>
      </c>
      <c r="J296" s="28" t="n">
        <v>45376</v>
      </c>
      <c r="K296" s="28" t="n">
        <v>45383</v>
      </c>
      <c r="L296" t="inlineStr">
        <is>
          <t>Buscaba arriendo, no compra</t>
        </is>
      </c>
    </row>
    <row r="297" ht="15.75" customHeight="1" s="25">
      <c r="A297" t="inlineStr">
        <is>
          <t>CLI-0295</t>
        </is>
      </c>
      <c r="B297" t="inlineStr">
        <is>
          <t>Tomás Restrepo Ramírez</t>
        </is>
      </c>
      <c r="C297" t="inlineStr">
        <is>
          <t>3157127973</t>
        </is>
      </c>
      <c r="D297" t="inlineStr">
        <is>
          <t>tomas.restrepo71@outlook.com</t>
        </is>
      </c>
      <c r="E297" t="inlineStr">
        <is>
          <t>Bello</t>
        </is>
      </c>
      <c r="F297" t="inlineStr">
        <is>
          <t>PRY-005</t>
        </is>
      </c>
      <c r="G297" t="inlineStr">
        <is>
          <t>Facebook</t>
        </is>
      </c>
      <c r="H297" t="inlineStr">
        <is>
          <t>Ana Quintero</t>
        </is>
      </c>
      <c r="I297" t="inlineStr">
        <is>
          <t>Ganado</t>
        </is>
      </c>
      <c r="J297" s="28" t="n">
        <v>45377</v>
      </c>
      <c r="K297" s="28" t="n">
        <v>45495</v>
      </c>
      <c r="L297" t="inlineStr">
        <is>
          <t>Compró Apto 1304 en Ciudadela Rionegro</t>
        </is>
      </c>
    </row>
    <row r="298" ht="15.75" customHeight="1" s="25">
      <c r="A298" t="inlineStr">
        <is>
          <t>CLI-0296</t>
        </is>
      </c>
      <c r="B298" t="inlineStr">
        <is>
          <t>Liliana Henao Salazar</t>
        </is>
      </c>
      <c r="C298" t="inlineStr">
        <is>
          <t>3159258370</t>
        </is>
      </c>
      <c r="D298" t="inlineStr">
        <is>
          <t>liliana.henao42@gmail.com</t>
        </is>
      </c>
      <c r="E298" t="inlineStr">
        <is>
          <t>Rionegro</t>
        </is>
      </c>
      <c r="F298" t="inlineStr">
        <is>
          <t>PRY-001</t>
        </is>
      </c>
      <c r="G298" t="inlineStr">
        <is>
          <t>Portal Web</t>
        </is>
      </c>
      <c r="H298" t="inlineStr">
        <is>
          <t>Paula Arenas</t>
        </is>
      </c>
      <c r="I298" t="inlineStr">
        <is>
          <t>Perdido</t>
        </is>
      </c>
      <c r="J298" s="28" t="n">
        <v>45377</v>
      </c>
      <c r="K298" s="28" t="n">
        <v>45460</v>
      </c>
      <c r="L298" t="inlineStr">
        <is>
          <t>No volvió a responder</t>
        </is>
      </c>
    </row>
    <row r="299" ht="15.75" customHeight="1" s="25">
      <c r="A299" t="inlineStr">
        <is>
          <t>CLI-0297</t>
        </is>
      </c>
      <c r="B299" t="inlineStr">
        <is>
          <t>Mauricio Uribe Cifuentes</t>
        </is>
      </c>
      <c r="C299" t="inlineStr">
        <is>
          <t>3171677365</t>
        </is>
      </c>
      <c r="D299" t="inlineStr">
        <is>
          <t>mauricio.uribe99@hotmail.com</t>
        </is>
      </c>
      <c r="E299" t="inlineStr">
        <is>
          <t>Medellín</t>
        </is>
      </c>
      <c r="F299" t="inlineStr">
        <is>
          <t>PRY-003</t>
        </is>
      </c>
      <c r="G299" t="inlineStr">
        <is>
          <t>Llamada directa</t>
        </is>
      </c>
      <c r="H299" t="inlineStr">
        <is>
          <t>Miguel Salazar</t>
        </is>
      </c>
      <c r="I299" t="inlineStr">
        <is>
          <t>Perdido</t>
        </is>
      </c>
      <c r="J299" s="28" t="n">
        <v>45377</v>
      </c>
      <c r="K299" s="28" t="n">
        <v>45401</v>
      </c>
      <c r="L299" t="inlineStr">
        <is>
          <t>No calificó para crédito</t>
        </is>
      </c>
    </row>
    <row r="300" ht="15.75" customHeight="1" s="25">
      <c r="A300" t="inlineStr">
        <is>
          <t>CLI-0298</t>
        </is>
      </c>
      <c r="B300" t="inlineStr">
        <is>
          <t>Mateo Escobar Bedoya</t>
        </is>
      </c>
      <c r="C300" t="inlineStr">
        <is>
          <t>3235881920</t>
        </is>
      </c>
      <c r="D300" t="inlineStr">
        <is>
          <t>mateo.escobar57@gmail.com</t>
        </is>
      </c>
      <c r="E300" t="inlineStr">
        <is>
          <t>Medellín</t>
        </is>
      </c>
      <c r="F300" t="inlineStr">
        <is>
          <t>PRY-001</t>
        </is>
      </c>
      <c r="G300" t="inlineStr">
        <is>
          <t>Portal Web</t>
        </is>
      </c>
      <c r="H300" t="inlineStr">
        <is>
          <t>Sofía Prada</t>
        </is>
      </c>
      <c r="I300" t="inlineStr">
        <is>
          <t>Perdido</t>
        </is>
      </c>
      <c r="J300" s="28" t="n">
        <v>45377</v>
      </c>
      <c r="K300" s="28" t="n">
        <v>45388</v>
      </c>
      <c r="L300" t="inlineStr">
        <is>
          <t>Sin respuesta tras 3 contactos</t>
        </is>
      </c>
    </row>
    <row r="301" ht="15.75" customHeight="1" s="25">
      <c r="A301" t="inlineStr">
        <is>
          <t>CLI-0299</t>
        </is>
      </c>
      <c r="B301" t="inlineStr">
        <is>
          <t>Mauricio Echeverri Salcedo</t>
        </is>
      </c>
      <c r="C301" t="inlineStr">
        <is>
          <t>3155554164</t>
        </is>
      </c>
      <c r="D301" t="inlineStr">
        <is>
          <t>mauricio.echeverri65@yahoo.com</t>
        </is>
      </c>
      <c r="E301" t="inlineStr">
        <is>
          <t>Medellín</t>
        </is>
      </c>
      <c r="F301" t="inlineStr">
        <is>
          <t>PRY-001</t>
        </is>
      </c>
      <c r="G301" t="inlineStr">
        <is>
          <t>Portal Web</t>
        </is>
      </c>
      <c r="H301" t="inlineStr">
        <is>
          <t>Paula Arenas</t>
        </is>
      </c>
      <c r="I301" t="inlineStr">
        <is>
          <t>Perdido</t>
        </is>
      </c>
      <c r="J301" s="28" t="n">
        <v>45378</v>
      </c>
      <c r="K301" s="28" t="n">
        <v>45390</v>
      </c>
      <c r="L301" t="inlineStr">
        <is>
          <t>Sin respuesta tras 3 contactos</t>
        </is>
      </c>
    </row>
    <row r="302" ht="15.75" customHeight="1" s="25">
      <c r="A302" t="inlineStr">
        <is>
          <t>CLI-0300</t>
        </is>
      </c>
      <c r="B302" t="inlineStr">
        <is>
          <t>Paula Toro Valencia</t>
        </is>
      </c>
      <c r="C302" t="inlineStr">
        <is>
          <t>3047903920</t>
        </is>
      </c>
      <c r="D302" t="inlineStr">
        <is>
          <t>paula.toro16@hotmail.com</t>
        </is>
      </c>
      <c r="E302" t="inlineStr">
        <is>
          <t>Medellín</t>
        </is>
      </c>
      <c r="F302" t="inlineStr">
        <is>
          <t>PRY-004</t>
        </is>
      </c>
      <c r="G302" t="inlineStr">
        <is>
          <t>Portal Web</t>
        </is>
      </c>
      <c r="H302" t="inlineStr">
        <is>
          <t>Paula Arenas</t>
        </is>
      </c>
      <c r="I302" t="inlineStr">
        <is>
          <t>Perdido</t>
        </is>
      </c>
      <c r="J302" s="28" t="n">
        <v>45378</v>
      </c>
      <c r="K302" s="28" t="n">
        <v>45390</v>
      </c>
      <c r="L302" t="inlineStr">
        <is>
          <t>Presupuesto insuficiente</t>
        </is>
      </c>
    </row>
    <row r="303" ht="15.75" customHeight="1" s="25">
      <c r="A303" t="inlineStr">
        <is>
          <t>CLI-0301</t>
        </is>
      </c>
      <c r="B303" t="inlineStr">
        <is>
          <t>Ximena Giraldo Cifuentes</t>
        </is>
      </c>
      <c r="C303" t="inlineStr">
        <is>
          <t>3014956337</t>
        </is>
      </c>
      <c r="D303" t="inlineStr">
        <is>
          <t>ximena.giraldo61@outlook.com</t>
        </is>
      </c>
      <c r="E303" t="inlineStr">
        <is>
          <t>Medellín</t>
        </is>
      </c>
      <c r="F303" t="inlineStr">
        <is>
          <t>PRY-002</t>
        </is>
      </c>
      <c r="G303" t="inlineStr">
        <is>
          <t>Instagram</t>
        </is>
      </c>
      <c r="H303" t="inlineStr">
        <is>
          <t>Ana Quintero</t>
        </is>
      </c>
      <c r="I303" t="inlineStr">
        <is>
          <t>Perdido</t>
        </is>
      </c>
      <c r="J303" s="28" t="n">
        <v>45379</v>
      </c>
      <c r="K303" s="28" t="n">
        <v>45386</v>
      </c>
      <c r="L303" t="inlineStr">
        <is>
          <t>Sin respuesta tras 3 contactos</t>
        </is>
      </c>
    </row>
    <row r="304" ht="15.75" customHeight="1" s="25">
      <c r="A304" t="inlineStr">
        <is>
          <t>CLI-0302</t>
        </is>
      </c>
      <c r="B304" t="inlineStr">
        <is>
          <t>Paola Londoño Pérez</t>
        </is>
      </c>
      <c r="C304" t="inlineStr">
        <is>
          <t>3012745342</t>
        </is>
      </c>
      <c r="D304" t="inlineStr">
        <is>
          <t>paola.londono88@hotmail.com</t>
        </is>
      </c>
      <c r="E304" t="inlineStr">
        <is>
          <t>Medellín</t>
        </is>
      </c>
      <c r="F304" t="inlineStr">
        <is>
          <t>PRY-002</t>
        </is>
      </c>
      <c r="G304" t="inlineStr">
        <is>
          <t>Referido</t>
        </is>
      </c>
      <c r="H304" t="inlineStr">
        <is>
          <t>Andrés Torres</t>
        </is>
      </c>
      <c r="I304" t="inlineStr">
        <is>
          <t>Perdido</t>
        </is>
      </c>
      <c r="J304" s="28" t="n">
        <v>45379</v>
      </c>
      <c r="K304" s="28" t="n">
        <v>45406</v>
      </c>
      <c r="L304" t="inlineStr">
        <is>
          <t>Datos de contacto errados</t>
        </is>
      </c>
    </row>
    <row r="305" ht="15.75" customHeight="1" s="25">
      <c r="A305" t="inlineStr">
        <is>
          <t>CLI-0303</t>
        </is>
      </c>
      <c r="B305" t="inlineStr">
        <is>
          <t>Santiago Cano Betancur</t>
        </is>
      </c>
      <c r="C305" t="inlineStr">
        <is>
          <t>3005237781</t>
        </is>
      </c>
      <c r="D305" t="inlineStr">
        <is>
          <t>santiago.cano71@yahoo.com</t>
        </is>
      </c>
      <c r="E305" t="inlineStr">
        <is>
          <t>Medellín</t>
        </is>
      </c>
      <c r="F305" t="inlineStr">
        <is>
          <t>PRY-001</t>
        </is>
      </c>
      <c r="G305" t="inlineStr">
        <is>
          <t>Portal Web</t>
        </is>
      </c>
      <c r="H305" t="inlineStr">
        <is>
          <t>Sofía Prada</t>
        </is>
      </c>
      <c r="I305" t="inlineStr">
        <is>
          <t>Perdido</t>
        </is>
      </c>
      <c r="J305" s="28" t="n">
        <v>45379</v>
      </c>
      <c r="K305" s="28" t="n">
        <v>45400</v>
      </c>
      <c r="L305" t="inlineStr">
        <is>
          <t>Sin respuesta tras 3 contactos</t>
        </is>
      </c>
    </row>
    <row r="306" ht="15.75" customHeight="1" s="25">
      <c r="A306" t="inlineStr">
        <is>
          <t>CLI-0304</t>
        </is>
      </c>
      <c r="B306" t="inlineStr">
        <is>
          <t>Verónica Higuita Montoya</t>
        </is>
      </c>
      <c r="C306" t="inlineStr">
        <is>
          <t>3175346078</t>
        </is>
      </c>
      <c r="D306" t="inlineStr">
        <is>
          <t>veronica.higuita46@hotmail.com</t>
        </is>
      </c>
      <c r="E306" t="inlineStr">
        <is>
          <t>Medellín</t>
        </is>
      </c>
      <c r="F306" t="inlineStr">
        <is>
          <t>PRY-003</t>
        </is>
      </c>
      <c r="G306" t="inlineStr">
        <is>
          <t>Referido</t>
        </is>
      </c>
      <c r="H306" t="inlineStr">
        <is>
          <t>Sofía Prada</t>
        </is>
      </c>
      <c r="I306" t="inlineStr">
        <is>
          <t>Perdido</t>
        </is>
      </c>
      <c r="J306" s="28" t="n">
        <v>45380</v>
      </c>
      <c r="K306" s="28" t="n">
        <v>45424</v>
      </c>
      <c r="L306" t="inlineStr">
        <is>
          <t>Eligió otro proyecto</t>
        </is>
      </c>
    </row>
    <row r="307" ht="15.75" customHeight="1" s="25">
      <c r="A307" t="inlineStr">
        <is>
          <t>CLI-0305</t>
        </is>
      </c>
      <c r="B307" t="inlineStr">
        <is>
          <t>Valentina Franco Salcedo</t>
        </is>
      </c>
      <c r="C307" t="inlineStr">
        <is>
          <t>3009819825</t>
        </is>
      </c>
      <c r="D307" t="inlineStr">
        <is>
          <t>valentina.franco48@hotmail.com</t>
        </is>
      </c>
      <c r="E307" t="inlineStr">
        <is>
          <t>Bello</t>
        </is>
      </c>
      <c r="F307" t="inlineStr">
        <is>
          <t>PRY-002</t>
        </is>
      </c>
      <c r="G307" t="inlineStr">
        <is>
          <t>Referido</t>
        </is>
      </c>
      <c r="H307" t="inlineStr">
        <is>
          <t>Miguel Salazar</t>
        </is>
      </c>
      <c r="I307" t="inlineStr">
        <is>
          <t>Perdido</t>
        </is>
      </c>
      <c r="J307" s="28" t="n">
        <v>45380</v>
      </c>
      <c r="K307" s="28" t="n">
        <v>45404</v>
      </c>
      <c r="L307" t="inlineStr">
        <is>
          <t>Presupuesto insuficiente</t>
        </is>
      </c>
    </row>
    <row r="308" ht="15.75" customHeight="1" s="25">
      <c r="A308" t="inlineStr">
        <is>
          <t>CLI-0306</t>
        </is>
      </c>
      <c r="B308" t="inlineStr">
        <is>
          <t>Manuela Espinosa Quintero</t>
        </is>
      </c>
      <c r="C308" t="inlineStr">
        <is>
          <t>3209860805</t>
        </is>
      </c>
      <c r="D308" t="inlineStr">
        <is>
          <t>manuela.espinosa16@hotmail.com</t>
        </is>
      </c>
      <c r="E308" t="inlineStr">
        <is>
          <t>Medellín</t>
        </is>
      </c>
      <c r="F308" t="inlineStr">
        <is>
          <t>PRY-004</t>
        </is>
      </c>
      <c r="G308" t="inlineStr">
        <is>
          <t>Facebook</t>
        </is>
      </c>
      <c r="H308" t="inlineStr">
        <is>
          <t>Sofía Prada</t>
        </is>
      </c>
      <c r="I308" t="inlineStr">
        <is>
          <t>Perdido</t>
        </is>
      </c>
      <c r="J308" s="28" t="n">
        <v>45380</v>
      </c>
      <c r="K308" s="28" t="n">
        <v>45401</v>
      </c>
      <c r="L308" t="inlineStr">
        <is>
          <t>Sin respuesta tras 3 contactos</t>
        </is>
      </c>
    </row>
    <row r="309" ht="15.75" customHeight="1" s="25">
      <c r="A309" t="inlineStr">
        <is>
          <t>CLI-0307</t>
        </is>
      </c>
      <c r="B309" t="inlineStr">
        <is>
          <t>Gabriel Henao Correa</t>
        </is>
      </c>
      <c r="C309" t="inlineStr">
        <is>
          <t>3002378680</t>
        </is>
      </c>
      <c r="D309" t="inlineStr">
        <is>
          <t>gabriel.henao75@gmail.com</t>
        </is>
      </c>
      <c r="E309" t="inlineStr">
        <is>
          <t>Medellín</t>
        </is>
      </c>
      <c r="F309" t="inlineStr">
        <is>
          <t>PRY-002</t>
        </is>
      </c>
      <c r="G309" t="inlineStr">
        <is>
          <t>Llamada directa</t>
        </is>
      </c>
      <c r="H309" t="inlineStr">
        <is>
          <t>Andrés Torres</t>
        </is>
      </c>
      <c r="I309" t="inlineStr">
        <is>
          <t>Perdido</t>
        </is>
      </c>
      <c r="J309" s="28" t="n">
        <v>45381</v>
      </c>
      <c r="K309" s="28" t="n">
        <v>45387</v>
      </c>
      <c r="L309" t="inlineStr">
        <is>
          <t>Sin respuesta tras 3 contactos</t>
        </is>
      </c>
    </row>
    <row r="310" ht="15.75" customHeight="1" s="25">
      <c r="A310" t="inlineStr">
        <is>
          <t>CLI-0308</t>
        </is>
      </c>
      <c r="B310" t="inlineStr">
        <is>
          <t>Paula Salcedo Rojas</t>
        </is>
      </c>
      <c r="C310" t="inlineStr">
        <is>
          <t>3155924569</t>
        </is>
      </c>
      <c r="D310" t="inlineStr">
        <is>
          <t>paula.salcedo97@yahoo.com</t>
        </is>
      </c>
      <c r="E310" t="inlineStr">
        <is>
          <t>Itagüí</t>
        </is>
      </c>
      <c r="F310" t="inlineStr">
        <is>
          <t>PRY-001</t>
        </is>
      </c>
      <c r="G310" t="inlineStr">
        <is>
          <t>Instagram</t>
        </is>
      </c>
      <c r="H310" t="inlineStr">
        <is>
          <t>Paula Arenas</t>
        </is>
      </c>
      <c r="I310" t="inlineStr">
        <is>
          <t>Perdido</t>
        </is>
      </c>
      <c r="J310" s="28" t="n">
        <v>45381</v>
      </c>
      <c r="K310" s="28" t="n">
        <v>45388</v>
      </c>
      <c r="L310" t="inlineStr">
        <is>
          <t>Sin respuesta tras 3 contactos</t>
        </is>
      </c>
    </row>
    <row r="311" ht="15.75" customHeight="1" s="25">
      <c r="A311" t="inlineStr">
        <is>
          <t>CLI-0309</t>
        </is>
      </c>
      <c r="B311" t="inlineStr">
        <is>
          <t>María Londoño Henao</t>
        </is>
      </c>
      <c r="C311" t="inlineStr">
        <is>
          <t>3137076110</t>
        </is>
      </c>
      <c r="D311" t="inlineStr">
        <is>
          <t>maria.londono71@outlook.com</t>
        </is>
      </c>
      <c r="E311" t="inlineStr">
        <is>
          <t>Itagüí</t>
        </is>
      </c>
      <c r="F311" t="inlineStr">
        <is>
          <t>PRY-002</t>
        </is>
      </c>
      <c r="G311" t="inlineStr">
        <is>
          <t>Llamada directa</t>
        </is>
      </c>
      <c r="H311" t="inlineStr">
        <is>
          <t>Ana Quintero</t>
        </is>
      </c>
      <c r="I311" t="inlineStr">
        <is>
          <t>Perdido</t>
        </is>
      </c>
      <c r="J311" s="28" t="n">
        <v>45382</v>
      </c>
      <c r="K311" s="28" t="n">
        <v>45389</v>
      </c>
      <c r="L311" t="inlineStr">
        <is>
          <t>Datos de contacto errados</t>
        </is>
      </c>
    </row>
    <row r="312" ht="15.75" customHeight="1" s="25">
      <c r="A312" t="inlineStr">
        <is>
          <t>CLI-0310</t>
        </is>
      </c>
      <c r="B312" t="inlineStr">
        <is>
          <t>Luisa Arango Restrepo</t>
        </is>
      </c>
      <c r="C312" t="inlineStr">
        <is>
          <t>3172020193</t>
        </is>
      </c>
      <c r="D312" t="inlineStr">
        <is>
          <t>luisa.arango15@hotmail.com</t>
        </is>
      </c>
      <c r="E312" t="inlineStr">
        <is>
          <t>Medellín</t>
        </is>
      </c>
      <c r="F312" t="inlineStr">
        <is>
          <t>PRY-001</t>
        </is>
      </c>
      <c r="G312" t="inlineStr">
        <is>
          <t>Portal Web</t>
        </is>
      </c>
      <c r="H312" t="inlineStr">
        <is>
          <t>Luis Bedoya</t>
        </is>
      </c>
      <c r="I312" t="inlineStr">
        <is>
          <t>Perdido</t>
        </is>
      </c>
      <c r="J312" s="28" t="n">
        <v>45382</v>
      </c>
      <c r="K312" s="28" t="n">
        <v>45411</v>
      </c>
      <c r="L312" t="inlineStr">
        <is>
          <t>Presupuesto insuficiente</t>
        </is>
      </c>
    </row>
    <row r="313" ht="15.75" customHeight="1" s="25">
      <c r="A313" t="inlineStr">
        <is>
          <t>CLI-0311</t>
        </is>
      </c>
      <c r="B313" t="inlineStr">
        <is>
          <t>Iván Gómez Pérez</t>
        </is>
      </c>
      <c r="C313" t="inlineStr">
        <is>
          <t>3001119853</t>
        </is>
      </c>
      <c r="D313" t="inlineStr">
        <is>
          <t>ivan.gomez56@gmail.com</t>
        </is>
      </c>
      <c r="E313" t="inlineStr">
        <is>
          <t>Medellín</t>
        </is>
      </c>
      <c r="F313" t="inlineStr">
        <is>
          <t>PRY-001</t>
        </is>
      </c>
      <c r="G313" t="inlineStr">
        <is>
          <t>Portal Web</t>
        </is>
      </c>
      <c r="H313" t="inlineStr">
        <is>
          <t>Andrés Torres</t>
        </is>
      </c>
      <c r="I313" t="inlineStr">
        <is>
          <t>Perdido</t>
        </is>
      </c>
      <c r="J313" s="28" t="n">
        <v>45383</v>
      </c>
      <c r="K313" s="28" t="n">
        <v>45406</v>
      </c>
      <c r="L313" t="inlineStr">
        <is>
          <t>No calificó para crédito</t>
        </is>
      </c>
    </row>
    <row r="314" ht="15.75" customHeight="1" s="25">
      <c r="A314" t="inlineStr">
        <is>
          <t>CLI-0312</t>
        </is>
      </c>
      <c r="B314" t="inlineStr">
        <is>
          <t>Sofía Restrepo Ochoa</t>
        </is>
      </c>
      <c r="C314" t="inlineStr">
        <is>
          <t>3135050981</t>
        </is>
      </c>
      <c r="D314" t="inlineStr">
        <is>
          <t>sofia.restrepo28@yahoo.com</t>
        </is>
      </c>
      <c r="E314" t="inlineStr">
        <is>
          <t>Sabaneta</t>
        </is>
      </c>
      <c r="F314" t="inlineStr">
        <is>
          <t>PRY-008</t>
        </is>
      </c>
      <c r="G314" t="inlineStr">
        <is>
          <t>Llamada directa</t>
        </is>
      </c>
      <c r="H314" t="inlineStr">
        <is>
          <t>Juliana Vélez</t>
        </is>
      </c>
      <c r="I314" t="inlineStr">
        <is>
          <t>Perdido</t>
        </is>
      </c>
      <c r="J314" s="28" t="n">
        <v>45383</v>
      </c>
      <c r="K314" s="28" t="n">
        <v>45406</v>
      </c>
      <c r="L314" t="inlineStr">
        <is>
          <t>Buscaba arriendo, no compra</t>
        </is>
      </c>
    </row>
    <row r="315" ht="15.75" customHeight="1" s="25">
      <c r="A315" t="inlineStr">
        <is>
          <t>CLI-0313</t>
        </is>
      </c>
      <c r="B315" t="inlineStr">
        <is>
          <t>Alejandra Rojas Salcedo</t>
        </is>
      </c>
      <c r="C315" t="inlineStr">
        <is>
          <t>3041700254</t>
        </is>
      </c>
      <c r="D315" t="inlineStr">
        <is>
          <t>alejandra.rojas9@outlook.com</t>
        </is>
      </c>
      <c r="E315" t="inlineStr">
        <is>
          <t>Sabaneta</t>
        </is>
      </c>
      <c r="F315" t="inlineStr">
        <is>
          <t>PRY-003</t>
        </is>
      </c>
      <c r="G315" t="inlineStr">
        <is>
          <t>Portal Web</t>
        </is>
      </c>
      <c r="H315" t="inlineStr">
        <is>
          <t>Juliana Vélez</t>
        </is>
      </c>
      <c r="I315" t="inlineStr">
        <is>
          <t>Perdido</t>
        </is>
      </c>
      <c r="J315" s="28" t="n">
        <v>45383</v>
      </c>
      <c r="K315" s="28" t="n">
        <v>45396</v>
      </c>
      <c r="L315" t="inlineStr">
        <is>
          <t>Datos de contacto errados</t>
        </is>
      </c>
    </row>
    <row r="316" ht="15.75" customHeight="1" s="25">
      <c r="A316" t="inlineStr">
        <is>
          <t>CLI-0314</t>
        </is>
      </c>
      <c r="B316" t="inlineStr">
        <is>
          <t>Paula Correa Giraldo</t>
        </is>
      </c>
      <c r="C316" t="inlineStr">
        <is>
          <t>3233867507</t>
        </is>
      </c>
      <c r="D316" t="inlineStr">
        <is>
          <t>paula.correa73@yahoo.com</t>
        </is>
      </c>
      <c r="E316" t="inlineStr">
        <is>
          <t>Medellín</t>
        </is>
      </c>
      <c r="F316" t="inlineStr">
        <is>
          <t>PRY-001</t>
        </is>
      </c>
      <c r="G316" t="inlineStr">
        <is>
          <t>Facebook</t>
        </is>
      </c>
      <c r="H316" t="inlineStr">
        <is>
          <t>Sofía Prada</t>
        </is>
      </c>
      <c r="I316" t="inlineStr">
        <is>
          <t>Perdido</t>
        </is>
      </c>
      <c r="J316" s="28" t="n">
        <v>45383</v>
      </c>
      <c r="K316" s="28" t="n">
        <v>45394</v>
      </c>
      <c r="L316" t="inlineStr">
        <is>
          <t>Sin respuesta tras 3 contactos</t>
        </is>
      </c>
    </row>
    <row r="317" ht="15.75" customHeight="1" s="25">
      <c r="A317" t="inlineStr">
        <is>
          <t>CLI-0315</t>
        </is>
      </c>
      <c r="B317" t="inlineStr">
        <is>
          <t>Julián López Ochoa</t>
        </is>
      </c>
      <c r="C317" t="inlineStr">
        <is>
          <t>3207383973</t>
        </is>
      </c>
      <c r="D317" t="inlineStr">
        <is>
          <t>julian.lopez77@outlook.com</t>
        </is>
      </c>
      <c r="E317" t="inlineStr">
        <is>
          <t>Medellín</t>
        </is>
      </c>
      <c r="F317" t="inlineStr">
        <is>
          <t>PRY-003</t>
        </is>
      </c>
      <c r="G317" t="inlineStr">
        <is>
          <t>Facebook</t>
        </is>
      </c>
      <c r="H317" t="inlineStr">
        <is>
          <t>Santiago Muñoz</t>
        </is>
      </c>
      <c r="I317" t="inlineStr">
        <is>
          <t>Perdido</t>
        </is>
      </c>
      <c r="J317" s="28" t="n">
        <v>45384</v>
      </c>
      <c r="K317" s="28" t="n">
        <v>45479</v>
      </c>
      <c r="L317" t="inlineStr">
        <is>
          <t>Cambió de ciudad</t>
        </is>
      </c>
    </row>
    <row r="318" ht="15.75" customHeight="1" s="25">
      <c r="A318" t="inlineStr">
        <is>
          <t>CLI-0316</t>
        </is>
      </c>
      <c r="B318" t="inlineStr">
        <is>
          <t>Diego Restrepo Londoño</t>
        </is>
      </c>
      <c r="C318" t="inlineStr">
        <is>
          <t>3016162458</t>
        </is>
      </c>
      <c r="D318" t="inlineStr">
        <is>
          <t>diego.restrepo65@hotmail.com</t>
        </is>
      </c>
      <c r="E318" t="inlineStr">
        <is>
          <t>Medellín</t>
        </is>
      </c>
      <c r="F318" t="inlineStr">
        <is>
          <t>PRY-003</t>
        </is>
      </c>
      <c r="G318" t="inlineStr">
        <is>
          <t>Llamada directa</t>
        </is>
      </c>
      <c r="H318" t="inlineStr">
        <is>
          <t>Luis Bedoya</t>
        </is>
      </c>
      <c r="I318" t="inlineStr">
        <is>
          <t>Perdido</t>
        </is>
      </c>
      <c r="J318" s="28" t="n">
        <v>45384</v>
      </c>
      <c r="K318" s="28" t="n">
        <v>45411</v>
      </c>
      <c r="L318" t="inlineStr">
        <is>
          <t>Buscaba arriendo, no compra</t>
        </is>
      </c>
    </row>
    <row r="319" ht="15.75" customHeight="1" s="25">
      <c r="A319" t="inlineStr">
        <is>
          <t>CLI-0317</t>
        </is>
      </c>
      <c r="B319" t="inlineStr">
        <is>
          <t>Rodrigo Peláez Gómez</t>
        </is>
      </c>
      <c r="C319" t="inlineStr">
        <is>
          <t>3133753812</t>
        </is>
      </c>
      <c r="D319" t="inlineStr">
        <is>
          <t>rodrigo.pelaez96@gmail.com</t>
        </is>
      </c>
      <c r="E319" t="inlineStr">
        <is>
          <t>Itagüí</t>
        </is>
      </c>
      <c r="F319" t="inlineStr">
        <is>
          <t>PRY-008</t>
        </is>
      </c>
      <c r="G319" t="inlineStr">
        <is>
          <t>Referido</t>
        </is>
      </c>
      <c r="H319" t="inlineStr">
        <is>
          <t>Sofía Prada</t>
        </is>
      </c>
      <c r="I319" t="inlineStr">
        <is>
          <t>Perdido</t>
        </is>
      </c>
      <c r="J319" s="28" t="n">
        <v>45384</v>
      </c>
      <c r="K319" s="28" t="n">
        <v>45400</v>
      </c>
      <c r="L319" t="inlineStr">
        <is>
          <t>Presupuesto insuficiente</t>
        </is>
      </c>
    </row>
    <row r="320" ht="15.75" customHeight="1" s="25">
      <c r="A320" t="inlineStr">
        <is>
          <t>CLI-0318</t>
        </is>
      </c>
      <c r="B320" t="inlineStr">
        <is>
          <t>Camila Jaramillo Bedoya</t>
        </is>
      </c>
      <c r="C320" t="inlineStr">
        <is>
          <t>3171538142</t>
        </is>
      </c>
      <c r="D320" t="inlineStr">
        <is>
          <t>camila.jaramillo21@outlook.com</t>
        </is>
      </c>
      <c r="E320" t="inlineStr">
        <is>
          <t>Medellín</t>
        </is>
      </c>
      <c r="F320" t="inlineStr">
        <is>
          <t>PRY-002</t>
        </is>
      </c>
      <c r="G320" t="inlineStr">
        <is>
          <t>Facebook</t>
        </is>
      </c>
      <c r="H320" t="inlineStr">
        <is>
          <t>Andrés Torres</t>
        </is>
      </c>
      <c r="I320" t="inlineStr">
        <is>
          <t>Perdido</t>
        </is>
      </c>
      <c r="J320" s="28" t="n">
        <v>45385</v>
      </c>
      <c r="K320" s="28" t="n">
        <v>45415</v>
      </c>
      <c r="L320" t="inlineStr">
        <is>
          <t>Presupuesto insuficiente</t>
        </is>
      </c>
    </row>
    <row r="321" ht="15.75" customHeight="1" s="25">
      <c r="A321" t="inlineStr">
        <is>
          <t>CLI-0319</t>
        </is>
      </c>
      <c r="B321" t="inlineStr">
        <is>
          <t>Cristian Gómez Gaviria</t>
        </is>
      </c>
      <c r="C321" t="inlineStr">
        <is>
          <t>3107263962</t>
        </is>
      </c>
      <c r="D321" t="inlineStr">
        <is>
          <t>cristian.gomez44@hotmail.com</t>
        </is>
      </c>
      <c r="E321" t="inlineStr">
        <is>
          <t>Itagüí</t>
        </is>
      </c>
      <c r="F321" t="inlineStr">
        <is>
          <t>PRY-008</t>
        </is>
      </c>
      <c r="G321" t="inlineStr">
        <is>
          <t>Referido</t>
        </is>
      </c>
      <c r="H321" t="inlineStr">
        <is>
          <t>Paula Arenas</t>
        </is>
      </c>
      <c r="I321" t="inlineStr">
        <is>
          <t>Ganado</t>
        </is>
      </c>
      <c r="J321" s="28" t="n">
        <v>45386</v>
      </c>
      <c r="K321" s="28" t="n">
        <v>45453</v>
      </c>
      <c r="L321" t="inlineStr">
        <is>
          <t>Compró Casa 31 en Valle Verde Itagüí</t>
        </is>
      </c>
    </row>
    <row r="322" ht="15.75" customHeight="1" s="25">
      <c r="A322" t="inlineStr">
        <is>
          <t>CLI-0320</t>
        </is>
      </c>
      <c r="B322" t="inlineStr">
        <is>
          <t>Ricardo Salcedo Cardona</t>
        </is>
      </c>
      <c r="C322" t="inlineStr">
        <is>
          <t>3226667291</t>
        </is>
      </c>
      <c r="D322" t="inlineStr">
        <is>
          <t>ricardo.salcedo30@gmail.com</t>
        </is>
      </c>
      <c r="E322" t="inlineStr">
        <is>
          <t>La Estrella</t>
        </is>
      </c>
      <c r="F322" t="inlineStr">
        <is>
          <t>PRY-004</t>
        </is>
      </c>
      <c r="G322" t="inlineStr">
        <is>
          <t>Portal Web</t>
        </is>
      </c>
      <c r="H322" t="inlineStr">
        <is>
          <t>Luis Bedoya</t>
        </is>
      </c>
      <c r="I322" t="inlineStr">
        <is>
          <t>Perdido</t>
        </is>
      </c>
      <c r="J322" s="28" t="n">
        <v>45386</v>
      </c>
      <c r="K322" s="28" t="n">
        <v>45400</v>
      </c>
      <c r="L322" t="inlineStr">
        <is>
          <t>Buscaba arriendo, no compra</t>
        </is>
      </c>
    </row>
    <row r="323" ht="15.75" customHeight="1" s="25">
      <c r="A323" t="inlineStr">
        <is>
          <t>CLI-0321</t>
        </is>
      </c>
      <c r="B323" t="inlineStr">
        <is>
          <t>Iván Peláez Betancur</t>
        </is>
      </c>
      <c r="C323" t="inlineStr">
        <is>
          <t>3208177285</t>
        </is>
      </c>
      <c r="D323" t="inlineStr">
        <is>
          <t>ivan.pelaez29@hotmail.com</t>
        </is>
      </c>
      <c r="E323" t="inlineStr">
        <is>
          <t>Itagüí</t>
        </is>
      </c>
      <c r="F323" t="inlineStr">
        <is>
          <t>PRY-008</t>
        </is>
      </c>
      <c r="G323" t="inlineStr">
        <is>
          <t>Feria Inmobiliaria</t>
        </is>
      </c>
      <c r="H323" t="inlineStr">
        <is>
          <t>Luis Bedoya</t>
        </is>
      </c>
      <c r="I323" t="inlineStr">
        <is>
          <t>Ganado</t>
        </is>
      </c>
      <c r="J323" s="28" t="n">
        <v>45387</v>
      </c>
      <c r="K323" s="28" t="n">
        <v>45462</v>
      </c>
      <c r="L323" t="inlineStr">
        <is>
          <t>Compró Casa 60 en Valle Verde Itagüí</t>
        </is>
      </c>
    </row>
    <row r="324" ht="15.75" customHeight="1" s="25">
      <c r="A324" t="inlineStr">
        <is>
          <t>CLI-0322</t>
        </is>
      </c>
      <c r="B324" t="inlineStr">
        <is>
          <t>Manuela Arango Montes</t>
        </is>
      </c>
      <c r="C324" t="inlineStr">
        <is>
          <t>3048147738</t>
        </is>
      </c>
      <c r="D324" t="inlineStr">
        <is>
          <t>manuela.arango54@yahoo.com</t>
        </is>
      </c>
      <c r="E324" t="inlineStr">
        <is>
          <t>Medellín</t>
        </is>
      </c>
      <c r="F324" t="inlineStr">
        <is>
          <t>PRY-001</t>
        </is>
      </c>
      <c r="G324" t="inlineStr">
        <is>
          <t>Referido</t>
        </is>
      </c>
      <c r="H324" t="inlineStr">
        <is>
          <t>Luis Bedoya</t>
        </is>
      </c>
      <c r="I324" t="inlineStr">
        <is>
          <t>Ganado</t>
        </is>
      </c>
      <c r="J324" s="28" t="n">
        <v>45387</v>
      </c>
      <c r="K324" s="28" t="n">
        <v>45523</v>
      </c>
      <c r="L324" t="inlineStr">
        <is>
          <t>Compró Apto 1403 en Torres del Poblado</t>
        </is>
      </c>
    </row>
    <row r="325" ht="15.75" customHeight="1" s="25">
      <c r="A325" t="inlineStr">
        <is>
          <t>CLI-0323</t>
        </is>
      </c>
      <c r="B325" t="inlineStr">
        <is>
          <t>Óscar Osorio Echeverri</t>
        </is>
      </c>
      <c r="C325" t="inlineStr">
        <is>
          <t>3132686460</t>
        </is>
      </c>
      <c r="D325" t="inlineStr">
        <is>
          <t>oscar.osorio3@hotmail.com</t>
        </is>
      </c>
      <c r="E325" t="inlineStr">
        <is>
          <t>Itagüí</t>
        </is>
      </c>
      <c r="F325" t="inlineStr">
        <is>
          <t>PRY-008</t>
        </is>
      </c>
      <c r="G325" t="inlineStr">
        <is>
          <t>Referido</t>
        </is>
      </c>
      <c r="H325" t="inlineStr">
        <is>
          <t>Luis Bedoya</t>
        </is>
      </c>
      <c r="I325" t="inlineStr">
        <is>
          <t>Perdido</t>
        </is>
      </c>
      <c r="J325" s="28" t="n">
        <v>45387</v>
      </c>
      <c r="K325" s="28" t="n">
        <v>45394</v>
      </c>
      <c r="L325" t="inlineStr">
        <is>
          <t>Presupuesto insuficiente</t>
        </is>
      </c>
    </row>
    <row r="326" ht="15.75" customHeight="1" s="25">
      <c r="A326" t="inlineStr">
        <is>
          <t>CLI-0324</t>
        </is>
      </c>
      <c r="B326" t="inlineStr">
        <is>
          <t>Alejandra Gaviria Franco</t>
        </is>
      </c>
      <c r="C326" t="inlineStr">
        <is>
          <t>3153334054</t>
        </is>
      </c>
      <c r="D326" t="inlineStr">
        <is>
          <t>alejandra.gaviria98@hotmail.com</t>
        </is>
      </c>
      <c r="E326" t="inlineStr">
        <is>
          <t>Medellín</t>
        </is>
      </c>
      <c r="F326" t="inlineStr">
        <is>
          <t>PRY-004</t>
        </is>
      </c>
      <c r="G326" t="inlineStr">
        <is>
          <t>Llamada directa</t>
        </is>
      </c>
      <c r="H326" t="inlineStr">
        <is>
          <t>Sofía Prada</t>
        </is>
      </c>
      <c r="I326" t="inlineStr">
        <is>
          <t>Perdido</t>
        </is>
      </c>
      <c r="J326" s="28" t="n">
        <v>45387</v>
      </c>
      <c r="K326" s="28" t="n">
        <v>45392</v>
      </c>
      <c r="L326" t="inlineStr">
        <is>
          <t>Presupuesto insuficiente</t>
        </is>
      </c>
    </row>
    <row r="327" ht="15.75" customHeight="1" s="25">
      <c r="A327" t="inlineStr">
        <is>
          <t>CLI-0325</t>
        </is>
      </c>
      <c r="B327" t="inlineStr">
        <is>
          <t>Camila Montes Agudelo</t>
        </is>
      </c>
      <c r="C327" t="inlineStr">
        <is>
          <t>3173014311</t>
        </is>
      </c>
      <c r="D327" t="inlineStr">
        <is>
          <t>camila.montes76@outlook.com</t>
        </is>
      </c>
      <c r="E327" t="inlineStr">
        <is>
          <t>Medellín</t>
        </is>
      </c>
      <c r="F327" t="inlineStr">
        <is>
          <t>PRY-004</t>
        </is>
      </c>
      <c r="G327" t="inlineStr">
        <is>
          <t>Portal Web</t>
        </is>
      </c>
      <c r="H327" t="inlineStr">
        <is>
          <t>Ana Quintero</t>
        </is>
      </c>
      <c r="I327" t="inlineStr">
        <is>
          <t>Ganado</t>
        </is>
      </c>
      <c r="J327" s="28" t="n">
        <v>45388</v>
      </c>
      <c r="K327" s="28" t="n">
        <v>45517</v>
      </c>
      <c r="L327" t="inlineStr">
        <is>
          <t>Compró Casa 33 en Altavista Park</t>
        </is>
      </c>
    </row>
    <row r="328" ht="15.75" customHeight="1" s="25">
      <c r="A328" t="inlineStr">
        <is>
          <t>CLI-0326</t>
        </is>
      </c>
      <c r="B328" t="inlineStr">
        <is>
          <t>Hernán Ramírez Vásquez</t>
        </is>
      </c>
      <c r="C328" t="inlineStr">
        <is>
          <t>3105564331</t>
        </is>
      </c>
      <c r="D328" t="inlineStr">
        <is>
          <t>hernan.ramirez46@yahoo.com</t>
        </is>
      </c>
      <c r="E328" t="inlineStr">
        <is>
          <t>Medellín</t>
        </is>
      </c>
      <c r="F328" t="inlineStr">
        <is>
          <t>PRY-004</t>
        </is>
      </c>
      <c r="G328" t="inlineStr">
        <is>
          <t>Feria Inmobiliaria</t>
        </is>
      </c>
      <c r="H328" t="inlineStr">
        <is>
          <t>Ana Quintero</t>
        </is>
      </c>
      <c r="I328" t="inlineStr">
        <is>
          <t>Ganado</t>
        </is>
      </c>
      <c r="J328" s="28" t="n">
        <v>45388</v>
      </c>
      <c r="K328" s="28" t="n">
        <v>45520</v>
      </c>
      <c r="L328" t="inlineStr">
        <is>
          <t>Compró Casa 47 en Altavista Park</t>
        </is>
      </c>
    </row>
    <row r="329" ht="15.75" customHeight="1" s="25">
      <c r="A329" t="inlineStr">
        <is>
          <t>CLI-0327</t>
        </is>
      </c>
      <c r="B329" t="inlineStr">
        <is>
          <t>Simón Cifuentes Muñoz</t>
        </is>
      </c>
      <c r="C329" t="inlineStr">
        <is>
          <t>3179902226</t>
        </is>
      </c>
      <c r="D329" t="inlineStr">
        <is>
          <t>simon.cifuentes60@outlook.com</t>
        </is>
      </c>
      <c r="E329" t="inlineStr">
        <is>
          <t>Bello</t>
        </is>
      </c>
      <c r="F329" t="inlineStr">
        <is>
          <t>PRY-002</t>
        </is>
      </c>
      <c r="G329" t="inlineStr">
        <is>
          <t>Portal Web</t>
        </is>
      </c>
      <c r="H329" t="inlineStr">
        <is>
          <t>Miguel Salazar</t>
        </is>
      </c>
      <c r="I329" t="inlineStr">
        <is>
          <t>Perdido</t>
        </is>
      </c>
      <c r="J329" s="28" t="n">
        <v>45388</v>
      </c>
      <c r="K329" s="28" t="n">
        <v>45407</v>
      </c>
      <c r="L329" t="inlineStr">
        <is>
          <t>Presupuesto insuficiente</t>
        </is>
      </c>
    </row>
    <row r="330" ht="15.75" customHeight="1" s="25">
      <c r="A330" t="inlineStr">
        <is>
          <t>CLI-0328</t>
        </is>
      </c>
      <c r="B330" t="inlineStr">
        <is>
          <t>Diego Salcedo Castaño</t>
        </is>
      </c>
      <c r="C330" t="inlineStr">
        <is>
          <t>3152414872</t>
        </is>
      </c>
      <c r="D330" t="inlineStr">
        <is>
          <t>diego.salcedo73@outlook.com</t>
        </is>
      </c>
      <c r="E330" t="inlineStr">
        <is>
          <t>Sabaneta</t>
        </is>
      </c>
      <c r="F330" t="inlineStr">
        <is>
          <t>PRY-005</t>
        </is>
      </c>
      <c r="G330" t="inlineStr">
        <is>
          <t>Referido</t>
        </is>
      </c>
      <c r="H330" t="inlineStr">
        <is>
          <t>Sofía Prada</t>
        </is>
      </c>
      <c r="I330" t="inlineStr">
        <is>
          <t>Ganado</t>
        </is>
      </c>
      <c r="J330" s="28" t="n">
        <v>45389</v>
      </c>
      <c r="K330" s="28" t="n">
        <v>45513</v>
      </c>
      <c r="L330" t="inlineStr">
        <is>
          <t>Compró Apto 206 en Ciudadela Rionegro</t>
        </is>
      </c>
    </row>
    <row r="331" ht="15.75" customHeight="1" s="25">
      <c r="A331" t="inlineStr">
        <is>
          <t>CLI-0329</t>
        </is>
      </c>
      <c r="B331" t="inlineStr">
        <is>
          <t>Valentina Cano Agudelo</t>
        </is>
      </c>
      <c r="C331" t="inlineStr">
        <is>
          <t>3201074756</t>
        </is>
      </c>
      <c r="D331" t="inlineStr">
        <is>
          <t>valentina.cano34@gmail.com</t>
        </is>
      </c>
      <c r="E331" t="inlineStr">
        <is>
          <t>La Estrella</t>
        </is>
      </c>
      <c r="F331" t="inlineStr">
        <is>
          <t>PRY-001</t>
        </is>
      </c>
      <c r="G331" t="inlineStr">
        <is>
          <t>Referido</t>
        </is>
      </c>
      <c r="H331" t="inlineStr">
        <is>
          <t>Paula Arenas</t>
        </is>
      </c>
      <c r="I331" t="inlineStr">
        <is>
          <t>Perdido</t>
        </is>
      </c>
      <c r="J331" s="28" t="n">
        <v>45389</v>
      </c>
      <c r="K331" s="28" t="n">
        <v>45409</v>
      </c>
      <c r="L331" t="inlineStr">
        <is>
          <t>Presupuesto insuficiente</t>
        </is>
      </c>
    </row>
    <row r="332" ht="15.75" customHeight="1" s="25">
      <c r="A332" t="inlineStr">
        <is>
          <t>CLI-0330</t>
        </is>
      </c>
      <c r="B332" t="inlineStr">
        <is>
          <t>Mauricio Montes Álvarez</t>
        </is>
      </c>
      <c r="C332" t="inlineStr">
        <is>
          <t>3132828861</t>
        </is>
      </c>
      <c r="D332" t="inlineStr">
        <is>
          <t>mauricio.montes2@hotmail.com</t>
        </is>
      </c>
      <c r="E332" t="inlineStr">
        <is>
          <t>Itagüí</t>
        </is>
      </c>
      <c r="F332" t="inlineStr">
        <is>
          <t>PRY-008</t>
        </is>
      </c>
      <c r="G332" t="inlineStr">
        <is>
          <t>Portal Web</t>
        </is>
      </c>
      <c r="H332" t="inlineStr">
        <is>
          <t>Juliana Vélez</t>
        </is>
      </c>
      <c r="I332" t="inlineStr">
        <is>
          <t>Perdido</t>
        </is>
      </c>
      <c r="J332" s="28" t="n">
        <v>45389</v>
      </c>
      <c r="K332" s="28" t="n">
        <v>45400</v>
      </c>
      <c r="L332" t="inlineStr">
        <is>
          <t>Sin respuesta tras 3 contactos</t>
        </is>
      </c>
    </row>
    <row r="333" ht="15.75" customHeight="1" s="25">
      <c r="A333" t="inlineStr">
        <is>
          <t>CLI-0331</t>
        </is>
      </c>
      <c r="B333" t="inlineStr">
        <is>
          <t>Manuela Ramírez Jaramillo</t>
        </is>
      </c>
      <c r="C333" t="inlineStr">
        <is>
          <t>3141228883</t>
        </is>
      </c>
      <c r="D333" t="inlineStr">
        <is>
          <t>manuela.ramirez4@gmail.com</t>
        </is>
      </c>
      <c r="E333" t="inlineStr">
        <is>
          <t>Itagüí</t>
        </is>
      </c>
      <c r="F333" t="inlineStr">
        <is>
          <t>PRY-008</t>
        </is>
      </c>
      <c r="G333" t="inlineStr">
        <is>
          <t>Referido</t>
        </is>
      </c>
      <c r="H333" t="inlineStr">
        <is>
          <t>Juliana Vélez</t>
        </is>
      </c>
      <c r="I333" t="inlineStr">
        <is>
          <t>Ganado</t>
        </is>
      </c>
      <c r="J333" s="28" t="n">
        <v>45391</v>
      </c>
      <c r="K333" s="28" t="n">
        <v>45452</v>
      </c>
      <c r="L333" t="inlineStr">
        <is>
          <t>Compró Casa 81 en Valle Verde Itagüí</t>
        </is>
      </c>
    </row>
    <row r="334" ht="15.75" customHeight="1" s="25">
      <c r="A334" t="inlineStr">
        <is>
          <t>CLI-0332</t>
        </is>
      </c>
      <c r="B334" t="inlineStr">
        <is>
          <t>David Vélez Osorio</t>
        </is>
      </c>
      <c r="C334" t="inlineStr">
        <is>
          <t>3044110078</t>
        </is>
      </c>
      <c r="D334" t="inlineStr">
        <is>
          <t>david.velez50@outlook.com</t>
        </is>
      </c>
      <c r="E334" t="inlineStr">
        <is>
          <t>La Estrella</t>
        </is>
      </c>
      <c r="F334" t="inlineStr">
        <is>
          <t>PRY-002</t>
        </is>
      </c>
      <c r="G334" t="inlineStr">
        <is>
          <t>Portal Web</t>
        </is>
      </c>
      <c r="H334" t="inlineStr">
        <is>
          <t>Andrés Torres</t>
        </is>
      </c>
      <c r="I334" t="inlineStr">
        <is>
          <t>Ganado</t>
        </is>
      </c>
      <c r="J334" s="28" t="n">
        <v>45391</v>
      </c>
      <c r="K334" s="28" t="n">
        <v>45562</v>
      </c>
      <c r="L334" t="inlineStr">
        <is>
          <t>Compró Casa 4 en Reserva Santa Elena</t>
        </is>
      </c>
    </row>
    <row r="335" ht="15.75" customHeight="1" s="25">
      <c r="A335" t="inlineStr">
        <is>
          <t>CLI-0333</t>
        </is>
      </c>
      <c r="B335" t="inlineStr">
        <is>
          <t>Simón Jaramillo Álvarez</t>
        </is>
      </c>
      <c r="C335" t="inlineStr">
        <is>
          <t>3014648541</t>
        </is>
      </c>
      <c r="D335" t="inlineStr">
        <is>
          <t>simon.jaramillo23@hotmail.com</t>
        </is>
      </c>
      <c r="E335" t="inlineStr">
        <is>
          <t>Medellín</t>
        </is>
      </c>
      <c r="F335" t="inlineStr">
        <is>
          <t>PRY-003</t>
        </is>
      </c>
      <c r="G335" t="inlineStr">
        <is>
          <t>Facebook</t>
        </is>
      </c>
      <c r="H335" t="inlineStr">
        <is>
          <t>Luis Bedoya</t>
        </is>
      </c>
      <c r="I335" t="inlineStr">
        <is>
          <t>Perdido</t>
        </is>
      </c>
      <c r="J335" s="28" t="n">
        <v>45391</v>
      </c>
      <c r="K335" s="28" t="n">
        <v>45412</v>
      </c>
      <c r="L335" t="inlineStr">
        <is>
          <t>Sin respuesta tras 3 contactos</t>
        </is>
      </c>
    </row>
    <row r="336" ht="15.75" customHeight="1" s="25">
      <c r="A336" t="inlineStr">
        <is>
          <t>CLI-0334</t>
        </is>
      </c>
      <c r="B336" t="inlineStr">
        <is>
          <t>Mariana Restrepo Castaño</t>
        </is>
      </c>
      <c r="C336" t="inlineStr">
        <is>
          <t>3134468989</t>
        </is>
      </c>
      <c r="D336" t="inlineStr">
        <is>
          <t>mariana.restrepo80@gmail.com</t>
        </is>
      </c>
      <c r="E336" t="inlineStr">
        <is>
          <t>Sabaneta</t>
        </is>
      </c>
      <c r="F336" t="inlineStr">
        <is>
          <t>PRY-003</t>
        </is>
      </c>
      <c r="G336" t="inlineStr">
        <is>
          <t>Llamada directa</t>
        </is>
      </c>
      <c r="H336" t="inlineStr">
        <is>
          <t>Santiago Muñoz</t>
        </is>
      </c>
      <c r="I336" t="inlineStr">
        <is>
          <t>Perdido</t>
        </is>
      </c>
      <c r="J336" s="28" t="n">
        <v>45392</v>
      </c>
      <c r="K336" s="28" t="n">
        <v>45399</v>
      </c>
      <c r="L336" t="inlineStr">
        <is>
          <t>Buscaba arriendo, no compra</t>
        </is>
      </c>
    </row>
    <row r="337" ht="15.75" customHeight="1" s="25">
      <c r="A337" t="inlineStr">
        <is>
          <t>CLI-0335</t>
        </is>
      </c>
      <c r="B337" t="inlineStr">
        <is>
          <t>Verónica Franco Zapata</t>
        </is>
      </c>
      <c r="C337" t="inlineStr">
        <is>
          <t>3003867536</t>
        </is>
      </c>
      <c r="D337" t="inlineStr">
        <is>
          <t>veronica.franco35@outlook.com</t>
        </is>
      </c>
      <c r="E337" t="inlineStr">
        <is>
          <t>Rionegro</t>
        </is>
      </c>
      <c r="F337" t="inlineStr">
        <is>
          <t>PRY-004</t>
        </is>
      </c>
      <c r="G337" t="inlineStr">
        <is>
          <t>Portal Web</t>
        </is>
      </c>
      <c r="H337" t="inlineStr">
        <is>
          <t>Sofía Prada</t>
        </is>
      </c>
      <c r="I337" t="inlineStr">
        <is>
          <t>Perdido</t>
        </is>
      </c>
      <c r="J337" s="28" t="n">
        <v>45392</v>
      </c>
      <c r="K337" s="28" t="n">
        <v>45417</v>
      </c>
      <c r="L337" t="inlineStr">
        <is>
          <t>Sin respuesta tras 3 contactos</t>
        </is>
      </c>
    </row>
    <row r="338" ht="15.75" customHeight="1" s="25">
      <c r="A338" t="inlineStr">
        <is>
          <t>CLI-0336</t>
        </is>
      </c>
      <c r="B338" t="inlineStr">
        <is>
          <t>Isabel Montes Montes</t>
        </is>
      </c>
      <c r="C338" t="inlineStr">
        <is>
          <t>3232198207</t>
        </is>
      </c>
      <c r="D338" t="inlineStr">
        <is>
          <t>isabel.montes93@hotmail.com</t>
        </is>
      </c>
      <c r="E338" t="inlineStr">
        <is>
          <t>Sabaneta</t>
        </is>
      </c>
      <c r="F338" t="inlineStr">
        <is>
          <t>PRY-004</t>
        </is>
      </c>
      <c r="G338" t="inlineStr">
        <is>
          <t>Portal Web</t>
        </is>
      </c>
      <c r="H338" t="inlineStr">
        <is>
          <t>Luis Bedoya</t>
        </is>
      </c>
      <c r="I338" t="inlineStr">
        <is>
          <t>Ganado</t>
        </is>
      </c>
      <c r="J338" s="28" t="n">
        <v>45393</v>
      </c>
      <c r="K338" s="28" t="n">
        <v>45469</v>
      </c>
      <c r="L338" t="inlineStr">
        <is>
          <t>Compró Casa 31 en Altavista Park</t>
        </is>
      </c>
    </row>
    <row r="339" ht="15.75" customHeight="1" s="25">
      <c r="A339" t="inlineStr">
        <is>
          <t>CLI-0337</t>
        </is>
      </c>
      <c r="B339" t="inlineStr">
        <is>
          <t>Camila Ramírez Vásquez</t>
        </is>
      </c>
      <c r="C339" t="inlineStr">
        <is>
          <t>3043096168</t>
        </is>
      </c>
      <c r="D339" t="inlineStr">
        <is>
          <t>camila.ramirez9@gmail.com</t>
        </is>
      </c>
      <c r="E339" t="inlineStr">
        <is>
          <t>Medellín</t>
        </is>
      </c>
      <c r="F339" t="inlineStr">
        <is>
          <t>PRY-004</t>
        </is>
      </c>
      <c r="G339" t="inlineStr">
        <is>
          <t>Feria Inmobiliaria</t>
        </is>
      </c>
      <c r="H339" t="inlineStr">
        <is>
          <t>Andrés Torres</t>
        </is>
      </c>
      <c r="I339" t="inlineStr">
        <is>
          <t>Ganado</t>
        </is>
      </c>
      <c r="J339" s="28" t="n">
        <v>45393</v>
      </c>
      <c r="K339" s="28" t="n">
        <v>45491</v>
      </c>
      <c r="L339" t="inlineStr">
        <is>
          <t>Compró Casa 12 en Altavista Park</t>
        </is>
      </c>
    </row>
    <row r="340" ht="15.75" customHeight="1" s="25">
      <c r="A340" t="inlineStr">
        <is>
          <t>CLI-0338</t>
        </is>
      </c>
      <c r="B340" t="inlineStr">
        <is>
          <t>Juan Pablo Cifuentes Sánchez</t>
        </is>
      </c>
      <c r="C340" t="inlineStr">
        <is>
          <t>3105414934</t>
        </is>
      </c>
      <c r="D340" t="inlineStr">
        <is>
          <t>juan.cifuentes32@hotmail.com</t>
        </is>
      </c>
      <c r="E340" t="inlineStr">
        <is>
          <t>Itagüí</t>
        </is>
      </c>
      <c r="F340" t="inlineStr">
        <is>
          <t>PRY-008</t>
        </is>
      </c>
      <c r="G340" t="inlineStr">
        <is>
          <t>Referido</t>
        </is>
      </c>
      <c r="H340" t="inlineStr">
        <is>
          <t>Paula Arenas</t>
        </is>
      </c>
      <c r="I340" t="inlineStr">
        <is>
          <t>Perdido</t>
        </is>
      </c>
      <c r="J340" s="28" t="n">
        <v>45393</v>
      </c>
      <c r="K340" s="28" t="n">
        <v>45408</v>
      </c>
      <c r="L340" t="inlineStr">
        <is>
          <t>Sin respuesta tras 3 contactos</t>
        </is>
      </c>
    </row>
    <row r="341" ht="15.75" customHeight="1" s="25">
      <c r="A341" t="inlineStr">
        <is>
          <t>CLI-0339</t>
        </is>
      </c>
      <c r="B341" t="inlineStr">
        <is>
          <t>Ximena Ramírez Sánchez</t>
        </is>
      </c>
      <c r="C341" t="inlineStr">
        <is>
          <t>3235770168</t>
        </is>
      </c>
      <c r="D341" t="inlineStr">
        <is>
          <t>ximena.ramirez13@yahoo.com</t>
        </is>
      </c>
      <c r="E341" t="inlineStr">
        <is>
          <t>Itagüí</t>
        </is>
      </c>
      <c r="F341" t="inlineStr">
        <is>
          <t>PRY-004</t>
        </is>
      </c>
      <c r="G341" t="inlineStr">
        <is>
          <t>Referido</t>
        </is>
      </c>
      <c r="H341" t="inlineStr">
        <is>
          <t>Luis Bedoya</t>
        </is>
      </c>
      <c r="I341" t="inlineStr">
        <is>
          <t>Perdido</t>
        </is>
      </c>
      <c r="J341" s="28" t="n">
        <v>45393</v>
      </c>
      <c r="K341" s="28" t="n">
        <v>45399</v>
      </c>
      <c r="L341" t="inlineStr">
        <is>
          <t>Buscaba arriendo, no compra</t>
        </is>
      </c>
    </row>
    <row r="342" ht="15.75" customHeight="1" s="25">
      <c r="A342" t="inlineStr">
        <is>
          <t>CLI-0340</t>
        </is>
      </c>
      <c r="B342" t="inlineStr">
        <is>
          <t>Diana Ramírez Giraldo</t>
        </is>
      </c>
      <c r="C342" t="inlineStr">
        <is>
          <t>3001786043</t>
        </is>
      </c>
      <c r="D342" t="inlineStr">
        <is>
          <t>diana.ramirez37@outlook.com</t>
        </is>
      </c>
      <c r="E342" t="inlineStr">
        <is>
          <t>Medellín</t>
        </is>
      </c>
      <c r="F342" t="inlineStr">
        <is>
          <t>PRY-002</t>
        </is>
      </c>
      <c r="G342" t="inlineStr">
        <is>
          <t>Facebook</t>
        </is>
      </c>
      <c r="H342" t="inlineStr">
        <is>
          <t>Miguel Salazar</t>
        </is>
      </c>
      <c r="I342" t="inlineStr">
        <is>
          <t>Perdido</t>
        </is>
      </c>
      <c r="J342" s="28" t="n">
        <v>45393</v>
      </c>
      <c r="K342" s="28" t="n">
        <v>45415</v>
      </c>
      <c r="L342" t="inlineStr">
        <is>
          <t>Sin respuesta tras 3 contactos</t>
        </is>
      </c>
    </row>
    <row r="343" ht="15.75" customHeight="1" s="25">
      <c r="A343" t="inlineStr">
        <is>
          <t>CLI-0341</t>
        </is>
      </c>
      <c r="B343" t="inlineStr">
        <is>
          <t>Alejandro Higuita Vargas</t>
        </is>
      </c>
      <c r="C343" t="inlineStr">
        <is>
          <t>3012832674</t>
        </is>
      </c>
      <c r="D343" t="inlineStr">
        <is>
          <t>alejandro.higuita21@outlook.com</t>
        </is>
      </c>
      <c r="E343" t="inlineStr">
        <is>
          <t>Medellín</t>
        </is>
      </c>
      <c r="F343" t="inlineStr">
        <is>
          <t>PRY-002</t>
        </is>
      </c>
      <c r="G343" t="inlineStr">
        <is>
          <t>Feria Inmobiliaria</t>
        </is>
      </c>
      <c r="H343" t="inlineStr">
        <is>
          <t>Ana Quintero</t>
        </is>
      </c>
      <c r="I343" t="inlineStr">
        <is>
          <t>Perdido</t>
        </is>
      </c>
      <c r="J343" s="28" t="n">
        <v>45394</v>
      </c>
      <c r="K343" s="28" t="n">
        <v>45418</v>
      </c>
      <c r="L343" t="inlineStr">
        <is>
          <t>No calificó para crédito</t>
        </is>
      </c>
    </row>
    <row r="344" ht="15.75" customHeight="1" s="25">
      <c r="A344" t="inlineStr">
        <is>
          <t>CLI-0342</t>
        </is>
      </c>
      <c r="B344" t="inlineStr">
        <is>
          <t>Verónica Mejía Montoya</t>
        </is>
      </c>
      <c r="C344" t="inlineStr">
        <is>
          <t>3207958372</t>
        </is>
      </c>
      <c r="D344" t="inlineStr">
        <is>
          <t>veronica.mejia37@outlook.com</t>
        </is>
      </c>
      <c r="E344" t="inlineStr">
        <is>
          <t>Sabaneta</t>
        </is>
      </c>
      <c r="F344" t="inlineStr">
        <is>
          <t>PRY-001</t>
        </is>
      </c>
      <c r="G344" t="inlineStr">
        <is>
          <t>Instagram</t>
        </is>
      </c>
      <c r="H344" t="inlineStr">
        <is>
          <t>Paula Arenas</t>
        </is>
      </c>
      <c r="I344" t="inlineStr">
        <is>
          <t>Perdido</t>
        </is>
      </c>
      <c r="J344" s="28" t="n">
        <v>45394</v>
      </c>
      <c r="K344" s="28" t="n">
        <v>45399</v>
      </c>
      <c r="L344" t="inlineStr">
        <is>
          <t>No calificó para crédito</t>
        </is>
      </c>
    </row>
    <row r="345" ht="15.75" customHeight="1" s="25">
      <c r="A345" t="inlineStr">
        <is>
          <t>CLI-0343</t>
        </is>
      </c>
      <c r="B345" t="inlineStr">
        <is>
          <t>Sara Zuluaga Londoño</t>
        </is>
      </c>
      <c r="C345" t="inlineStr">
        <is>
          <t>3174248633</t>
        </is>
      </c>
      <c r="D345" t="inlineStr">
        <is>
          <t>sara.zuluaga96@gmail.com</t>
        </is>
      </c>
      <c r="E345" t="inlineStr">
        <is>
          <t>Medellín</t>
        </is>
      </c>
      <c r="F345" t="inlineStr">
        <is>
          <t>PRY-004</t>
        </is>
      </c>
      <c r="G345" t="inlineStr">
        <is>
          <t>Portal Web</t>
        </is>
      </c>
      <c r="H345" t="inlineStr">
        <is>
          <t>Luis Bedoya</t>
        </is>
      </c>
      <c r="I345" t="inlineStr">
        <is>
          <t>Perdido</t>
        </is>
      </c>
      <c r="J345" s="28" t="n">
        <v>45394</v>
      </c>
      <c r="K345" s="28" t="n">
        <v>45424</v>
      </c>
      <c r="L345" t="inlineStr">
        <is>
          <t>No calificó para crédito</t>
        </is>
      </c>
    </row>
    <row r="346" ht="15.75" customHeight="1" s="25">
      <c r="A346" t="inlineStr">
        <is>
          <t>CLI-0344</t>
        </is>
      </c>
      <c r="B346" t="inlineStr">
        <is>
          <t>Ximena Pérez Zapata</t>
        </is>
      </c>
      <c r="C346" t="inlineStr">
        <is>
          <t>3047347040</t>
        </is>
      </c>
      <c r="D346" t="inlineStr">
        <is>
          <t>ximena.perez80@yahoo.com</t>
        </is>
      </c>
      <c r="E346" t="inlineStr">
        <is>
          <t>Itagüí</t>
        </is>
      </c>
      <c r="F346" t="inlineStr">
        <is>
          <t>PRY-008</t>
        </is>
      </c>
      <c r="G346" t="inlineStr">
        <is>
          <t>Facebook</t>
        </is>
      </c>
      <c r="H346" t="inlineStr">
        <is>
          <t>Ana Quintero</t>
        </is>
      </c>
      <c r="I346" t="inlineStr">
        <is>
          <t>Perdido</t>
        </is>
      </c>
      <c r="J346" s="28" t="n">
        <v>45394</v>
      </c>
      <c r="K346" s="28" t="n">
        <v>45406</v>
      </c>
      <c r="L346" t="inlineStr">
        <is>
          <t>Datos de contacto errados</t>
        </is>
      </c>
    </row>
    <row r="347" ht="15.75" customHeight="1" s="25">
      <c r="A347" t="inlineStr">
        <is>
          <t>CLI-0345</t>
        </is>
      </c>
      <c r="B347" t="inlineStr">
        <is>
          <t>José Vásquez Álvarez</t>
        </is>
      </c>
      <c r="C347" t="inlineStr">
        <is>
          <t>3009631345</t>
        </is>
      </c>
      <c r="D347" t="inlineStr">
        <is>
          <t>jose.vasquez54@yahoo.com</t>
        </is>
      </c>
      <c r="E347" t="inlineStr">
        <is>
          <t>Sabaneta</t>
        </is>
      </c>
      <c r="F347" t="inlineStr">
        <is>
          <t>PRY-004</t>
        </is>
      </c>
      <c r="G347" t="inlineStr">
        <is>
          <t>Referido</t>
        </is>
      </c>
      <c r="H347" t="inlineStr">
        <is>
          <t>Ana Quintero</t>
        </is>
      </c>
      <c r="I347" t="inlineStr">
        <is>
          <t>Ganado</t>
        </is>
      </c>
      <c r="J347" s="28" t="n">
        <v>45395</v>
      </c>
      <c r="K347" s="28" t="n">
        <v>45511</v>
      </c>
      <c r="L347" t="inlineStr">
        <is>
          <t>Compró Casa 27 en Altavista Park</t>
        </is>
      </c>
    </row>
    <row r="348" ht="15.75" customHeight="1" s="25">
      <c r="A348" t="inlineStr">
        <is>
          <t>CLI-0346</t>
        </is>
      </c>
      <c r="B348" t="inlineStr">
        <is>
          <t>Nicolás Marín Franco</t>
        </is>
      </c>
      <c r="C348" t="inlineStr">
        <is>
          <t>3226681640</t>
        </is>
      </c>
      <c r="D348" t="inlineStr">
        <is>
          <t>nicolas.marin39@gmail.com</t>
        </is>
      </c>
      <c r="E348" t="inlineStr">
        <is>
          <t>Medellín</t>
        </is>
      </c>
      <c r="F348" t="inlineStr">
        <is>
          <t>PRY-008</t>
        </is>
      </c>
      <c r="G348" t="inlineStr">
        <is>
          <t>Facebook</t>
        </is>
      </c>
      <c r="H348" t="inlineStr">
        <is>
          <t>Santiago Muñoz</t>
        </is>
      </c>
      <c r="I348" t="inlineStr">
        <is>
          <t>Ganado</t>
        </is>
      </c>
      <c r="J348" s="28" t="n">
        <v>45395</v>
      </c>
      <c r="K348" s="28" t="n">
        <v>45487</v>
      </c>
      <c r="L348" t="inlineStr">
        <is>
          <t>Compró Casa 28 en Valle Verde Itagüí</t>
        </is>
      </c>
    </row>
    <row r="349" ht="15.75" customHeight="1" s="25">
      <c r="A349" t="inlineStr">
        <is>
          <t>CLI-0347</t>
        </is>
      </c>
      <c r="B349" t="inlineStr">
        <is>
          <t>Hernán Palacio Sánchez</t>
        </is>
      </c>
      <c r="C349" t="inlineStr">
        <is>
          <t>3232660014</t>
        </is>
      </c>
      <c r="D349" t="inlineStr">
        <is>
          <t>hernan.palacio43@gmail.com</t>
        </is>
      </c>
      <c r="E349" t="inlineStr">
        <is>
          <t>Itagüí</t>
        </is>
      </c>
      <c r="F349" t="inlineStr">
        <is>
          <t>PRY-004</t>
        </is>
      </c>
      <c r="G349" t="inlineStr">
        <is>
          <t>Portal Web</t>
        </is>
      </c>
      <c r="H349" t="inlineStr">
        <is>
          <t>Sofía Prada</t>
        </is>
      </c>
      <c r="I349" t="inlineStr">
        <is>
          <t>Perdido</t>
        </is>
      </c>
      <c r="J349" s="28" t="n">
        <v>45395</v>
      </c>
      <c r="K349" s="28" t="n">
        <v>45414</v>
      </c>
      <c r="L349" t="inlineStr">
        <is>
          <t>Sin respuesta tras 3 contactos</t>
        </is>
      </c>
    </row>
    <row r="350" ht="15.75" customHeight="1" s="25">
      <c r="A350" t="inlineStr">
        <is>
          <t>CLI-0348</t>
        </is>
      </c>
      <c r="B350" t="inlineStr">
        <is>
          <t>Esteban Restrepo López</t>
        </is>
      </c>
      <c r="C350" t="inlineStr">
        <is>
          <t>3132422101</t>
        </is>
      </c>
      <c r="D350" t="inlineStr">
        <is>
          <t>esteban.restrepo4@outlook.com</t>
        </is>
      </c>
      <c r="E350" t="inlineStr">
        <is>
          <t>Itagüí</t>
        </is>
      </c>
      <c r="F350" t="inlineStr">
        <is>
          <t>PRY-008</t>
        </is>
      </c>
      <c r="G350" t="inlineStr">
        <is>
          <t>Portal Web</t>
        </is>
      </c>
      <c r="H350" t="inlineStr">
        <is>
          <t>Sofía Prada</t>
        </is>
      </c>
      <c r="I350" t="inlineStr">
        <is>
          <t>Perdido</t>
        </is>
      </c>
      <c r="J350" s="28" t="n">
        <v>45396</v>
      </c>
      <c r="K350" s="28" t="n">
        <v>45415</v>
      </c>
      <c r="L350" t="inlineStr">
        <is>
          <t>Datos de contacto errados</t>
        </is>
      </c>
    </row>
    <row r="351" ht="15.75" customHeight="1" s="25">
      <c r="A351" t="inlineStr">
        <is>
          <t>CLI-0349</t>
        </is>
      </c>
      <c r="B351" t="inlineStr">
        <is>
          <t>Sara Escobar Ramírez</t>
        </is>
      </c>
      <c r="C351" t="inlineStr">
        <is>
          <t>3155165847</t>
        </is>
      </c>
      <c r="D351" t="inlineStr">
        <is>
          <t>sara.escobar17@gmail.com</t>
        </is>
      </c>
      <c r="E351" t="inlineStr">
        <is>
          <t>Rionegro</t>
        </is>
      </c>
      <c r="F351" t="inlineStr">
        <is>
          <t>PRY-008</t>
        </is>
      </c>
      <c r="G351" t="inlineStr">
        <is>
          <t>Portal Web</t>
        </is>
      </c>
      <c r="H351" t="inlineStr">
        <is>
          <t>Juliana Vélez</t>
        </is>
      </c>
      <c r="I351" t="inlineStr">
        <is>
          <t>Perdido</t>
        </is>
      </c>
      <c r="J351" s="28" t="n">
        <v>45396</v>
      </c>
      <c r="K351" s="28" t="n">
        <v>45419</v>
      </c>
      <c r="L351" t="inlineStr">
        <is>
          <t>Buscaba arriendo, no compra</t>
        </is>
      </c>
    </row>
    <row r="352" ht="15.75" customHeight="1" s="25">
      <c r="A352" t="inlineStr">
        <is>
          <t>CLI-0350</t>
        </is>
      </c>
      <c r="B352" t="inlineStr">
        <is>
          <t>Daniel Sánchez Giraldo</t>
        </is>
      </c>
      <c r="C352" t="inlineStr">
        <is>
          <t>3173784145</t>
        </is>
      </c>
      <c r="D352" t="inlineStr">
        <is>
          <t>daniel.sanchez29@yahoo.com</t>
        </is>
      </c>
      <c r="E352" t="inlineStr">
        <is>
          <t>Itagüí</t>
        </is>
      </c>
      <c r="F352" t="inlineStr">
        <is>
          <t>PRY-008</t>
        </is>
      </c>
      <c r="G352" t="inlineStr">
        <is>
          <t>Instagram</t>
        </is>
      </c>
      <c r="H352" t="inlineStr">
        <is>
          <t>Miguel Salazar</t>
        </is>
      </c>
      <c r="I352" t="inlineStr">
        <is>
          <t>Perdido</t>
        </is>
      </c>
      <c r="J352" s="28" t="n">
        <v>45397</v>
      </c>
      <c r="K352" s="28" t="n">
        <v>45418</v>
      </c>
      <c r="L352" t="inlineStr">
        <is>
          <t>No calificó para crédito</t>
        </is>
      </c>
    </row>
    <row r="353" ht="15.75" customHeight="1" s="25">
      <c r="A353" t="inlineStr">
        <is>
          <t>CLI-0351</t>
        </is>
      </c>
      <c r="B353" t="inlineStr">
        <is>
          <t>Carlos Castaño Franco</t>
        </is>
      </c>
      <c r="C353" t="inlineStr">
        <is>
          <t>3203264947</t>
        </is>
      </c>
      <c r="D353" t="inlineStr">
        <is>
          <t>carlos.castano61@outlook.com</t>
        </is>
      </c>
      <c r="E353" t="inlineStr">
        <is>
          <t>Medellín</t>
        </is>
      </c>
      <c r="F353" t="inlineStr">
        <is>
          <t>PRY-004</t>
        </is>
      </c>
      <c r="G353" t="inlineStr">
        <is>
          <t>Llamada directa</t>
        </is>
      </c>
      <c r="H353" t="inlineStr">
        <is>
          <t>Luis Bedoya</t>
        </is>
      </c>
      <c r="I353" t="inlineStr">
        <is>
          <t>Perdido</t>
        </is>
      </c>
      <c r="J353" s="28" t="n">
        <v>45397</v>
      </c>
      <c r="K353" s="28" t="n">
        <v>45411</v>
      </c>
      <c r="L353" t="inlineStr">
        <is>
          <t>Presupuesto insuficiente</t>
        </is>
      </c>
    </row>
    <row r="354" ht="15.75" customHeight="1" s="25">
      <c r="A354" t="inlineStr">
        <is>
          <t>CLI-0352</t>
        </is>
      </c>
      <c r="B354" t="inlineStr">
        <is>
          <t>Lorena Montoya Quintero</t>
        </is>
      </c>
      <c r="C354" t="inlineStr">
        <is>
          <t>3222250742</t>
        </is>
      </c>
      <c r="D354" t="inlineStr">
        <is>
          <t>lorena.montoya66@outlook.com</t>
        </is>
      </c>
      <c r="E354" t="inlineStr">
        <is>
          <t>Bello</t>
        </is>
      </c>
      <c r="F354" t="inlineStr">
        <is>
          <t>PRY-001</t>
        </is>
      </c>
      <c r="G354" t="inlineStr">
        <is>
          <t>Instagram</t>
        </is>
      </c>
      <c r="H354" t="inlineStr">
        <is>
          <t>Paula Arenas</t>
        </is>
      </c>
      <c r="I354" t="inlineStr">
        <is>
          <t>Perdido</t>
        </is>
      </c>
      <c r="J354" s="28" t="n">
        <v>45397</v>
      </c>
      <c r="K354" s="28" t="n">
        <v>45419</v>
      </c>
      <c r="L354" t="inlineStr">
        <is>
          <t>Sin respuesta tras 3 contactos</t>
        </is>
      </c>
    </row>
    <row r="355" ht="15.75" customHeight="1" s="25">
      <c r="A355" t="inlineStr">
        <is>
          <t>CLI-0353</t>
        </is>
      </c>
      <c r="B355" t="inlineStr">
        <is>
          <t>Nicolás Valencia Giraldo</t>
        </is>
      </c>
      <c r="C355" t="inlineStr">
        <is>
          <t>3174316470</t>
        </is>
      </c>
      <c r="D355" t="inlineStr">
        <is>
          <t>nicolas.valencia61@hotmail.com</t>
        </is>
      </c>
      <c r="E355" t="inlineStr">
        <is>
          <t>Rionegro</t>
        </is>
      </c>
      <c r="F355" t="inlineStr">
        <is>
          <t>PRY-005</t>
        </is>
      </c>
      <c r="G355" t="inlineStr">
        <is>
          <t>Referido</t>
        </is>
      </c>
      <c r="H355" t="inlineStr">
        <is>
          <t>Miguel Salazar</t>
        </is>
      </c>
      <c r="I355" t="inlineStr">
        <is>
          <t>Ganado</t>
        </is>
      </c>
      <c r="J355" s="28" t="n">
        <v>45398</v>
      </c>
      <c r="K355" s="28" t="n">
        <v>45503</v>
      </c>
      <c r="L355" t="inlineStr">
        <is>
          <t>Compró Casa 48 en Ciudadela Rionegro</t>
        </is>
      </c>
    </row>
    <row r="356" ht="15.75" customHeight="1" s="25">
      <c r="A356" t="inlineStr">
        <is>
          <t>CLI-0354</t>
        </is>
      </c>
      <c r="B356" t="inlineStr">
        <is>
          <t>Andrés Jaramillo Echeverri</t>
        </is>
      </c>
      <c r="C356" t="inlineStr">
        <is>
          <t>3206074170</t>
        </is>
      </c>
      <c r="D356" t="inlineStr">
        <is>
          <t>andres.jaramillo54@outlook.com</t>
        </is>
      </c>
      <c r="E356" t="inlineStr">
        <is>
          <t>Medellín</t>
        </is>
      </c>
      <c r="F356" t="inlineStr">
        <is>
          <t>PRY-004</t>
        </is>
      </c>
      <c r="G356" t="inlineStr">
        <is>
          <t>Feria Inmobiliaria</t>
        </is>
      </c>
      <c r="H356" t="inlineStr">
        <is>
          <t>Miguel Salazar</t>
        </is>
      </c>
      <c r="I356" t="inlineStr">
        <is>
          <t>Ganado</t>
        </is>
      </c>
      <c r="J356" s="28" t="n">
        <v>45398</v>
      </c>
      <c r="K356" s="28" t="n">
        <v>45540</v>
      </c>
      <c r="L356" t="inlineStr">
        <is>
          <t>Compró Casa 70 en Altavista Park</t>
        </is>
      </c>
    </row>
    <row r="357" ht="15.75" customHeight="1" s="25">
      <c r="A357" t="inlineStr">
        <is>
          <t>CLI-0355</t>
        </is>
      </c>
      <c r="B357" t="inlineStr">
        <is>
          <t>Fernando Echeverri Salazar</t>
        </is>
      </c>
      <c r="C357" t="inlineStr">
        <is>
          <t>3205208166</t>
        </is>
      </c>
      <c r="D357" t="inlineStr">
        <is>
          <t>fernando.echeverri12@yahoo.com</t>
        </is>
      </c>
      <c r="E357" t="inlineStr">
        <is>
          <t>Medellín</t>
        </is>
      </c>
      <c r="F357" t="inlineStr">
        <is>
          <t>PRY-003</t>
        </is>
      </c>
      <c r="G357" t="inlineStr">
        <is>
          <t>Portal Web</t>
        </is>
      </c>
      <c r="H357" t="inlineStr">
        <is>
          <t>Santiago Muñoz</t>
        </is>
      </c>
      <c r="I357" t="inlineStr">
        <is>
          <t>Ganado</t>
        </is>
      </c>
      <c r="J357" s="28" t="n">
        <v>45398</v>
      </c>
      <c r="K357" s="28" t="n">
        <v>45523</v>
      </c>
      <c r="L357" t="inlineStr">
        <is>
          <t>Compró Apto 1106 en Conecta Laureles</t>
        </is>
      </c>
    </row>
    <row r="358" ht="15.75" customHeight="1" s="25">
      <c r="A358" t="inlineStr">
        <is>
          <t>CLI-0356</t>
        </is>
      </c>
      <c r="B358" t="inlineStr">
        <is>
          <t>Jorge Valencia Henao</t>
        </is>
      </c>
      <c r="C358" t="inlineStr">
        <is>
          <t>3047935314</t>
        </is>
      </c>
      <c r="D358" t="inlineStr">
        <is>
          <t>jorge.valencia56@hotmail.com</t>
        </is>
      </c>
      <c r="E358" t="inlineStr">
        <is>
          <t>Rionegro</t>
        </is>
      </c>
      <c r="F358" t="inlineStr">
        <is>
          <t>PRY-002</t>
        </is>
      </c>
      <c r="G358" t="inlineStr">
        <is>
          <t>Portal Web</t>
        </is>
      </c>
      <c r="H358" t="inlineStr">
        <is>
          <t>Luis Bedoya</t>
        </is>
      </c>
      <c r="I358" t="inlineStr">
        <is>
          <t>Perdido</t>
        </is>
      </c>
      <c r="J358" s="28" t="n">
        <v>45398</v>
      </c>
      <c r="K358" s="28" t="n">
        <v>45409</v>
      </c>
      <c r="L358" t="inlineStr">
        <is>
          <t>No calificó para crédito</t>
        </is>
      </c>
    </row>
    <row r="359" ht="15.75" customHeight="1" s="25">
      <c r="A359" t="inlineStr">
        <is>
          <t>CLI-0357</t>
        </is>
      </c>
      <c r="B359" t="inlineStr">
        <is>
          <t>Iván Duque Duque</t>
        </is>
      </c>
      <c r="C359" t="inlineStr">
        <is>
          <t>3157489629</t>
        </is>
      </c>
      <c r="D359" t="inlineStr">
        <is>
          <t>ivan.duque45@gmail.com</t>
        </is>
      </c>
      <c r="E359" t="inlineStr">
        <is>
          <t>Rionegro</t>
        </is>
      </c>
      <c r="F359" t="inlineStr">
        <is>
          <t>PRY-008</t>
        </is>
      </c>
      <c r="G359" t="inlineStr">
        <is>
          <t>Portal Web</t>
        </is>
      </c>
      <c r="H359" t="inlineStr">
        <is>
          <t>Paula Arenas</t>
        </is>
      </c>
      <c r="I359" t="inlineStr">
        <is>
          <t>Perdido</t>
        </is>
      </c>
      <c r="J359" s="28" t="n">
        <v>45399</v>
      </c>
      <c r="K359" s="28" t="n">
        <v>45407</v>
      </c>
      <c r="L359" t="inlineStr">
        <is>
          <t>No calificó para crédito</t>
        </is>
      </c>
    </row>
    <row r="360" ht="15.75" customHeight="1" s="25">
      <c r="A360" t="inlineStr">
        <is>
          <t>CLI-0358</t>
        </is>
      </c>
      <c r="B360" t="inlineStr">
        <is>
          <t>Ricardo Bedoya Peláez</t>
        </is>
      </c>
      <c r="C360" t="inlineStr">
        <is>
          <t>3242510215</t>
        </is>
      </c>
      <c r="D360" t="inlineStr">
        <is>
          <t>ricardo.bedoya69@outlook.com</t>
        </is>
      </c>
      <c r="E360" t="inlineStr">
        <is>
          <t>Rionegro</t>
        </is>
      </c>
      <c r="F360" t="inlineStr">
        <is>
          <t>PRY-005</t>
        </is>
      </c>
      <c r="G360" t="inlineStr">
        <is>
          <t>Llamada directa</t>
        </is>
      </c>
      <c r="H360" t="inlineStr">
        <is>
          <t>Sofía Prada</t>
        </is>
      </c>
      <c r="I360" t="inlineStr">
        <is>
          <t>Ganado</t>
        </is>
      </c>
      <c r="J360" s="28" t="n">
        <v>45400</v>
      </c>
      <c r="K360" s="28" t="n">
        <v>45497</v>
      </c>
      <c r="L360" t="inlineStr">
        <is>
          <t>Compró Casa 8 en Ciudadela Rionegro</t>
        </is>
      </c>
    </row>
    <row r="361" ht="15.75" customHeight="1" s="25">
      <c r="A361" t="inlineStr">
        <is>
          <t>CLI-0359</t>
        </is>
      </c>
      <c r="B361" t="inlineStr">
        <is>
          <t>Mateo Valencia Salcedo</t>
        </is>
      </c>
      <c r="C361" t="inlineStr">
        <is>
          <t>3234775466</t>
        </is>
      </c>
      <c r="D361" t="inlineStr">
        <is>
          <t>mateo.valencia66@gmail.com</t>
        </is>
      </c>
      <c r="E361" t="inlineStr">
        <is>
          <t>Rionegro</t>
        </is>
      </c>
      <c r="F361" t="inlineStr">
        <is>
          <t>PRY-005</t>
        </is>
      </c>
      <c r="G361" t="inlineStr">
        <is>
          <t>Facebook</t>
        </is>
      </c>
      <c r="H361" t="inlineStr">
        <is>
          <t>Ana Quintero</t>
        </is>
      </c>
      <c r="I361" t="inlineStr">
        <is>
          <t>Ganado</t>
        </is>
      </c>
      <c r="J361" s="28" t="n">
        <v>45400</v>
      </c>
      <c r="K361" s="28" t="n">
        <v>45513</v>
      </c>
      <c r="L361" t="inlineStr">
        <is>
          <t>Compró Apto 1008 en Ciudadela Rionegro</t>
        </is>
      </c>
    </row>
    <row r="362" ht="15.75" customHeight="1" s="25">
      <c r="A362" t="inlineStr">
        <is>
          <t>CLI-0360</t>
        </is>
      </c>
      <c r="B362" t="inlineStr">
        <is>
          <t>Natalia Álvarez Cano</t>
        </is>
      </c>
      <c r="C362" t="inlineStr">
        <is>
          <t>3206280664</t>
        </is>
      </c>
      <c r="D362" t="inlineStr">
        <is>
          <t>natalia.alvarez75@gmail.com</t>
        </is>
      </c>
      <c r="E362" t="inlineStr">
        <is>
          <t>Bello</t>
        </is>
      </c>
      <c r="F362" t="inlineStr">
        <is>
          <t>PRY-004</t>
        </is>
      </c>
      <c r="G362" t="inlineStr">
        <is>
          <t>Llamada directa</t>
        </is>
      </c>
      <c r="H362" t="inlineStr">
        <is>
          <t>Ana Quintero</t>
        </is>
      </c>
      <c r="I362" t="inlineStr">
        <is>
          <t>Perdido</t>
        </is>
      </c>
      <c r="J362" s="28" t="n">
        <v>45400</v>
      </c>
      <c r="K362" s="28" t="n">
        <v>45462</v>
      </c>
      <c r="L362" t="inlineStr">
        <is>
          <t>Crédito no aprobado</t>
        </is>
      </c>
    </row>
    <row r="363" ht="15.75" customHeight="1" s="25">
      <c r="A363" t="inlineStr">
        <is>
          <t>CLI-0361</t>
        </is>
      </c>
      <c r="B363" t="inlineStr">
        <is>
          <t>Paula Gaviria Rojas</t>
        </is>
      </c>
      <c r="C363" t="inlineStr">
        <is>
          <t>3154340646</t>
        </is>
      </c>
      <c r="D363" t="inlineStr">
        <is>
          <t>paula.gaviria5@gmail.com</t>
        </is>
      </c>
      <c r="E363" t="inlineStr">
        <is>
          <t>Medellín</t>
        </is>
      </c>
      <c r="F363" t="inlineStr">
        <is>
          <t>PRY-004</t>
        </is>
      </c>
      <c r="G363" t="inlineStr">
        <is>
          <t>Llamada directa</t>
        </is>
      </c>
      <c r="H363" t="inlineStr">
        <is>
          <t>Sofía Prada</t>
        </is>
      </c>
      <c r="I363" t="inlineStr">
        <is>
          <t>Perdido</t>
        </is>
      </c>
      <c r="J363" s="28" t="n">
        <v>45400</v>
      </c>
      <c r="K363" s="28" t="n">
        <v>45424</v>
      </c>
      <c r="L363" t="inlineStr">
        <is>
          <t>Sin respuesta tras 3 contactos</t>
        </is>
      </c>
    </row>
    <row r="364" ht="15.75" customHeight="1" s="25">
      <c r="A364" t="inlineStr">
        <is>
          <t>CLI-0362</t>
        </is>
      </c>
      <c r="B364" t="inlineStr">
        <is>
          <t>Andrés Zuluaga Zuluaga</t>
        </is>
      </c>
      <c r="C364" t="inlineStr">
        <is>
          <t>3231338305</t>
        </is>
      </c>
      <c r="D364" t="inlineStr">
        <is>
          <t>andres.zuluaga23@yahoo.com</t>
        </is>
      </c>
      <c r="E364" t="inlineStr">
        <is>
          <t>Itagüí</t>
        </is>
      </c>
      <c r="F364" t="inlineStr">
        <is>
          <t>PRY-008</t>
        </is>
      </c>
      <c r="G364" t="inlineStr">
        <is>
          <t>Referido</t>
        </is>
      </c>
      <c r="H364" t="inlineStr">
        <is>
          <t>Sofía Prada</t>
        </is>
      </c>
      <c r="I364" t="inlineStr">
        <is>
          <t>Perdido</t>
        </is>
      </c>
      <c r="J364" s="28" t="n">
        <v>45401</v>
      </c>
      <c r="K364" s="28" t="n">
        <v>45465</v>
      </c>
      <c r="L364" t="inlineStr">
        <is>
          <t>No volvió a responder</t>
        </is>
      </c>
    </row>
    <row r="365" ht="15.75" customHeight="1" s="25">
      <c r="A365" t="inlineStr">
        <is>
          <t>CLI-0363</t>
        </is>
      </c>
      <c r="B365" t="inlineStr">
        <is>
          <t>Mónica Muñoz Gaviria</t>
        </is>
      </c>
      <c r="C365" t="inlineStr">
        <is>
          <t>3109058502</t>
        </is>
      </c>
      <c r="D365" t="inlineStr">
        <is>
          <t>monica.munoz24@yahoo.com</t>
        </is>
      </c>
      <c r="E365" t="inlineStr">
        <is>
          <t>Medellín</t>
        </is>
      </c>
      <c r="F365" t="inlineStr">
        <is>
          <t>PRY-001</t>
        </is>
      </c>
      <c r="G365" t="inlineStr">
        <is>
          <t>Facebook</t>
        </is>
      </c>
      <c r="H365" t="inlineStr">
        <is>
          <t>Miguel Salazar</t>
        </is>
      </c>
      <c r="I365" t="inlineStr">
        <is>
          <t>Perdido</t>
        </is>
      </c>
      <c r="J365" s="28" t="n">
        <v>45401</v>
      </c>
      <c r="K365" s="28" t="n">
        <v>45527</v>
      </c>
      <c r="L365" t="inlineStr">
        <is>
          <t>Precio fuera de presupuesto</t>
        </is>
      </c>
    </row>
    <row r="366" ht="15.75" customHeight="1" s="25">
      <c r="A366" t="inlineStr">
        <is>
          <t>CLI-0364</t>
        </is>
      </c>
      <c r="B366" t="inlineStr">
        <is>
          <t>Fernando Sánchez Castaño</t>
        </is>
      </c>
      <c r="C366" t="inlineStr">
        <is>
          <t>3206182970</t>
        </is>
      </c>
      <c r="D366" t="inlineStr">
        <is>
          <t>fernando.sanchez80@outlook.com</t>
        </is>
      </c>
      <c r="E366" t="inlineStr">
        <is>
          <t>Medellín</t>
        </is>
      </c>
      <c r="F366" t="inlineStr">
        <is>
          <t>PRY-004</t>
        </is>
      </c>
      <c r="G366" t="inlineStr">
        <is>
          <t>Instagram</t>
        </is>
      </c>
      <c r="H366" t="inlineStr">
        <is>
          <t>Luis Bedoya</t>
        </is>
      </c>
      <c r="I366" t="inlineStr">
        <is>
          <t>Perdido</t>
        </is>
      </c>
      <c r="J366" s="28" t="n">
        <v>45401</v>
      </c>
      <c r="K366" s="28" t="n">
        <v>45426</v>
      </c>
      <c r="L366" t="inlineStr">
        <is>
          <t>Sin respuesta tras 3 contactos</t>
        </is>
      </c>
    </row>
    <row r="367" ht="15.75" customHeight="1" s="25">
      <c r="A367" t="inlineStr">
        <is>
          <t>CLI-0365</t>
        </is>
      </c>
      <c r="B367" t="inlineStr">
        <is>
          <t>Julián Quintero Hernández</t>
        </is>
      </c>
      <c r="C367" t="inlineStr">
        <is>
          <t>3171981806</t>
        </is>
      </c>
      <c r="D367" t="inlineStr">
        <is>
          <t>julian.quintero7@outlook.com</t>
        </is>
      </c>
      <c r="E367" t="inlineStr">
        <is>
          <t>Sabaneta</t>
        </is>
      </c>
      <c r="F367" t="inlineStr">
        <is>
          <t>PRY-008</t>
        </is>
      </c>
      <c r="G367" t="inlineStr">
        <is>
          <t>Instagram</t>
        </is>
      </c>
      <c r="H367" t="inlineStr">
        <is>
          <t>Paula Arenas</t>
        </is>
      </c>
      <c r="I367" t="inlineStr">
        <is>
          <t>Perdido</t>
        </is>
      </c>
      <c r="J367" s="28" t="n">
        <v>45401</v>
      </c>
      <c r="K367" s="28" t="n">
        <v>45413</v>
      </c>
      <c r="L367" t="inlineStr">
        <is>
          <t>Buscaba arriendo, no compra</t>
        </is>
      </c>
    </row>
    <row r="368" ht="15.75" customHeight="1" s="25">
      <c r="A368" t="inlineStr">
        <is>
          <t>CLI-0366</t>
        </is>
      </c>
      <c r="B368" t="inlineStr">
        <is>
          <t>Juan Pablo Zapata Salazar</t>
        </is>
      </c>
      <c r="C368" t="inlineStr">
        <is>
          <t>3201584759</t>
        </is>
      </c>
      <c r="D368" t="inlineStr">
        <is>
          <t>juan.zapata32@outlook.com</t>
        </is>
      </c>
      <c r="E368" t="inlineStr">
        <is>
          <t>Bello</t>
        </is>
      </c>
      <c r="F368" t="inlineStr">
        <is>
          <t>PRY-001</t>
        </is>
      </c>
      <c r="G368" t="inlineStr">
        <is>
          <t>Feria Inmobiliaria</t>
        </is>
      </c>
      <c r="H368" t="inlineStr">
        <is>
          <t>Sofía Prada</t>
        </is>
      </c>
      <c r="I368" t="inlineStr">
        <is>
          <t>Ganado</t>
        </is>
      </c>
      <c r="J368" s="28" t="n">
        <v>45402</v>
      </c>
      <c r="K368" s="28" t="n">
        <v>45501</v>
      </c>
      <c r="L368" t="inlineStr">
        <is>
          <t>Compró Apto 903 en Torres del Poblado</t>
        </is>
      </c>
    </row>
    <row r="369" ht="15.75" customHeight="1" s="25">
      <c r="A369" t="inlineStr">
        <is>
          <t>CLI-0367</t>
        </is>
      </c>
      <c r="B369" t="inlineStr">
        <is>
          <t>Natalia Correa Jaramillo</t>
        </is>
      </c>
      <c r="C369" t="inlineStr">
        <is>
          <t>3004950016</t>
        </is>
      </c>
      <c r="D369" t="inlineStr">
        <is>
          <t>natalia.correa89@hotmail.com</t>
        </is>
      </c>
      <c r="E369" t="inlineStr">
        <is>
          <t>Medellín</t>
        </is>
      </c>
      <c r="F369" t="inlineStr">
        <is>
          <t>PRY-002</t>
        </is>
      </c>
      <c r="G369" t="inlineStr">
        <is>
          <t>Portal Web</t>
        </is>
      </c>
      <c r="H369" t="inlineStr">
        <is>
          <t>Sofía Prada</t>
        </is>
      </c>
      <c r="I369" t="inlineStr">
        <is>
          <t>Perdido</t>
        </is>
      </c>
      <c r="J369" s="28" t="n">
        <v>45402</v>
      </c>
      <c r="K369" s="28" t="n">
        <v>45423</v>
      </c>
      <c r="L369" t="inlineStr">
        <is>
          <t>No calificó para crédito</t>
        </is>
      </c>
    </row>
    <row r="370" ht="15.75" customHeight="1" s="25">
      <c r="A370" t="inlineStr">
        <is>
          <t>CLI-0368</t>
        </is>
      </c>
      <c r="B370" t="inlineStr">
        <is>
          <t>Tomás Valencia Echeverri</t>
        </is>
      </c>
      <c r="C370" t="inlineStr">
        <is>
          <t>3176331200</t>
        </is>
      </c>
      <c r="D370" t="inlineStr">
        <is>
          <t>tomas.valencia7@hotmail.com</t>
        </is>
      </c>
      <c r="E370" t="inlineStr">
        <is>
          <t>Bello</t>
        </is>
      </c>
      <c r="F370" t="inlineStr">
        <is>
          <t>PRY-001</t>
        </is>
      </c>
      <c r="G370" t="inlineStr">
        <is>
          <t>Instagram</t>
        </is>
      </c>
      <c r="H370" t="inlineStr">
        <is>
          <t>Paula Arenas</t>
        </is>
      </c>
      <c r="I370" t="inlineStr">
        <is>
          <t>Perdido</t>
        </is>
      </c>
      <c r="J370" s="28" t="n">
        <v>45402</v>
      </c>
      <c r="K370" s="28" t="n">
        <v>45409</v>
      </c>
      <c r="L370" t="inlineStr">
        <is>
          <t>No calificó para crédito</t>
        </is>
      </c>
    </row>
    <row r="371" ht="15.75" customHeight="1" s="25">
      <c r="A371" t="inlineStr">
        <is>
          <t>CLI-0369</t>
        </is>
      </c>
      <c r="B371" t="inlineStr">
        <is>
          <t>Mateo Vargas Betancur</t>
        </is>
      </c>
      <c r="C371" t="inlineStr">
        <is>
          <t>3224280100</t>
        </is>
      </c>
      <c r="D371" t="inlineStr">
        <is>
          <t>mateo.vargas45@yahoo.com</t>
        </is>
      </c>
      <c r="E371" t="inlineStr">
        <is>
          <t>Itagüí</t>
        </is>
      </c>
      <c r="F371" t="inlineStr">
        <is>
          <t>PRY-008</t>
        </is>
      </c>
      <c r="G371" t="inlineStr">
        <is>
          <t>Portal Web</t>
        </is>
      </c>
      <c r="H371" t="inlineStr">
        <is>
          <t>Santiago Muñoz</t>
        </is>
      </c>
      <c r="I371" t="inlineStr">
        <is>
          <t>Perdido</t>
        </is>
      </c>
      <c r="J371" s="28" t="n">
        <v>45402</v>
      </c>
      <c r="K371" s="28" t="n">
        <v>45421</v>
      </c>
      <c r="L371" t="inlineStr">
        <is>
          <t>Sin respuesta tras 3 contactos</t>
        </is>
      </c>
    </row>
    <row r="372" ht="15.75" customHeight="1" s="25">
      <c r="A372" t="inlineStr">
        <is>
          <t>CLI-0370</t>
        </is>
      </c>
      <c r="B372" t="inlineStr">
        <is>
          <t>Isabel Bedoya Valencia</t>
        </is>
      </c>
      <c r="C372" t="inlineStr">
        <is>
          <t>3148261636</t>
        </is>
      </c>
      <c r="D372" t="inlineStr">
        <is>
          <t>isabel.bedoya51@yahoo.com</t>
        </is>
      </c>
      <c r="E372" t="inlineStr">
        <is>
          <t>Sabaneta</t>
        </is>
      </c>
      <c r="F372" t="inlineStr">
        <is>
          <t>PRY-004</t>
        </is>
      </c>
      <c r="G372" t="inlineStr">
        <is>
          <t>Portal Web</t>
        </is>
      </c>
      <c r="H372" t="inlineStr">
        <is>
          <t>Miguel Salazar</t>
        </is>
      </c>
      <c r="I372" t="inlineStr">
        <is>
          <t>Perdido</t>
        </is>
      </c>
      <c r="J372" s="28" t="n">
        <v>45402</v>
      </c>
      <c r="K372" s="28" t="n">
        <v>45415</v>
      </c>
      <c r="L372" t="inlineStr">
        <is>
          <t>Presupuesto insuficiente</t>
        </is>
      </c>
    </row>
    <row r="373" ht="15.75" customHeight="1" s="25">
      <c r="A373" t="inlineStr">
        <is>
          <t>CLI-0371</t>
        </is>
      </c>
      <c r="B373" t="inlineStr">
        <is>
          <t>Diana Restrepo Zapata</t>
        </is>
      </c>
      <c r="C373" t="inlineStr">
        <is>
          <t>3048851456</t>
        </is>
      </c>
      <c r="D373" t="inlineStr">
        <is>
          <t>diana.restrepo15@hotmail.com</t>
        </is>
      </c>
      <c r="E373" t="inlineStr">
        <is>
          <t>La Estrella</t>
        </is>
      </c>
      <c r="F373" t="inlineStr">
        <is>
          <t>PRY-005</t>
        </is>
      </c>
      <c r="G373" t="inlineStr">
        <is>
          <t>Facebook</t>
        </is>
      </c>
      <c r="H373" t="inlineStr">
        <is>
          <t>Sofía Prada</t>
        </is>
      </c>
      <c r="I373" t="inlineStr">
        <is>
          <t>Perdido</t>
        </is>
      </c>
      <c r="J373" s="28" t="n">
        <v>45403</v>
      </c>
      <c r="K373" s="28" t="n">
        <v>45493</v>
      </c>
      <c r="L373" t="inlineStr">
        <is>
          <t>Crédito no aprobado</t>
        </is>
      </c>
    </row>
    <row r="374" ht="15.75" customHeight="1" s="25">
      <c r="A374" t="inlineStr">
        <is>
          <t>CLI-0372</t>
        </is>
      </c>
      <c r="B374" t="inlineStr">
        <is>
          <t>Valeria Bedoya Zapata</t>
        </is>
      </c>
      <c r="C374" t="inlineStr">
        <is>
          <t>3048424733</t>
        </is>
      </c>
      <c r="D374" t="inlineStr">
        <is>
          <t>valeria.bedoya47@yahoo.com</t>
        </is>
      </c>
      <c r="E374" t="inlineStr">
        <is>
          <t>Medellín</t>
        </is>
      </c>
      <c r="F374" t="inlineStr">
        <is>
          <t>PRY-003</t>
        </is>
      </c>
      <c r="G374" t="inlineStr">
        <is>
          <t>Referido</t>
        </is>
      </c>
      <c r="H374" t="inlineStr">
        <is>
          <t>Juliana Vélez</t>
        </is>
      </c>
      <c r="I374" t="inlineStr">
        <is>
          <t>Ganado</t>
        </is>
      </c>
      <c r="J374" s="28" t="n">
        <v>45403</v>
      </c>
      <c r="K374" s="28" t="n">
        <v>45496</v>
      </c>
      <c r="L374" t="inlineStr">
        <is>
          <t>Compró Apto 602 en Conecta Laureles</t>
        </is>
      </c>
    </row>
    <row r="375" ht="15.75" customHeight="1" s="25">
      <c r="A375" t="inlineStr">
        <is>
          <t>CLI-0373</t>
        </is>
      </c>
      <c r="B375" t="inlineStr">
        <is>
          <t>Laura Duque Cardona</t>
        </is>
      </c>
      <c r="C375" t="inlineStr">
        <is>
          <t>3157225778</t>
        </is>
      </c>
      <c r="D375" t="inlineStr">
        <is>
          <t>laura.duque98@outlook.com</t>
        </is>
      </c>
      <c r="E375" t="inlineStr">
        <is>
          <t>Itagüí</t>
        </is>
      </c>
      <c r="F375" t="inlineStr">
        <is>
          <t>PRY-008</t>
        </is>
      </c>
      <c r="G375" t="inlineStr">
        <is>
          <t>Facebook</t>
        </is>
      </c>
      <c r="H375" t="inlineStr">
        <is>
          <t>Santiago Muñoz</t>
        </is>
      </c>
      <c r="I375" t="inlineStr">
        <is>
          <t>Ganado</t>
        </is>
      </c>
      <c r="J375" s="28" t="n">
        <v>45403</v>
      </c>
      <c r="K375" s="28" t="n">
        <v>45501</v>
      </c>
      <c r="L375" t="inlineStr">
        <is>
          <t>Compró Casa 109 en Valle Verde Itagüí</t>
        </is>
      </c>
    </row>
    <row r="376" ht="15.75" customHeight="1" s="25">
      <c r="A376" t="inlineStr">
        <is>
          <t>CLI-0374</t>
        </is>
      </c>
      <c r="B376" t="inlineStr">
        <is>
          <t>Verónica Giraldo Vélez</t>
        </is>
      </c>
      <c r="C376" t="inlineStr">
        <is>
          <t>3156300686</t>
        </is>
      </c>
      <c r="D376" t="inlineStr">
        <is>
          <t>veronica.giraldo81@hotmail.com</t>
        </is>
      </c>
      <c r="E376" t="inlineStr">
        <is>
          <t>Medellín</t>
        </is>
      </c>
      <c r="F376" t="inlineStr">
        <is>
          <t>PRY-003</t>
        </is>
      </c>
      <c r="G376" t="inlineStr">
        <is>
          <t>Portal Web</t>
        </is>
      </c>
      <c r="H376" t="inlineStr">
        <is>
          <t>Juliana Vélez</t>
        </is>
      </c>
      <c r="I376" t="inlineStr">
        <is>
          <t>Perdido</t>
        </is>
      </c>
      <c r="J376" s="28" t="n">
        <v>45404</v>
      </c>
      <c r="K376" s="28" t="n">
        <v>45461</v>
      </c>
      <c r="L376" t="inlineStr">
        <is>
          <t>Crédito no aprobado</t>
        </is>
      </c>
    </row>
    <row r="377" ht="15.75" customHeight="1" s="25">
      <c r="A377" t="inlineStr">
        <is>
          <t>CLI-0375</t>
        </is>
      </c>
      <c r="B377" t="inlineStr">
        <is>
          <t>Carlos Restrepo Toro</t>
        </is>
      </c>
      <c r="C377" t="inlineStr">
        <is>
          <t>3149066927</t>
        </is>
      </c>
      <c r="D377" t="inlineStr">
        <is>
          <t>carlos.restrepo74@gmail.com</t>
        </is>
      </c>
      <c r="E377" t="inlineStr">
        <is>
          <t>Medellín</t>
        </is>
      </c>
      <c r="F377" t="inlineStr">
        <is>
          <t>PRY-003</t>
        </is>
      </c>
      <c r="G377" t="inlineStr">
        <is>
          <t>Llamada directa</t>
        </is>
      </c>
      <c r="H377" t="inlineStr">
        <is>
          <t>Luis Bedoya</t>
        </is>
      </c>
      <c r="I377" t="inlineStr">
        <is>
          <t>Ganado</t>
        </is>
      </c>
      <c r="J377" s="28" t="n">
        <v>45404</v>
      </c>
      <c r="K377" s="28" t="n">
        <v>45513</v>
      </c>
      <c r="L377" t="inlineStr">
        <is>
          <t>Compró Apto 1907 en Conecta Laureles</t>
        </is>
      </c>
    </row>
    <row r="378" ht="15.75" customHeight="1" s="25">
      <c r="A378" t="inlineStr">
        <is>
          <t>CLI-0376</t>
        </is>
      </c>
      <c r="B378" t="inlineStr">
        <is>
          <t>Ximena Zapata Bedoya</t>
        </is>
      </c>
      <c r="C378" t="inlineStr">
        <is>
          <t>3106020938</t>
        </is>
      </c>
      <c r="D378" t="inlineStr">
        <is>
          <t>ximena.zapata34@hotmail.com</t>
        </is>
      </c>
      <c r="E378" t="inlineStr">
        <is>
          <t>Medellín</t>
        </is>
      </c>
      <c r="F378" t="inlineStr">
        <is>
          <t>PRY-004</t>
        </is>
      </c>
      <c r="G378" t="inlineStr">
        <is>
          <t>Facebook</t>
        </is>
      </c>
      <c r="H378" t="inlineStr">
        <is>
          <t>Andrés Torres</t>
        </is>
      </c>
      <c r="I378" t="inlineStr">
        <is>
          <t>Perdido</t>
        </is>
      </c>
      <c r="J378" s="28" t="n">
        <v>45404</v>
      </c>
      <c r="K378" s="28" t="n">
        <v>45431</v>
      </c>
      <c r="L378" t="inlineStr">
        <is>
          <t>Sin respuesta tras 3 contactos</t>
        </is>
      </c>
    </row>
    <row r="379" ht="15.75" customHeight="1" s="25">
      <c r="A379" t="inlineStr">
        <is>
          <t>CLI-0377</t>
        </is>
      </c>
      <c r="B379" t="inlineStr">
        <is>
          <t>Daniela Agudelo Escobar</t>
        </is>
      </c>
      <c r="C379" t="inlineStr">
        <is>
          <t>3225917005</t>
        </is>
      </c>
      <c r="D379" t="inlineStr">
        <is>
          <t>daniela.agudelo36@yahoo.com</t>
        </is>
      </c>
      <c r="E379" t="inlineStr">
        <is>
          <t>Medellín</t>
        </is>
      </c>
      <c r="F379" t="inlineStr">
        <is>
          <t>PRY-004</t>
        </is>
      </c>
      <c r="G379" t="inlineStr">
        <is>
          <t>Facebook</t>
        </is>
      </c>
      <c r="H379" t="inlineStr">
        <is>
          <t>Miguel Salazar</t>
        </is>
      </c>
      <c r="I379" t="inlineStr">
        <is>
          <t>Perdido</t>
        </is>
      </c>
      <c r="J379" s="28" t="n">
        <v>45404</v>
      </c>
      <c r="K379" s="28" t="n">
        <v>45414</v>
      </c>
      <c r="L379" t="inlineStr">
        <is>
          <t>No calificó para crédito</t>
        </is>
      </c>
    </row>
    <row r="380" ht="15.75" customHeight="1" s="25">
      <c r="A380" t="inlineStr">
        <is>
          <t>CLI-0378</t>
        </is>
      </c>
      <c r="B380" t="inlineStr">
        <is>
          <t>Carolina Valencia Castaño</t>
        </is>
      </c>
      <c r="C380" t="inlineStr">
        <is>
          <t>3205773546</t>
        </is>
      </c>
      <c r="D380" t="inlineStr">
        <is>
          <t>carolina.valencia49@yahoo.com</t>
        </is>
      </c>
      <c r="E380" t="inlineStr">
        <is>
          <t>Medellín</t>
        </is>
      </c>
      <c r="F380" t="inlineStr">
        <is>
          <t>PRY-001</t>
        </is>
      </c>
      <c r="G380" t="inlineStr">
        <is>
          <t>Instagram</t>
        </is>
      </c>
      <c r="H380" t="inlineStr">
        <is>
          <t>Ana Quintero</t>
        </is>
      </c>
      <c r="I380" t="inlineStr">
        <is>
          <t>Perdido</t>
        </is>
      </c>
      <c r="J380" s="28" t="n">
        <v>45404</v>
      </c>
      <c r="K380" s="28" t="n">
        <v>45434</v>
      </c>
      <c r="L380" t="inlineStr">
        <is>
          <t>Sin respuesta tras 3 contactos</t>
        </is>
      </c>
    </row>
    <row r="381" ht="15.75" customHeight="1" s="25">
      <c r="A381" t="inlineStr">
        <is>
          <t>CLI-0379</t>
        </is>
      </c>
      <c r="B381" t="inlineStr">
        <is>
          <t>Ximena Valencia Ramírez</t>
        </is>
      </c>
      <c r="C381" t="inlineStr">
        <is>
          <t>3147083860</t>
        </is>
      </c>
      <c r="D381" t="inlineStr">
        <is>
          <t>ximena.valencia7@yahoo.com</t>
        </is>
      </c>
      <c r="E381" t="inlineStr">
        <is>
          <t>Itagüí</t>
        </is>
      </c>
      <c r="F381" t="inlineStr">
        <is>
          <t>PRY-008</t>
        </is>
      </c>
      <c r="G381" t="inlineStr">
        <is>
          <t>Facebook</t>
        </is>
      </c>
      <c r="H381" t="inlineStr">
        <is>
          <t>Luis Bedoya</t>
        </is>
      </c>
      <c r="I381" t="inlineStr">
        <is>
          <t>Ganado</t>
        </is>
      </c>
      <c r="J381" s="28" t="n">
        <v>45405</v>
      </c>
      <c r="K381" s="28" t="n">
        <v>45504</v>
      </c>
      <c r="L381" t="inlineStr">
        <is>
          <t>Compró Casa 71 en Valle Verde Itagüí</t>
        </is>
      </c>
    </row>
    <row r="382" ht="15.75" customHeight="1" s="25">
      <c r="A382" t="inlineStr">
        <is>
          <t>CLI-0380</t>
        </is>
      </c>
      <c r="B382" t="inlineStr">
        <is>
          <t>Verónica Marín Restrepo</t>
        </is>
      </c>
      <c r="C382" t="inlineStr">
        <is>
          <t>3231712479</t>
        </is>
      </c>
      <c r="D382" t="inlineStr">
        <is>
          <t>veronica.marin28@yahoo.com</t>
        </is>
      </c>
      <c r="E382" t="inlineStr">
        <is>
          <t>Bello</t>
        </is>
      </c>
      <c r="F382" t="inlineStr">
        <is>
          <t>PRY-002</t>
        </is>
      </c>
      <c r="G382" t="inlineStr">
        <is>
          <t>Referido</t>
        </is>
      </c>
      <c r="H382" t="inlineStr">
        <is>
          <t>Santiago Muñoz</t>
        </is>
      </c>
      <c r="I382" t="inlineStr">
        <is>
          <t>Perdido</t>
        </is>
      </c>
      <c r="J382" s="28" t="n">
        <v>45405</v>
      </c>
      <c r="K382" s="28" t="n">
        <v>45413</v>
      </c>
      <c r="L382" t="inlineStr">
        <is>
          <t>Sin respuesta tras 3 contactos</t>
        </is>
      </c>
    </row>
    <row r="383" ht="15.75" customHeight="1" s="25">
      <c r="A383" t="inlineStr">
        <is>
          <t>CLI-0381</t>
        </is>
      </c>
      <c r="B383" t="inlineStr">
        <is>
          <t>María Vélez Palacio</t>
        </is>
      </c>
      <c r="C383" t="inlineStr">
        <is>
          <t>3001609074</t>
        </is>
      </c>
      <c r="D383" t="inlineStr">
        <is>
          <t>maria.velez62@yahoo.com</t>
        </is>
      </c>
      <c r="E383" t="inlineStr">
        <is>
          <t>La Estrella</t>
        </is>
      </c>
      <c r="F383" t="inlineStr">
        <is>
          <t>PRY-001</t>
        </is>
      </c>
      <c r="G383" t="inlineStr">
        <is>
          <t>Instagram</t>
        </is>
      </c>
      <c r="H383" t="inlineStr">
        <is>
          <t>Miguel Salazar</t>
        </is>
      </c>
      <c r="I383" t="inlineStr">
        <is>
          <t>Perdido</t>
        </is>
      </c>
      <c r="J383" s="28" t="n">
        <v>45405</v>
      </c>
      <c r="K383" s="28" t="n">
        <v>45430</v>
      </c>
      <c r="L383" t="inlineStr">
        <is>
          <t>Buscaba arriendo, no compra</t>
        </is>
      </c>
    </row>
    <row r="384" ht="15.75" customHeight="1" s="25">
      <c r="A384" t="inlineStr">
        <is>
          <t>CLI-0382</t>
        </is>
      </c>
      <c r="B384" t="inlineStr">
        <is>
          <t>José Correa Giraldo</t>
        </is>
      </c>
      <c r="C384" t="inlineStr">
        <is>
          <t>3146402782</t>
        </is>
      </c>
      <c r="D384" t="inlineStr">
        <is>
          <t>jose.correa79@yahoo.com</t>
        </is>
      </c>
      <c r="E384" t="inlineStr">
        <is>
          <t>Medellín</t>
        </is>
      </c>
      <c r="F384" t="inlineStr">
        <is>
          <t>PRY-001</t>
        </is>
      </c>
      <c r="G384" t="inlineStr">
        <is>
          <t>Portal Web</t>
        </is>
      </c>
      <c r="H384" t="inlineStr">
        <is>
          <t>Paula Arenas</t>
        </is>
      </c>
      <c r="I384" t="inlineStr">
        <is>
          <t>Ganado</t>
        </is>
      </c>
      <c r="J384" s="28" t="n">
        <v>45406</v>
      </c>
      <c r="K384" s="28" t="n">
        <v>45517</v>
      </c>
      <c r="L384" t="inlineStr">
        <is>
          <t>Compró Apto 803 en Torres del Poblado</t>
        </is>
      </c>
    </row>
    <row r="385" ht="15.75" customHeight="1" s="25">
      <c r="A385" t="inlineStr">
        <is>
          <t>CLI-0383</t>
        </is>
      </c>
      <c r="B385" t="inlineStr">
        <is>
          <t>Andrés Echeverri Montoya</t>
        </is>
      </c>
      <c r="C385" t="inlineStr">
        <is>
          <t>3244202971</t>
        </is>
      </c>
      <c r="D385" t="inlineStr">
        <is>
          <t>andres.echeverri58@gmail.com</t>
        </is>
      </c>
      <c r="E385" t="inlineStr">
        <is>
          <t>Itagüí</t>
        </is>
      </c>
      <c r="F385" t="inlineStr">
        <is>
          <t>PRY-001</t>
        </is>
      </c>
      <c r="G385" t="inlineStr">
        <is>
          <t>Llamada directa</t>
        </is>
      </c>
      <c r="H385" t="inlineStr">
        <is>
          <t>Andrés Torres</t>
        </is>
      </c>
      <c r="I385" t="inlineStr">
        <is>
          <t>Perdido</t>
        </is>
      </c>
      <c r="J385" s="28" t="n">
        <v>45406</v>
      </c>
      <c r="K385" s="28" t="n">
        <v>45419</v>
      </c>
      <c r="L385" t="inlineStr">
        <is>
          <t>Buscaba arriendo, no compra</t>
        </is>
      </c>
    </row>
    <row r="386" ht="15.75" customHeight="1" s="25">
      <c r="A386" t="inlineStr">
        <is>
          <t>CLI-0384</t>
        </is>
      </c>
      <c r="B386" t="inlineStr">
        <is>
          <t>María Correa Zapata</t>
        </is>
      </c>
      <c r="C386" t="inlineStr">
        <is>
          <t>3102387676</t>
        </is>
      </c>
      <c r="D386" t="inlineStr">
        <is>
          <t>maria.correa96@outlook.com</t>
        </is>
      </c>
      <c r="E386" t="inlineStr">
        <is>
          <t>Bello</t>
        </is>
      </c>
      <c r="F386" t="inlineStr">
        <is>
          <t>PRY-003</t>
        </is>
      </c>
      <c r="G386" t="inlineStr">
        <is>
          <t>Llamada directa</t>
        </is>
      </c>
      <c r="H386" t="inlineStr">
        <is>
          <t>Andrés Torres</t>
        </is>
      </c>
      <c r="I386" t="inlineStr">
        <is>
          <t>Ganado</t>
        </is>
      </c>
      <c r="J386" s="28" t="n">
        <v>45407</v>
      </c>
      <c r="K386" s="28" t="n">
        <v>45493</v>
      </c>
      <c r="L386" t="inlineStr">
        <is>
          <t>Compró Apto 2008 en Conecta Laureles</t>
        </is>
      </c>
    </row>
    <row r="387" ht="15.75" customHeight="1" s="25">
      <c r="A387" t="inlineStr">
        <is>
          <t>CLI-0385</t>
        </is>
      </c>
      <c r="B387" t="inlineStr">
        <is>
          <t>Felipe Ramírez Escobar</t>
        </is>
      </c>
      <c r="C387" t="inlineStr">
        <is>
          <t>3108313862</t>
        </is>
      </c>
      <c r="D387" t="inlineStr">
        <is>
          <t>felipe.ramirez7@gmail.com</t>
        </is>
      </c>
      <c r="E387" t="inlineStr">
        <is>
          <t>Medellín</t>
        </is>
      </c>
      <c r="F387" t="inlineStr">
        <is>
          <t>PRY-003</t>
        </is>
      </c>
      <c r="G387" t="inlineStr">
        <is>
          <t>Referido</t>
        </is>
      </c>
      <c r="H387" t="inlineStr">
        <is>
          <t>Santiago Muñoz</t>
        </is>
      </c>
      <c r="I387" t="inlineStr">
        <is>
          <t>Ganado</t>
        </is>
      </c>
      <c r="J387" s="28" t="n">
        <v>45407</v>
      </c>
      <c r="K387" s="28" t="n">
        <v>45499</v>
      </c>
      <c r="L387" t="inlineStr">
        <is>
          <t>Compró Apto 2102 en Conecta Laureles</t>
        </is>
      </c>
    </row>
    <row r="388" ht="15.75" customHeight="1" s="25">
      <c r="A388" t="inlineStr">
        <is>
          <t>CLI-0386</t>
        </is>
      </c>
      <c r="B388" t="inlineStr">
        <is>
          <t>Natalia Marín Salazar</t>
        </is>
      </c>
      <c r="C388" t="inlineStr">
        <is>
          <t>3001253009</t>
        </is>
      </c>
      <c r="D388" t="inlineStr">
        <is>
          <t>natalia.marin34@outlook.com</t>
        </is>
      </c>
      <c r="E388" t="inlineStr">
        <is>
          <t>Medellín</t>
        </is>
      </c>
      <c r="F388" t="inlineStr">
        <is>
          <t>PRY-003</t>
        </is>
      </c>
      <c r="G388" t="inlineStr">
        <is>
          <t>Portal Web</t>
        </is>
      </c>
      <c r="H388" t="inlineStr">
        <is>
          <t>Sofía Prada</t>
        </is>
      </c>
      <c r="I388" t="inlineStr">
        <is>
          <t>Perdido</t>
        </is>
      </c>
      <c r="J388" s="28" t="n">
        <v>45407</v>
      </c>
      <c r="K388" s="28" t="n">
        <v>45435</v>
      </c>
      <c r="L388" t="inlineStr">
        <is>
          <t>Sin respuesta tras 3 contactos</t>
        </is>
      </c>
    </row>
    <row r="389" ht="15.75" customHeight="1" s="25">
      <c r="A389" t="inlineStr">
        <is>
          <t>CLI-0387</t>
        </is>
      </c>
      <c r="B389" t="inlineStr">
        <is>
          <t>Fernando Ríos Muñoz</t>
        </is>
      </c>
      <c r="C389" t="inlineStr">
        <is>
          <t>3016132279</t>
        </is>
      </c>
      <c r="D389" t="inlineStr">
        <is>
          <t>fernando.rios91@outlook.com</t>
        </is>
      </c>
      <c r="E389" t="inlineStr">
        <is>
          <t>Itagüí</t>
        </is>
      </c>
      <c r="F389" t="inlineStr">
        <is>
          <t>PRY-008</t>
        </is>
      </c>
      <c r="G389" t="inlineStr">
        <is>
          <t>Portal Web</t>
        </is>
      </c>
      <c r="H389" t="inlineStr">
        <is>
          <t>Juliana Vélez</t>
        </is>
      </c>
      <c r="I389" t="inlineStr">
        <is>
          <t>Perdido</t>
        </is>
      </c>
      <c r="J389" s="28" t="n">
        <v>45408</v>
      </c>
      <c r="K389" s="28" t="n">
        <v>45422</v>
      </c>
      <c r="L389" t="inlineStr">
        <is>
          <t>No calificó para crédito</t>
        </is>
      </c>
    </row>
    <row r="390" ht="15.75" customHeight="1" s="25">
      <c r="A390" t="inlineStr">
        <is>
          <t>CLI-0388</t>
        </is>
      </c>
      <c r="B390" t="inlineStr">
        <is>
          <t>Sandra Ríos Ramírez</t>
        </is>
      </c>
      <c r="C390" t="inlineStr">
        <is>
          <t>3226252377</t>
        </is>
      </c>
      <c r="D390" t="inlineStr">
        <is>
          <t>sandra.rios23@outlook.com</t>
        </is>
      </c>
      <c r="E390" t="inlineStr">
        <is>
          <t>Envigado</t>
        </is>
      </c>
      <c r="F390" t="inlineStr">
        <is>
          <t>PRY-003</t>
        </is>
      </c>
      <c r="G390" t="inlineStr">
        <is>
          <t>Portal Web</t>
        </is>
      </c>
      <c r="H390" t="inlineStr">
        <is>
          <t>Santiago Muñoz</t>
        </is>
      </c>
      <c r="I390" t="inlineStr">
        <is>
          <t>Perdido</t>
        </is>
      </c>
      <c r="J390" s="28" t="n">
        <v>45408</v>
      </c>
      <c r="K390" s="28" t="n">
        <v>45424</v>
      </c>
      <c r="L390" t="inlineStr">
        <is>
          <t>Sin respuesta tras 3 contactos</t>
        </is>
      </c>
    </row>
    <row r="391" ht="15.75" customHeight="1" s="25">
      <c r="A391" t="inlineStr">
        <is>
          <t>CLI-0389</t>
        </is>
      </c>
      <c r="B391" t="inlineStr">
        <is>
          <t>Ximena Montes Cano</t>
        </is>
      </c>
      <c r="C391" t="inlineStr">
        <is>
          <t>3005502082</t>
        </is>
      </c>
      <c r="D391" t="inlineStr">
        <is>
          <t>ximena.montes97@yahoo.com</t>
        </is>
      </c>
      <c r="E391" t="inlineStr">
        <is>
          <t>Medellín</t>
        </is>
      </c>
      <c r="F391" t="inlineStr">
        <is>
          <t>PRY-002</t>
        </is>
      </c>
      <c r="G391" t="inlineStr">
        <is>
          <t>Portal Web</t>
        </is>
      </c>
      <c r="H391" t="inlineStr">
        <is>
          <t>Miguel Salazar</t>
        </is>
      </c>
      <c r="I391" t="inlineStr">
        <is>
          <t>Perdido</t>
        </is>
      </c>
      <c r="J391" s="28" t="n">
        <v>45408</v>
      </c>
      <c r="K391" s="28" t="n">
        <v>45423</v>
      </c>
      <c r="L391" t="inlineStr">
        <is>
          <t>Presupuesto insuficiente</t>
        </is>
      </c>
    </row>
    <row r="392" ht="15.75" customHeight="1" s="25">
      <c r="A392" t="inlineStr">
        <is>
          <t>CLI-0390</t>
        </is>
      </c>
      <c r="B392" t="inlineStr">
        <is>
          <t>Valentina Montes Gómez</t>
        </is>
      </c>
      <c r="C392" t="inlineStr">
        <is>
          <t>3049927817</t>
        </is>
      </c>
      <c r="D392" t="inlineStr">
        <is>
          <t>valentina.montes97@outlook.com</t>
        </is>
      </c>
      <c r="E392" t="inlineStr">
        <is>
          <t>Medellín</t>
        </is>
      </c>
      <c r="F392" t="inlineStr">
        <is>
          <t>PRY-003</t>
        </is>
      </c>
      <c r="G392" t="inlineStr">
        <is>
          <t>Facebook</t>
        </is>
      </c>
      <c r="H392" t="inlineStr">
        <is>
          <t>Luis Bedoya</t>
        </is>
      </c>
      <c r="I392" t="inlineStr">
        <is>
          <t>Perdido</t>
        </is>
      </c>
      <c r="J392" s="28" t="n">
        <v>45408</v>
      </c>
      <c r="K392" s="28" t="n">
        <v>45418</v>
      </c>
      <c r="L392" t="inlineStr">
        <is>
          <t>Sin respuesta tras 3 contactos</t>
        </is>
      </c>
    </row>
    <row r="393" ht="15.75" customHeight="1" s="25">
      <c r="A393" t="inlineStr">
        <is>
          <t>CLI-0391</t>
        </is>
      </c>
      <c r="B393" t="inlineStr">
        <is>
          <t>Nicolás Uribe Espinosa</t>
        </is>
      </c>
      <c r="C393" t="inlineStr">
        <is>
          <t>3041039461</t>
        </is>
      </c>
      <c r="D393" t="inlineStr">
        <is>
          <t>nicolas.uribe47@outlook.com</t>
        </is>
      </c>
      <c r="E393" t="inlineStr">
        <is>
          <t>Medellín</t>
        </is>
      </c>
      <c r="F393" t="inlineStr">
        <is>
          <t>PRY-003</t>
        </is>
      </c>
      <c r="G393" t="inlineStr">
        <is>
          <t>Facebook</t>
        </is>
      </c>
      <c r="H393" t="inlineStr">
        <is>
          <t>Juliana Vélez</t>
        </is>
      </c>
      <c r="I393" t="inlineStr">
        <is>
          <t>Perdido</t>
        </is>
      </c>
      <c r="J393" s="28" t="n">
        <v>45409</v>
      </c>
      <c r="K393" s="28" t="n">
        <v>45416</v>
      </c>
      <c r="L393" t="inlineStr">
        <is>
          <t>Sin respuesta tras 3 contactos</t>
        </is>
      </c>
    </row>
    <row r="394" ht="15.75" customHeight="1" s="25">
      <c r="A394" t="inlineStr">
        <is>
          <t>CLI-0392</t>
        </is>
      </c>
      <c r="B394" t="inlineStr">
        <is>
          <t>Marcela Cardona Valencia</t>
        </is>
      </c>
      <c r="C394" t="inlineStr">
        <is>
          <t>3234490491</t>
        </is>
      </c>
      <c r="D394" t="inlineStr">
        <is>
          <t>marcela.cardona13@outlook.com</t>
        </is>
      </c>
      <c r="E394" t="inlineStr">
        <is>
          <t>Rionegro</t>
        </is>
      </c>
      <c r="F394" t="inlineStr">
        <is>
          <t>PRY-005</t>
        </is>
      </c>
      <c r="G394" t="inlineStr">
        <is>
          <t>Feria Inmobiliaria</t>
        </is>
      </c>
      <c r="H394" t="inlineStr">
        <is>
          <t>Luis Bedoya</t>
        </is>
      </c>
      <c r="I394" t="inlineStr">
        <is>
          <t>Ganado</t>
        </is>
      </c>
      <c r="J394" s="28" t="n">
        <v>45410</v>
      </c>
      <c r="K394" s="28" t="n">
        <v>45528</v>
      </c>
      <c r="L394" t="inlineStr">
        <is>
          <t>Compró Apto 403 en Ciudadela Rionegro</t>
        </is>
      </c>
    </row>
    <row r="395" ht="15.75" customHeight="1" s="25">
      <c r="A395" t="inlineStr">
        <is>
          <t>CLI-0393</t>
        </is>
      </c>
      <c r="B395" t="inlineStr">
        <is>
          <t>Katherine Arango Cifuentes</t>
        </is>
      </c>
      <c r="C395" t="inlineStr">
        <is>
          <t>3227251327</t>
        </is>
      </c>
      <c r="D395" t="inlineStr">
        <is>
          <t>katherine.arango76@hotmail.com</t>
        </is>
      </c>
      <c r="E395" t="inlineStr">
        <is>
          <t>Itagüí</t>
        </is>
      </c>
      <c r="F395" t="inlineStr">
        <is>
          <t>PRY-008</t>
        </is>
      </c>
      <c r="G395" t="inlineStr">
        <is>
          <t>Facebook</t>
        </is>
      </c>
      <c r="H395" t="inlineStr">
        <is>
          <t>Luis Bedoya</t>
        </is>
      </c>
      <c r="I395" t="inlineStr">
        <is>
          <t>Perdido</t>
        </is>
      </c>
      <c r="J395" s="28" t="n">
        <v>45410</v>
      </c>
      <c r="K395" s="28" t="n">
        <v>45440</v>
      </c>
      <c r="L395" t="inlineStr">
        <is>
          <t>No calificó para crédito</t>
        </is>
      </c>
    </row>
    <row r="396" ht="15.75" customHeight="1" s="25">
      <c r="A396" t="inlineStr">
        <is>
          <t>CLI-0394</t>
        </is>
      </c>
      <c r="B396" t="inlineStr">
        <is>
          <t>Daniel Sánchez Bedoya</t>
        </is>
      </c>
      <c r="C396" t="inlineStr">
        <is>
          <t>3202878364</t>
        </is>
      </c>
      <c r="D396" t="inlineStr">
        <is>
          <t>daniel.sanchez68@hotmail.com</t>
        </is>
      </c>
      <c r="E396" t="inlineStr">
        <is>
          <t>Rionegro</t>
        </is>
      </c>
      <c r="F396" t="inlineStr">
        <is>
          <t>PRY-003</t>
        </is>
      </c>
      <c r="G396" t="inlineStr">
        <is>
          <t>Portal Web</t>
        </is>
      </c>
      <c r="H396" t="inlineStr">
        <is>
          <t>Juliana Vélez</t>
        </is>
      </c>
      <c r="I396" t="inlineStr">
        <is>
          <t>Perdido</t>
        </is>
      </c>
      <c r="J396" s="28" t="n">
        <v>45410</v>
      </c>
      <c r="K396" s="28" t="n">
        <v>45425</v>
      </c>
      <c r="L396" t="inlineStr">
        <is>
          <t>No calificó para crédito</t>
        </is>
      </c>
    </row>
    <row r="397" ht="15.75" customHeight="1" s="25">
      <c r="A397" t="inlineStr">
        <is>
          <t>CLI-0395</t>
        </is>
      </c>
      <c r="B397" t="inlineStr">
        <is>
          <t>Patricia Espinosa Toro</t>
        </is>
      </c>
      <c r="C397" t="inlineStr">
        <is>
          <t>3006194919</t>
        </is>
      </c>
      <c r="D397" t="inlineStr">
        <is>
          <t>patricia.espinosa54@hotmail.com</t>
        </is>
      </c>
      <c r="E397" t="inlineStr">
        <is>
          <t>Medellín</t>
        </is>
      </c>
      <c r="F397" t="inlineStr">
        <is>
          <t>PRY-001</t>
        </is>
      </c>
      <c r="G397" t="inlineStr">
        <is>
          <t>Instagram</t>
        </is>
      </c>
      <c r="H397" t="inlineStr">
        <is>
          <t>Paula Arenas</t>
        </is>
      </c>
      <c r="I397" t="inlineStr">
        <is>
          <t>Perdido</t>
        </is>
      </c>
      <c r="J397" s="28" t="n">
        <v>45410</v>
      </c>
      <c r="K397" s="28" t="n">
        <v>45429</v>
      </c>
      <c r="L397" t="inlineStr">
        <is>
          <t>Sin respuesta tras 3 contactos</t>
        </is>
      </c>
    </row>
    <row r="398" ht="15.75" customHeight="1" s="25">
      <c r="A398" t="inlineStr">
        <is>
          <t>CLI-0396</t>
        </is>
      </c>
      <c r="B398" t="inlineStr">
        <is>
          <t>Rodrigo Cifuentes Vargas</t>
        </is>
      </c>
      <c r="C398" t="inlineStr">
        <is>
          <t>3008434606</t>
        </is>
      </c>
      <c r="D398" t="inlineStr">
        <is>
          <t>rodrigo.cifuentes73@hotmail.com</t>
        </is>
      </c>
      <c r="E398" t="inlineStr">
        <is>
          <t>Rionegro</t>
        </is>
      </c>
      <c r="F398" t="inlineStr">
        <is>
          <t>PRY-001</t>
        </is>
      </c>
      <c r="G398" t="inlineStr">
        <is>
          <t>Feria Inmobiliaria</t>
        </is>
      </c>
      <c r="H398" t="inlineStr">
        <is>
          <t>Andrés Torres</t>
        </is>
      </c>
      <c r="I398" t="inlineStr">
        <is>
          <t>Ganado</t>
        </is>
      </c>
      <c r="J398" s="28" t="n">
        <v>45411</v>
      </c>
      <c r="K398" s="28" t="n">
        <v>45556</v>
      </c>
      <c r="L398" t="inlineStr">
        <is>
          <t>Compró Apto 1603 en Torres del Poblado</t>
        </is>
      </c>
    </row>
    <row r="399" ht="15.75" customHeight="1" s="25">
      <c r="A399" t="inlineStr">
        <is>
          <t>CLI-0397</t>
        </is>
      </c>
      <c r="B399" t="inlineStr">
        <is>
          <t>David Valencia Peláez</t>
        </is>
      </c>
      <c r="C399" t="inlineStr">
        <is>
          <t>3225546051</t>
        </is>
      </c>
      <c r="D399" t="inlineStr">
        <is>
          <t>david.valencia53@outlook.com</t>
        </is>
      </c>
      <c r="E399" t="inlineStr">
        <is>
          <t>Sabaneta</t>
        </is>
      </c>
      <c r="F399" t="inlineStr">
        <is>
          <t>PRY-001</t>
        </is>
      </c>
      <c r="G399" t="inlineStr">
        <is>
          <t>Portal Web</t>
        </is>
      </c>
      <c r="H399" t="inlineStr">
        <is>
          <t>Sofía Prada</t>
        </is>
      </c>
      <c r="I399" t="inlineStr">
        <is>
          <t>Ganado</t>
        </is>
      </c>
      <c r="J399" s="28" t="n">
        <v>45411</v>
      </c>
      <c r="K399" s="28" t="n">
        <v>45545</v>
      </c>
      <c r="L399" t="inlineStr">
        <is>
          <t>Compró Apto 1306 en Torres del Poblado</t>
        </is>
      </c>
    </row>
    <row r="400" ht="15.75" customHeight="1" s="25">
      <c r="A400" t="inlineStr">
        <is>
          <t>CLI-0398</t>
        </is>
      </c>
      <c r="B400" t="inlineStr">
        <is>
          <t>Mónica Correa Cardona</t>
        </is>
      </c>
      <c r="C400" t="inlineStr">
        <is>
          <t>3242710738</t>
        </is>
      </c>
      <c r="D400" t="inlineStr">
        <is>
          <t>monica.correa69@outlook.com</t>
        </is>
      </c>
      <c r="E400" t="inlineStr">
        <is>
          <t>Medellín</t>
        </is>
      </c>
      <c r="F400" t="inlineStr">
        <is>
          <t>PRY-002</t>
        </is>
      </c>
      <c r="G400" t="inlineStr">
        <is>
          <t>Portal Web</t>
        </is>
      </c>
      <c r="H400" t="inlineStr">
        <is>
          <t>Ana Quintero</t>
        </is>
      </c>
      <c r="I400" t="inlineStr">
        <is>
          <t>Perdido</t>
        </is>
      </c>
      <c r="J400" s="28" t="n">
        <v>45411</v>
      </c>
      <c r="K400" s="28" t="n">
        <v>45421</v>
      </c>
      <c r="L400" t="inlineStr">
        <is>
          <t>Presupuesto insuficiente</t>
        </is>
      </c>
    </row>
    <row r="401" ht="15.75" customHeight="1" s="25">
      <c r="A401" t="inlineStr">
        <is>
          <t>CLI-0399</t>
        </is>
      </c>
      <c r="B401" t="inlineStr">
        <is>
          <t>Laura Gómez Cardona</t>
        </is>
      </c>
      <c r="C401" t="inlineStr">
        <is>
          <t>3233284023</t>
        </is>
      </c>
      <c r="D401" t="inlineStr">
        <is>
          <t>laura.gomez20@hotmail.com</t>
        </is>
      </c>
      <c r="E401" t="inlineStr">
        <is>
          <t>Medellín</t>
        </is>
      </c>
      <c r="F401" t="inlineStr">
        <is>
          <t>PRY-003</t>
        </is>
      </c>
      <c r="G401" t="inlineStr">
        <is>
          <t>Portal Web</t>
        </is>
      </c>
      <c r="H401" t="inlineStr">
        <is>
          <t>Juliana Vélez</t>
        </is>
      </c>
      <c r="I401" t="inlineStr">
        <is>
          <t>Perdido</t>
        </is>
      </c>
      <c r="J401" s="28" t="n">
        <v>45411</v>
      </c>
      <c r="K401" s="28" t="n">
        <v>45436</v>
      </c>
      <c r="L401" t="inlineStr">
        <is>
          <t>Presupuesto insuficiente</t>
        </is>
      </c>
    </row>
    <row r="402" ht="15.75" customHeight="1" s="25">
      <c r="A402" t="inlineStr">
        <is>
          <t>CLI-0400</t>
        </is>
      </c>
      <c r="B402" t="inlineStr">
        <is>
          <t>Lorena Hernández Peláez</t>
        </is>
      </c>
      <c r="C402" t="inlineStr">
        <is>
          <t>3042826144</t>
        </is>
      </c>
      <c r="D402" t="inlineStr">
        <is>
          <t>lorena.hernandez42@hotmail.com</t>
        </is>
      </c>
      <c r="E402" t="inlineStr">
        <is>
          <t>Medellín</t>
        </is>
      </c>
      <c r="F402" t="inlineStr">
        <is>
          <t>PRY-001</t>
        </is>
      </c>
      <c r="G402" t="inlineStr">
        <is>
          <t>Instagram</t>
        </is>
      </c>
      <c r="H402" t="inlineStr">
        <is>
          <t>Sofía Prada</t>
        </is>
      </c>
      <c r="I402" t="inlineStr">
        <is>
          <t>Perdido</t>
        </is>
      </c>
      <c r="J402" s="28" t="n">
        <v>45411</v>
      </c>
      <c r="K402" s="28" t="n">
        <v>45432</v>
      </c>
      <c r="L402" t="inlineStr">
        <is>
          <t>No calificó para crédito</t>
        </is>
      </c>
    </row>
    <row r="403" ht="15.75" customHeight="1" s="25">
      <c r="A403" t="inlineStr">
        <is>
          <t>CLI-0401</t>
        </is>
      </c>
      <c r="B403" t="inlineStr">
        <is>
          <t>Santiago Vargas Betancur</t>
        </is>
      </c>
      <c r="C403" t="inlineStr">
        <is>
          <t>3239044856</t>
        </is>
      </c>
      <c r="D403" t="inlineStr">
        <is>
          <t>santiago.vargas30@outlook.com</t>
        </is>
      </c>
      <c r="E403" t="inlineStr">
        <is>
          <t>La Estrella</t>
        </is>
      </c>
      <c r="F403" t="inlineStr">
        <is>
          <t>PRY-004</t>
        </is>
      </c>
      <c r="G403" t="inlineStr">
        <is>
          <t>Instagram</t>
        </is>
      </c>
      <c r="H403" t="inlineStr">
        <is>
          <t>Ana Quintero</t>
        </is>
      </c>
      <c r="I403" t="inlineStr">
        <is>
          <t>Perdido</t>
        </is>
      </c>
      <c r="J403" s="28" t="n">
        <v>45411</v>
      </c>
      <c r="K403" s="28" t="n">
        <v>45418</v>
      </c>
      <c r="L403" t="inlineStr">
        <is>
          <t>Buscaba arriendo, no compra</t>
        </is>
      </c>
    </row>
    <row r="404" ht="15.75" customHeight="1" s="25">
      <c r="A404" t="inlineStr">
        <is>
          <t>CLI-0402</t>
        </is>
      </c>
      <c r="B404" t="inlineStr">
        <is>
          <t>Jhon Zapata Cardona</t>
        </is>
      </c>
      <c r="C404" t="inlineStr">
        <is>
          <t>3206274229</t>
        </is>
      </c>
      <c r="D404" t="inlineStr">
        <is>
          <t>jhon.zapata65@hotmail.com</t>
        </is>
      </c>
      <c r="E404" t="inlineStr">
        <is>
          <t>Bello</t>
        </is>
      </c>
      <c r="F404" t="inlineStr">
        <is>
          <t>PRY-001</t>
        </is>
      </c>
      <c r="G404" t="inlineStr">
        <is>
          <t>Feria Inmobiliaria</t>
        </is>
      </c>
      <c r="H404" t="inlineStr">
        <is>
          <t>Juliana Vélez</t>
        </is>
      </c>
      <c r="I404" t="inlineStr">
        <is>
          <t>Perdido</t>
        </is>
      </c>
      <c r="J404" s="28" t="n">
        <v>45411</v>
      </c>
      <c r="K404" s="28" t="n">
        <v>45416</v>
      </c>
      <c r="L404" t="inlineStr">
        <is>
          <t>Datos de contacto errados</t>
        </is>
      </c>
    </row>
    <row r="405" ht="15.75" customHeight="1" s="25">
      <c r="A405" t="inlineStr">
        <is>
          <t>CLI-0403</t>
        </is>
      </c>
      <c r="B405" t="inlineStr">
        <is>
          <t>Verónica Gaviria Pérez</t>
        </is>
      </c>
      <c r="C405" t="inlineStr">
        <is>
          <t>3137957298</t>
        </is>
      </c>
      <c r="D405" t="inlineStr">
        <is>
          <t>veronica.gaviria11@hotmail.com</t>
        </is>
      </c>
      <c r="E405" t="inlineStr">
        <is>
          <t>Itagüí</t>
        </is>
      </c>
      <c r="F405" t="inlineStr">
        <is>
          <t>PRY-008</t>
        </is>
      </c>
      <c r="G405" t="inlineStr">
        <is>
          <t>Portal Web</t>
        </is>
      </c>
      <c r="H405" t="inlineStr">
        <is>
          <t>Sofía Prada</t>
        </is>
      </c>
      <c r="I405" t="inlineStr">
        <is>
          <t>Ganado</t>
        </is>
      </c>
      <c r="J405" s="28" t="n">
        <v>45412</v>
      </c>
      <c r="K405" s="28" t="n">
        <v>45506</v>
      </c>
      <c r="L405" t="inlineStr">
        <is>
          <t>Compró Casa 85 en Valle Verde Itagüí</t>
        </is>
      </c>
    </row>
    <row r="406" ht="15.75" customHeight="1" s="25">
      <c r="A406" t="inlineStr">
        <is>
          <t>CLI-0404</t>
        </is>
      </c>
      <c r="B406" t="inlineStr">
        <is>
          <t>Sara Muñoz Bedoya</t>
        </is>
      </c>
      <c r="C406" t="inlineStr">
        <is>
          <t>3139006407</t>
        </is>
      </c>
      <c r="D406" t="inlineStr">
        <is>
          <t>sara.munoz60@hotmail.com</t>
        </is>
      </c>
      <c r="E406" t="inlineStr">
        <is>
          <t>Rionegro</t>
        </is>
      </c>
      <c r="F406" t="inlineStr">
        <is>
          <t>PRY-005</t>
        </is>
      </c>
      <c r="G406" t="inlineStr">
        <is>
          <t>Portal Web</t>
        </is>
      </c>
      <c r="H406" t="inlineStr">
        <is>
          <t>Santiago Muñoz</t>
        </is>
      </c>
      <c r="I406" t="inlineStr">
        <is>
          <t>Ganado</t>
        </is>
      </c>
      <c r="J406" s="28" t="n">
        <v>45412</v>
      </c>
      <c r="K406" s="28" t="n">
        <v>45574</v>
      </c>
      <c r="L406" t="inlineStr">
        <is>
          <t>Compró Casa 2 en Ciudadela Rionegro</t>
        </is>
      </c>
    </row>
    <row r="407" ht="15.75" customHeight="1" s="25">
      <c r="A407" t="inlineStr">
        <is>
          <t>CLI-0405</t>
        </is>
      </c>
      <c r="B407" t="inlineStr">
        <is>
          <t>Mateo Higuita Ríos</t>
        </is>
      </c>
      <c r="C407" t="inlineStr">
        <is>
          <t>3178834339</t>
        </is>
      </c>
      <c r="D407" t="inlineStr">
        <is>
          <t>mateo.higuita25@yahoo.com</t>
        </is>
      </c>
      <c r="E407" t="inlineStr">
        <is>
          <t>Medellín</t>
        </is>
      </c>
      <c r="F407" t="inlineStr">
        <is>
          <t>PRY-004</t>
        </is>
      </c>
      <c r="G407" t="inlineStr">
        <is>
          <t>Instagram</t>
        </is>
      </c>
      <c r="H407" t="inlineStr">
        <is>
          <t>Sofía Prada</t>
        </is>
      </c>
      <c r="I407" t="inlineStr">
        <is>
          <t>Perdido</t>
        </is>
      </c>
      <c r="J407" s="28" t="n">
        <v>45412</v>
      </c>
      <c r="K407" s="28" t="n">
        <v>45428</v>
      </c>
      <c r="L407" t="inlineStr">
        <is>
          <t>No calificó para crédito</t>
        </is>
      </c>
    </row>
    <row r="408" ht="15.75" customHeight="1" s="25">
      <c r="A408" t="inlineStr">
        <is>
          <t>CLI-0406</t>
        </is>
      </c>
      <c r="B408" t="inlineStr">
        <is>
          <t>Fernando Castaño Peláez</t>
        </is>
      </c>
      <c r="C408" t="inlineStr">
        <is>
          <t>3178123273</t>
        </is>
      </c>
      <c r="D408" t="inlineStr">
        <is>
          <t>fernando.castano19@gmail.com</t>
        </is>
      </c>
      <c r="E408" t="inlineStr">
        <is>
          <t>Itagüí</t>
        </is>
      </c>
      <c r="F408" t="inlineStr">
        <is>
          <t>PRY-008</t>
        </is>
      </c>
      <c r="G408" t="inlineStr">
        <is>
          <t>Llamada directa</t>
        </is>
      </c>
      <c r="H408" t="inlineStr">
        <is>
          <t>Ana Quintero</t>
        </is>
      </c>
      <c r="I408" t="inlineStr">
        <is>
          <t>Perdido</t>
        </is>
      </c>
      <c r="J408" s="28" t="n">
        <v>45412</v>
      </c>
      <c r="K408" s="28" t="n">
        <v>45431</v>
      </c>
      <c r="L408" t="inlineStr">
        <is>
          <t>No calificó para crédito</t>
        </is>
      </c>
    </row>
    <row r="409" ht="15.75" customHeight="1" s="25">
      <c r="A409" t="inlineStr">
        <is>
          <t>CLI-0407</t>
        </is>
      </c>
      <c r="B409" t="inlineStr">
        <is>
          <t>Diana Jaramillo Marín</t>
        </is>
      </c>
      <c r="C409" t="inlineStr">
        <is>
          <t>3107387315</t>
        </is>
      </c>
      <c r="D409" t="inlineStr">
        <is>
          <t>diana.jaramillo55@yahoo.com</t>
        </is>
      </c>
      <c r="E409" t="inlineStr">
        <is>
          <t>Itagüí</t>
        </is>
      </c>
      <c r="F409" t="inlineStr">
        <is>
          <t>PRY-008</t>
        </is>
      </c>
      <c r="G409" t="inlineStr">
        <is>
          <t>Llamada directa</t>
        </is>
      </c>
      <c r="H409" t="inlineStr">
        <is>
          <t>Juliana Vélez</t>
        </is>
      </c>
      <c r="I409" t="inlineStr">
        <is>
          <t>Ganado</t>
        </is>
      </c>
      <c r="J409" s="28" t="n">
        <v>45413</v>
      </c>
      <c r="K409" s="28" t="n">
        <v>45487</v>
      </c>
      <c r="L409" t="inlineStr">
        <is>
          <t>Compró Casa 88 en Valle Verde Itagüí</t>
        </is>
      </c>
    </row>
    <row r="410" ht="15.75" customHeight="1" s="25">
      <c r="A410" t="inlineStr">
        <is>
          <t>CLI-0408</t>
        </is>
      </c>
      <c r="B410" t="inlineStr">
        <is>
          <t>Marcela Bedoya Osorio</t>
        </is>
      </c>
      <c r="C410" t="inlineStr">
        <is>
          <t>3133258411</t>
        </is>
      </c>
      <c r="D410" t="inlineStr">
        <is>
          <t>marcela.bedoya84@outlook.com</t>
        </is>
      </c>
      <c r="E410" t="inlineStr">
        <is>
          <t>La Estrella</t>
        </is>
      </c>
      <c r="F410" t="inlineStr">
        <is>
          <t>PRY-003</t>
        </is>
      </c>
      <c r="G410" t="inlineStr">
        <is>
          <t>Instagram</t>
        </is>
      </c>
      <c r="H410" t="inlineStr">
        <is>
          <t>Sofía Prada</t>
        </is>
      </c>
      <c r="I410" t="inlineStr">
        <is>
          <t>Perdido</t>
        </is>
      </c>
      <c r="J410" s="28" t="n">
        <v>45414</v>
      </c>
      <c r="K410" s="28" t="n">
        <v>45436</v>
      </c>
      <c r="L410" t="inlineStr">
        <is>
          <t>Datos de contacto errados</t>
        </is>
      </c>
    </row>
    <row r="411" ht="15.75" customHeight="1" s="25">
      <c r="A411" t="inlineStr">
        <is>
          <t>CLI-0409</t>
        </is>
      </c>
      <c r="B411" t="inlineStr">
        <is>
          <t>Diego Sánchez Cano</t>
        </is>
      </c>
      <c r="C411" t="inlineStr">
        <is>
          <t>3103560544</t>
        </is>
      </c>
      <c r="D411" t="inlineStr">
        <is>
          <t>diego.sanchez8@gmail.com</t>
        </is>
      </c>
      <c r="E411" t="inlineStr">
        <is>
          <t>Medellín</t>
        </is>
      </c>
      <c r="F411" t="inlineStr">
        <is>
          <t>PRY-002</t>
        </is>
      </c>
      <c r="G411" t="inlineStr">
        <is>
          <t>Portal Web</t>
        </is>
      </c>
      <c r="H411" t="inlineStr">
        <is>
          <t>Sofía Prada</t>
        </is>
      </c>
      <c r="I411" t="inlineStr">
        <is>
          <t>Perdido</t>
        </is>
      </c>
      <c r="J411" s="28" t="n">
        <v>45414</v>
      </c>
      <c r="K411" s="28" t="n">
        <v>45435</v>
      </c>
      <c r="L411" t="inlineStr">
        <is>
          <t>Presupuesto insuficiente</t>
        </is>
      </c>
    </row>
    <row r="412" ht="15.75" customHeight="1" s="25">
      <c r="A412" t="inlineStr">
        <is>
          <t>CLI-0410</t>
        </is>
      </c>
      <c r="B412" t="inlineStr">
        <is>
          <t>Fernando Ramírez Mejía</t>
        </is>
      </c>
      <c r="C412" t="inlineStr">
        <is>
          <t>3151101156</t>
        </is>
      </c>
      <c r="D412" t="inlineStr">
        <is>
          <t>fernando.ramirez76@outlook.com</t>
        </is>
      </c>
      <c r="E412" t="inlineStr">
        <is>
          <t>Medellín</t>
        </is>
      </c>
      <c r="F412" t="inlineStr">
        <is>
          <t>PRY-002</t>
        </is>
      </c>
      <c r="G412" t="inlineStr">
        <is>
          <t>Portal Web</t>
        </is>
      </c>
      <c r="H412" t="inlineStr">
        <is>
          <t>Ana Quintero</t>
        </is>
      </c>
      <c r="I412" t="inlineStr">
        <is>
          <t>Perdido</t>
        </is>
      </c>
      <c r="J412" s="28" t="n">
        <v>45414</v>
      </c>
      <c r="K412" s="28" t="n">
        <v>45440</v>
      </c>
      <c r="L412" t="inlineStr">
        <is>
          <t>No calificó para crédito</t>
        </is>
      </c>
    </row>
    <row r="413" ht="15.75" customHeight="1" s="25">
      <c r="A413" t="inlineStr">
        <is>
          <t>CLI-0411</t>
        </is>
      </c>
      <c r="B413" t="inlineStr">
        <is>
          <t>Esteban Vélez Montoya</t>
        </is>
      </c>
      <c r="C413" t="inlineStr">
        <is>
          <t>3207622107</t>
        </is>
      </c>
      <c r="D413" t="inlineStr">
        <is>
          <t>esteban.velez99@outlook.com</t>
        </is>
      </c>
      <c r="E413" t="inlineStr">
        <is>
          <t>Medellín</t>
        </is>
      </c>
      <c r="F413" t="inlineStr">
        <is>
          <t>PRY-002</t>
        </is>
      </c>
      <c r="G413" t="inlineStr">
        <is>
          <t>Portal Web</t>
        </is>
      </c>
      <c r="H413" t="inlineStr">
        <is>
          <t>Paula Arenas</t>
        </is>
      </c>
      <c r="I413" t="inlineStr">
        <is>
          <t>Perdido</t>
        </is>
      </c>
      <c r="J413" s="28" t="n">
        <v>45416</v>
      </c>
      <c r="K413" s="28" t="n">
        <v>45432</v>
      </c>
      <c r="L413" t="inlineStr">
        <is>
          <t>Sin respuesta tras 3 contactos</t>
        </is>
      </c>
    </row>
    <row r="414" ht="15.75" customHeight="1" s="25">
      <c r="A414" t="inlineStr">
        <is>
          <t>CLI-0412</t>
        </is>
      </c>
      <c r="B414" t="inlineStr">
        <is>
          <t>Rodrigo Vélez Higuita</t>
        </is>
      </c>
      <c r="C414" t="inlineStr">
        <is>
          <t>3136470680</t>
        </is>
      </c>
      <c r="D414" t="inlineStr">
        <is>
          <t>rodrigo.velez16@gmail.com</t>
        </is>
      </c>
      <c r="E414" t="inlineStr">
        <is>
          <t>Sabaneta</t>
        </is>
      </c>
      <c r="F414" t="inlineStr">
        <is>
          <t>PRY-002</t>
        </is>
      </c>
      <c r="G414" t="inlineStr">
        <is>
          <t>Llamada directa</t>
        </is>
      </c>
      <c r="H414" t="inlineStr">
        <is>
          <t>Sofía Prada</t>
        </is>
      </c>
      <c r="I414" t="inlineStr">
        <is>
          <t>Perdido</t>
        </is>
      </c>
      <c r="J414" s="28" t="n">
        <v>45416</v>
      </c>
      <c r="K414" s="28" t="n">
        <v>45426</v>
      </c>
      <c r="L414" t="inlineStr">
        <is>
          <t>Buscaba arriendo, no compra</t>
        </is>
      </c>
    </row>
    <row r="415" ht="15.75" customHeight="1" s="25">
      <c r="A415" t="inlineStr">
        <is>
          <t>CLI-0413</t>
        </is>
      </c>
      <c r="B415" t="inlineStr">
        <is>
          <t>Sofía Peláez Peláez</t>
        </is>
      </c>
      <c r="C415" t="inlineStr">
        <is>
          <t>3148265726</t>
        </is>
      </c>
      <c r="D415" t="inlineStr">
        <is>
          <t>sofia.pelaez78@hotmail.com</t>
        </is>
      </c>
      <c r="E415" t="inlineStr">
        <is>
          <t>Medellín</t>
        </is>
      </c>
      <c r="F415" t="inlineStr">
        <is>
          <t>PRY-002</t>
        </is>
      </c>
      <c r="G415" t="inlineStr">
        <is>
          <t>Facebook</t>
        </is>
      </c>
      <c r="H415" t="inlineStr">
        <is>
          <t>Miguel Salazar</t>
        </is>
      </c>
      <c r="I415" t="inlineStr">
        <is>
          <t>Perdido</t>
        </is>
      </c>
      <c r="J415" s="28" t="n">
        <v>45416</v>
      </c>
      <c r="K415" s="28" t="n">
        <v>45423</v>
      </c>
      <c r="L415" t="inlineStr">
        <is>
          <t>Sin respuesta tras 3 contactos</t>
        </is>
      </c>
    </row>
    <row r="416" ht="15.75" customHeight="1" s="25">
      <c r="A416" t="inlineStr">
        <is>
          <t>CLI-0414</t>
        </is>
      </c>
      <c r="B416" t="inlineStr">
        <is>
          <t>Luisa Uribe Castaño</t>
        </is>
      </c>
      <c r="C416" t="inlineStr">
        <is>
          <t>3005426567</t>
        </is>
      </c>
      <c r="D416" t="inlineStr">
        <is>
          <t>luisa.uribe90@hotmail.com</t>
        </is>
      </c>
      <c r="E416" t="inlineStr">
        <is>
          <t>Envigado</t>
        </is>
      </c>
      <c r="F416" t="inlineStr">
        <is>
          <t>PRY-003</t>
        </is>
      </c>
      <c r="G416" t="inlineStr">
        <is>
          <t>Instagram</t>
        </is>
      </c>
      <c r="H416" t="inlineStr">
        <is>
          <t>Luis Bedoya</t>
        </is>
      </c>
      <c r="I416" t="inlineStr">
        <is>
          <t>Perdido</t>
        </is>
      </c>
      <c r="J416" s="28" t="n">
        <v>45416</v>
      </c>
      <c r="K416" s="28" t="n">
        <v>45428</v>
      </c>
      <c r="L416" t="inlineStr">
        <is>
          <t>Sin respuesta tras 3 contactos</t>
        </is>
      </c>
    </row>
    <row r="417" ht="15.75" customHeight="1" s="25">
      <c r="A417" t="inlineStr">
        <is>
          <t>CLI-0415</t>
        </is>
      </c>
      <c r="B417" t="inlineStr">
        <is>
          <t>David Vargas Sánchez</t>
        </is>
      </c>
      <c r="C417" t="inlineStr">
        <is>
          <t>3107457738</t>
        </is>
      </c>
      <c r="D417" t="inlineStr">
        <is>
          <t>david.vargas12@gmail.com</t>
        </is>
      </c>
      <c r="E417" t="inlineStr">
        <is>
          <t>Medellín</t>
        </is>
      </c>
      <c r="F417" t="inlineStr">
        <is>
          <t>PRY-001</t>
        </is>
      </c>
      <c r="G417" t="inlineStr">
        <is>
          <t>Facebook</t>
        </is>
      </c>
      <c r="H417" t="inlineStr">
        <is>
          <t>Santiago Muñoz</t>
        </is>
      </c>
      <c r="I417" t="inlineStr">
        <is>
          <t>Perdido</t>
        </is>
      </c>
      <c r="J417" s="28" t="n">
        <v>45417</v>
      </c>
      <c r="K417" s="28" t="n">
        <v>45439</v>
      </c>
      <c r="L417" t="inlineStr">
        <is>
          <t>Sin respuesta tras 3 contactos</t>
        </is>
      </c>
    </row>
    <row r="418" ht="15.75" customHeight="1" s="25">
      <c r="A418" t="inlineStr">
        <is>
          <t>CLI-0416</t>
        </is>
      </c>
      <c r="B418" t="inlineStr">
        <is>
          <t>María Vélez Duque</t>
        </is>
      </c>
      <c r="C418" t="inlineStr">
        <is>
          <t>3106344690</t>
        </is>
      </c>
      <c r="D418" t="inlineStr">
        <is>
          <t>maria.velez16@gmail.com</t>
        </is>
      </c>
      <c r="E418" t="inlineStr">
        <is>
          <t>Medellín</t>
        </is>
      </c>
      <c r="F418" t="inlineStr">
        <is>
          <t>PRY-001</t>
        </is>
      </c>
      <c r="G418" t="inlineStr">
        <is>
          <t>Instagram</t>
        </is>
      </c>
      <c r="H418" t="inlineStr">
        <is>
          <t>Luis Bedoya</t>
        </is>
      </c>
      <c r="I418" t="inlineStr">
        <is>
          <t>Perdido</t>
        </is>
      </c>
      <c r="J418" s="28" t="n">
        <v>45417</v>
      </c>
      <c r="K418" s="28" t="n">
        <v>45425</v>
      </c>
      <c r="L418" t="inlineStr">
        <is>
          <t>Presupuesto insuficiente</t>
        </is>
      </c>
    </row>
    <row r="419" ht="15.75" customHeight="1" s="25">
      <c r="A419" t="inlineStr">
        <is>
          <t>CLI-0417</t>
        </is>
      </c>
      <c r="B419" t="inlineStr">
        <is>
          <t>Diana Vargas Ochoa</t>
        </is>
      </c>
      <c r="C419" t="inlineStr">
        <is>
          <t>3202059158</t>
        </is>
      </c>
      <c r="D419" t="inlineStr">
        <is>
          <t>diana.vargas61@hotmail.com</t>
        </is>
      </c>
      <c r="E419" t="inlineStr">
        <is>
          <t>Rionegro</t>
        </is>
      </c>
      <c r="F419" t="inlineStr">
        <is>
          <t>PRY-005</t>
        </is>
      </c>
      <c r="G419" t="inlineStr">
        <is>
          <t>Referido</t>
        </is>
      </c>
      <c r="H419" t="inlineStr">
        <is>
          <t>Luis Bedoya</t>
        </is>
      </c>
      <c r="I419" t="inlineStr">
        <is>
          <t>Ganado</t>
        </is>
      </c>
      <c r="J419" s="28" t="n">
        <v>45418</v>
      </c>
      <c r="K419" s="28" t="n">
        <v>45565</v>
      </c>
      <c r="L419" t="inlineStr">
        <is>
          <t>Compró Casa 35 en Ciudadela Rionegro</t>
        </is>
      </c>
    </row>
    <row r="420" ht="15.75" customHeight="1" s="25">
      <c r="A420" t="inlineStr">
        <is>
          <t>CLI-0418</t>
        </is>
      </c>
      <c r="B420" t="inlineStr">
        <is>
          <t>Jorge Marín Agudelo</t>
        </is>
      </c>
      <c r="C420" t="inlineStr">
        <is>
          <t>3143952705</t>
        </is>
      </c>
      <c r="D420" t="inlineStr">
        <is>
          <t>jorge.marin7@outlook.com</t>
        </is>
      </c>
      <c r="E420" t="inlineStr">
        <is>
          <t>Medellín</t>
        </is>
      </c>
      <c r="F420" t="inlineStr">
        <is>
          <t>PRY-001</t>
        </is>
      </c>
      <c r="G420" t="inlineStr">
        <is>
          <t>Referido</t>
        </is>
      </c>
      <c r="H420" t="inlineStr">
        <is>
          <t>Luis Bedoya</t>
        </is>
      </c>
      <c r="I420" t="inlineStr">
        <is>
          <t>Perdido</t>
        </is>
      </c>
      <c r="J420" s="28" t="n">
        <v>45418</v>
      </c>
      <c r="K420" s="28" t="n">
        <v>45440</v>
      </c>
      <c r="L420" t="inlineStr">
        <is>
          <t>Sin respuesta tras 3 contactos</t>
        </is>
      </c>
    </row>
    <row r="421" ht="15.75" customHeight="1" s="25">
      <c r="A421" t="inlineStr">
        <is>
          <t>CLI-0419</t>
        </is>
      </c>
      <c r="B421" t="inlineStr">
        <is>
          <t>Marcela Cardona Gómez</t>
        </is>
      </c>
      <c r="C421" t="inlineStr">
        <is>
          <t>3205762163</t>
        </is>
      </c>
      <c r="D421" t="inlineStr">
        <is>
          <t>marcela.cardona28@gmail.com</t>
        </is>
      </c>
      <c r="E421" t="inlineStr">
        <is>
          <t>Itagüí</t>
        </is>
      </c>
      <c r="F421" t="inlineStr">
        <is>
          <t>PRY-008</t>
        </is>
      </c>
      <c r="G421" t="inlineStr">
        <is>
          <t>Feria Inmobiliaria</t>
        </is>
      </c>
      <c r="H421" t="inlineStr">
        <is>
          <t>Santiago Muñoz</t>
        </is>
      </c>
      <c r="I421" t="inlineStr">
        <is>
          <t>Perdido</t>
        </is>
      </c>
      <c r="J421" s="28" t="n">
        <v>45418</v>
      </c>
      <c r="K421" s="28" t="n">
        <v>45434</v>
      </c>
      <c r="L421" t="inlineStr">
        <is>
          <t>No calificó para crédito</t>
        </is>
      </c>
    </row>
    <row r="422" ht="15.75" customHeight="1" s="25">
      <c r="A422" t="inlineStr">
        <is>
          <t>CLI-0420</t>
        </is>
      </c>
      <c r="B422" t="inlineStr">
        <is>
          <t>Mauricio Vásquez Escobar</t>
        </is>
      </c>
      <c r="C422" t="inlineStr">
        <is>
          <t>3202792094</t>
        </is>
      </c>
      <c r="D422" t="inlineStr">
        <is>
          <t>mauricio.vasquez21@gmail.com</t>
        </is>
      </c>
      <c r="E422" t="inlineStr">
        <is>
          <t>Sabaneta</t>
        </is>
      </c>
      <c r="F422" t="inlineStr">
        <is>
          <t>PRY-004</t>
        </is>
      </c>
      <c r="G422" t="inlineStr">
        <is>
          <t>Portal Web</t>
        </is>
      </c>
      <c r="H422" t="inlineStr">
        <is>
          <t>Paula Arenas</t>
        </is>
      </c>
      <c r="I422" t="inlineStr">
        <is>
          <t>Ganado</t>
        </is>
      </c>
      <c r="J422" s="28" t="n">
        <v>45419</v>
      </c>
      <c r="K422" s="28" t="n">
        <v>45538</v>
      </c>
      <c r="L422" t="inlineStr">
        <is>
          <t>Compró Casa 19 en Altavista Park</t>
        </is>
      </c>
    </row>
    <row r="423" ht="15.75" customHeight="1" s="25">
      <c r="A423" t="inlineStr">
        <is>
          <t>CLI-0421</t>
        </is>
      </c>
      <c r="B423" t="inlineStr">
        <is>
          <t>Mónica Vásquez Vargas</t>
        </is>
      </c>
      <c r="C423" t="inlineStr">
        <is>
          <t>3222184396</t>
        </is>
      </c>
      <c r="D423" t="inlineStr">
        <is>
          <t>monica.vasquez17@hotmail.com</t>
        </is>
      </c>
      <c r="E423" t="inlineStr">
        <is>
          <t>Envigado</t>
        </is>
      </c>
      <c r="F423" t="inlineStr">
        <is>
          <t>PRY-001</t>
        </is>
      </c>
      <c r="G423" t="inlineStr">
        <is>
          <t>Portal Web</t>
        </is>
      </c>
      <c r="H423" t="inlineStr">
        <is>
          <t>Paula Arenas</t>
        </is>
      </c>
      <c r="I423" t="inlineStr">
        <is>
          <t>Perdido</t>
        </is>
      </c>
      <c r="J423" s="28" t="n">
        <v>45419</v>
      </c>
      <c r="K423" s="28" t="n">
        <v>45425</v>
      </c>
      <c r="L423" t="inlineStr">
        <is>
          <t>No calificó para crédito</t>
        </is>
      </c>
    </row>
    <row r="424" ht="15.75" customHeight="1" s="25">
      <c r="A424" t="inlineStr">
        <is>
          <t>CLI-0422</t>
        </is>
      </c>
      <c r="B424" t="inlineStr">
        <is>
          <t>Paola Echeverri Montoya</t>
        </is>
      </c>
      <c r="C424" t="inlineStr">
        <is>
          <t>3143658125</t>
        </is>
      </c>
      <c r="D424" t="inlineStr">
        <is>
          <t>paola.echeverri31@hotmail.com</t>
        </is>
      </c>
      <c r="E424" t="inlineStr">
        <is>
          <t>Itagüí</t>
        </is>
      </c>
      <c r="F424" t="inlineStr">
        <is>
          <t>PRY-008</t>
        </is>
      </c>
      <c r="G424" t="inlineStr">
        <is>
          <t>Feria Inmobiliaria</t>
        </is>
      </c>
      <c r="H424" t="inlineStr">
        <is>
          <t>Ana Quintero</t>
        </is>
      </c>
      <c r="I424" t="inlineStr">
        <is>
          <t>Perdido</t>
        </is>
      </c>
      <c r="J424" s="28" t="n">
        <v>45420</v>
      </c>
      <c r="K424" s="28" t="n">
        <v>45481</v>
      </c>
      <c r="L424" t="inlineStr">
        <is>
          <t>Crédito no aprobado</t>
        </is>
      </c>
    </row>
    <row r="425" ht="15.75" customHeight="1" s="25">
      <c r="A425" t="inlineStr">
        <is>
          <t>CLI-0423</t>
        </is>
      </c>
      <c r="B425" t="inlineStr">
        <is>
          <t>Paula Vélez Álvarez</t>
        </is>
      </c>
      <c r="C425" t="inlineStr">
        <is>
          <t>3043593688</t>
        </is>
      </c>
      <c r="D425" t="inlineStr">
        <is>
          <t>paula.velez54@outlook.com</t>
        </is>
      </c>
      <c r="E425" t="inlineStr">
        <is>
          <t>Itagüí</t>
        </is>
      </c>
      <c r="F425" t="inlineStr">
        <is>
          <t>PRY-003</t>
        </is>
      </c>
      <c r="G425" t="inlineStr">
        <is>
          <t>Llamada directa</t>
        </is>
      </c>
      <c r="H425" t="inlineStr">
        <is>
          <t>Santiago Muñoz</t>
        </is>
      </c>
      <c r="I425" t="inlineStr">
        <is>
          <t>Ganado</t>
        </is>
      </c>
      <c r="J425" s="28" t="n">
        <v>45420</v>
      </c>
      <c r="K425" s="28" t="n">
        <v>45549</v>
      </c>
      <c r="L425" t="inlineStr">
        <is>
          <t>Compró Apto 207 en Conecta Laureles</t>
        </is>
      </c>
    </row>
    <row r="426" ht="15.75" customHeight="1" s="25">
      <c r="A426" t="inlineStr">
        <is>
          <t>CLI-0424</t>
        </is>
      </c>
      <c r="B426" t="inlineStr">
        <is>
          <t>Paula Echeverri Vargas</t>
        </is>
      </c>
      <c r="C426" t="inlineStr">
        <is>
          <t>3249385274</t>
        </is>
      </c>
      <c r="D426" t="inlineStr">
        <is>
          <t>paula.echeverri79@hotmail.com</t>
        </is>
      </c>
      <c r="E426" t="inlineStr">
        <is>
          <t>Medellín</t>
        </is>
      </c>
      <c r="F426" t="inlineStr">
        <is>
          <t>PRY-003</t>
        </is>
      </c>
      <c r="G426" t="inlineStr">
        <is>
          <t>Portal Web</t>
        </is>
      </c>
      <c r="H426" t="inlineStr">
        <is>
          <t>Miguel Salazar</t>
        </is>
      </c>
      <c r="I426" t="inlineStr">
        <is>
          <t>Perdido</t>
        </is>
      </c>
      <c r="J426" s="28" t="n">
        <v>45420</v>
      </c>
      <c r="K426" s="28" t="n">
        <v>45439</v>
      </c>
      <c r="L426" t="inlineStr">
        <is>
          <t>Sin respuesta tras 3 contactos</t>
        </is>
      </c>
    </row>
    <row r="427" ht="15.75" customHeight="1" s="25">
      <c r="A427" t="inlineStr">
        <is>
          <t>CLI-0425</t>
        </is>
      </c>
      <c r="B427" t="inlineStr">
        <is>
          <t>Luisa Valencia Jaramillo</t>
        </is>
      </c>
      <c r="C427" t="inlineStr">
        <is>
          <t>3137146406</t>
        </is>
      </c>
      <c r="D427" t="inlineStr">
        <is>
          <t>luisa.valencia88@gmail.com</t>
        </is>
      </c>
      <c r="E427" t="inlineStr">
        <is>
          <t>La Estrella</t>
        </is>
      </c>
      <c r="F427" t="inlineStr">
        <is>
          <t>PRY-002</t>
        </is>
      </c>
      <c r="G427" t="inlineStr">
        <is>
          <t>Instagram</t>
        </is>
      </c>
      <c r="H427" t="inlineStr">
        <is>
          <t>Miguel Salazar</t>
        </is>
      </c>
      <c r="I427" t="inlineStr">
        <is>
          <t>Perdido</t>
        </is>
      </c>
      <c r="J427" s="28" t="n">
        <v>45420</v>
      </c>
      <c r="K427" s="28" t="n">
        <v>45438</v>
      </c>
      <c r="L427" t="inlineStr">
        <is>
          <t>Sin respuesta tras 3 contactos</t>
        </is>
      </c>
    </row>
    <row r="428" ht="15.75" customHeight="1" s="25">
      <c r="A428" t="inlineStr">
        <is>
          <t>CLI-0426</t>
        </is>
      </c>
      <c r="B428" t="inlineStr">
        <is>
          <t>Laura Castaño Palacio</t>
        </is>
      </c>
      <c r="C428" t="inlineStr">
        <is>
          <t>3234813498</t>
        </is>
      </c>
      <c r="D428" t="inlineStr">
        <is>
          <t>laura.castano35@gmail.com</t>
        </is>
      </c>
      <c r="E428" t="inlineStr">
        <is>
          <t>Medellín</t>
        </is>
      </c>
      <c r="F428" t="inlineStr">
        <is>
          <t>PRY-003</t>
        </is>
      </c>
      <c r="G428" t="inlineStr">
        <is>
          <t>Portal Web</t>
        </is>
      </c>
      <c r="H428" t="inlineStr">
        <is>
          <t>Miguel Salazar</t>
        </is>
      </c>
      <c r="I428" t="inlineStr">
        <is>
          <t>Perdido</t>
        </is>
      </c>
      <c r="J428" s="28" t="n">
        <v>45420</v>
      </c>
      <c r="K428" s="28" t="n">
        <v>45431</v>
      </c>
      <c r="L428" t="inlineStr">
        <is>
          <t>Presupuesto insuficiente</t>
        </is>
      </c>
    </row>
    <row r="429" ht="15.75" customHeight="1" s="25">
      <c r="A429" t="inlineStr">
        <is>
          <t>CLI-0427</t>
        </is>
      </c>
      <c r="B429" t="inlineStr">
        <is>
          <t>Santiago Higuita Ramírez</t>
        </is>
      </c>
      <c r="C429" t="inlineStr">
        <is>
          <t>3237956821</t>
        </is>
      </c>
      <c r="D429" t="inlineStr">
        <is>
          <t>santiago.higuita3@outlook.com</t>
        </is>
      </c>
      <c r="E429" t="inlineStr">
        <is>
          <t>Itagüí</t>
        </is>
      </c>
      <c r="F429" t="inlineStr">
        <is>
          <t>PRY-008</t>
        </is>
      </c>
      <c r="G429" t="inlineStr">
        <is>
          <t>Instagram</t>
        </is>
      </c>
      <c r="H429" t="inlineStr">
        <is>
          <t>Luis Bedoya</t>
        </is>
      </c>
      <c r="I429" t="inlineStr">
        <is>
          <t>Perdido</t>
        </is>
      </c>
      <c r="J429" s="28" t="n">
        <v>45421</v>
      </c>
      <c r="K429" s="28" t="n">
        <v>45435</v>
      </c>
      <c r="L429" t="inlineStr">
        <is>
          <t>Sin respuesta tras 3 contactos</t>
        </is>
      </c>
    </row>
    <row r="430" ht="15.75" customHeight="1" s="25">
      <c r="A430" t="inlineStr">
        <is>
          <t>CLI-0428</t>
        </is>
      </c>
      <c r="B430" t="inlineStr">
        <is>
          <t>Simón Marín Marín</t>
        </is>
      </c>
      <c r="C430" t="inlineStr">
        <is>
          <t>3105841341</t>
        </is>
      </c>
      <c r="D430" t="inlineStr">
        <is>
          <t>simon.marin65@gmail.com</t>
        </is>
      </c>
      <c r="E430" t="inlineStr">
        <is>
          <t>Medellín</t>
        </is>
      </c>
      <c r="F430" t="inlineStr">
        <is>
          <t>PRY-003</t>
        </is>
      </c>
      <c r="G430" t="inlineStr">
        <is>
          <t>Facebook</t>
        </is>
      </c>
      <c r="H430" t="inlineStr">
        <is>
          <t>Andrés Torres</t>
        </is>
      </c>
      <c r="I430" t="inlineStr">
        <is>
          <t>Perdido</t>
        </is>
      </c>
      <c r="J430" s="28" t="n">
        <v>45421</v>
      </c>
      <c r="K430" s="28" t="n">
        <v>45433</v>
      </c>
      <c r="L430" t="inlineStr">
        <is>
          <t>Presupuesto insuficiente</t>
        </is>
      </c>
    </row>
    <row r="431" ht="15.75" customHeight="1" s="25">
      <c r="A431" t="inlineStr">
        <is>
          <t>CLI-0429</t>
        </is>
      </c>
      <c r="B431" t="inlineStr">
        <is>
          <t>Natalia Arango Zuluaga</t>
        </is>
      </c>
      <c r="C431" t="inlineStr">
        <is>
          <t>3149287455</t>
        </is>
      </c>
      <c r="D431" t="inlineStr">
        <is>
          <t>natalia.arango55@yahoo.com</t>
        </is>
      </c>
      <c r="E431" t="inlineStr">
        <is>
          <t>Medellín</t>
        </is>
      </c>
      <c r="F431" t="inlineStr">
        <is>
          <t>PRY-001</t>
        </is>
      </c>
      <c r="G431" t="inlineStr">
        <is>
          <t>Portal Web</t>
        </is>
      </c>
      <c r="H431" t="inlineStr">
        <is>
          <t>Ana Quintero</t>
        </is>
      </c>
      <c r="I431" t="inlineStr">
        <is>
          <t>Perdido</t>
        </is>
      </c>
      <c r="J431" s="28" t="n">
        <v>45421</v>
      </c>
      <c r="K431" s="28" t="n">
        <v>45431</v>
      </c>
      <c r="L431" t="inlineStr">
        <is>
          <t>No calificó para crédito</t>
        </is>
      </c>
    </row>
    <row r="432" ht="15.75" customHeight="1" s="25">
      <c r="A432" t="inlineStr">
        <is>
          <t>CLI-0430</t>
        </is>
      </c>
      <c r="B432" t="inlineStr">
        <is>
          <t>Rodrigo Uribe Montoya</t>
        </is>
      </c>
      <c r="C432" t="inlineStr">
        <is>
          <t>3224299151</t>
        </is>
      </c>
      <c r="D432" t="inlineStr">
        <is>
          <t>rodrigo.uribe83@yahoo.com</t>
        </is>
      </c>
      <c r="E432" t="inlineStr">
        <is>
          <t>Medellín</t>
        </is>
      </c>
      <c r="F432" t="inlineStr">
        <is>
          <t>PRY-002</t>
        </is>
      </c>
      <c r="G432" t="inlineStr">
        <is>
          <t>Instagram</t>
        </is>
      </c>
      <c r="H432" t="inlineStr">
        <is>
          <t>Sofía Prada</t>
        </is>
      </c>
      <c r="I432" t="inlineStr">
        <is>
          <t>Perdido</t>
        </is>
      </c>
      <c r="J432" s="28" t="n">
        <v>45422</v>
      </c>
      <c r="K432" s="28" t="n">
        <v>45440</v>
      </c>
      <c r="L432" t="inlineStr">
        <is>
          <t>Sin respuesta tras 3 contactos</t>
        </is>
      </c>
    </row>
    <row r="433" ht="15.75" customHeight="1" s="25">
      <c r="A433" t="inlineStr">
        <is>
          <t>CLI-0431</t>
        </is>
      </c>
      <c r="B433" t="inlineStr">
        <is>
          <t>Felipe Pérez Palacio</t>
        </is>
      </c>
      <c r="C433" t="inlineStr">
        <is>
          <t>3147647135</t>
        </is>
      </c>
      <c r="D433" t="inlineStr">
        <is>
          <t>felipe.perez54@yahoo.com</t>
        </is>
      </c>
      <c r="E433" t="inlineStr">
        <is>
          <t>Medellín</t>
        </is>
      </c>
      <c r="F433" t="inlineStr">
        <is>
          <t>PRY-001</t>
        </is>
      </c>
      <c r="G433" t="inlineStr">
        <is>
          <t>Instagram</t>
        </is>
      </c>
      <c r="H433" t="inlineStr">
        <is>
          <t>Sofía Prada</t>
        </is>
      </c>
      <c r="I433" t="inlineStr">
        <is>
          <t>Perdido</t>
        </is>
      </c>
      <c r="J433" s="28" t="n">
        <v>45422</v>
      </c>
      <c r="K433" s="28" t="n">
        <v>45440</v>
      </c>
      <c r="L433" t="inlineStr">
        <is>
          <t>No calificó para crédito</t>
        </is>
      </c>
    </row>
    <row r="434" ht="15.75" customHeight="1" s="25">
      <c r="A434" t="inlineStr">
        <is>
          <t>CLI-0432</t>
        </is>
      </c>
      <c r="B434" t="inlineStr">
        <is>
          <t>Catalina Jaramillo Salcedo</t>
        </is>
      </c>
      <c r="C434" t="inlineStr">
        <is>
          <t>3107757542</t>
        </is>
      </c>
      <c r="D434" t="inlineStr">
        <is>
          <t>catalina.jaramillo11@yahoo.com</t>
        </is>
      </c>
      <c r="E434" t="inlineStr">
        <is>
          <t>Sabaneta</t>
        </is>
      </c>
      <c r="F434" t="inlineStr">
        <is>
          <t>PRY-001</t>
        </is>
      </c>
      <c r="G434" t="inlineStr">
        <is>
          <t>Instagram</t>
        </is>
      </c>
      <c r="H434" t="inlineStr">
        <is>
          <t>Sofía Prada</t>
        </is>
      </c>
      <c r="I434" t="inlineStr">
        <is>
          <t>Perdido</t>
        </is>
      </c>
      <c r="J434" s="28" t="n">
        <v>45423</v>
      </c>
      <c r="K434" s="28" t="n">
        <v>45433</v>
      </c>
      <c r="L434" t="inlineStr">
        <is>
          <t>Sin respuesta tras 3 contactos</t>
        </is>
      </c>
    </row>
    <row r="435" ht="15.75" customHeight="1" s="25">
      <c r="A435" t="inlineStr">
        <is>
          <t>CLI-0433</t>
        </is>
      </c>
      <c r="B435" t="inlineStr">
        <is>
          <t>Mateo Ríos Vargas</t>
        </is>
      </c>
      <c r="C435" t="inlineStr">
        <is>
          <t>3019480078</t>
        </is>
      </c>
      <c r="D435" t="inlineStr">
        <is>
          <t>mateo.rios60@hotmail.com</t>
        </is>
      </c>
      <c r="E435" t="inlineStr">
        <is>
          <t>Medellín</t>
        </is>
      </c>
      <c r="F435" t="inlineStr">
        <is>
          <t>PRY-001</t>
        </is>
      </c>
      <c r="G435" t="inlineStr">
        <is>
          <t>Facebook</t>
        </is>
      </c>
      <c r="H435" t="inlineStr">
        <is>
          <t>Paula Arenas</t>
        </is>
      </c>
      <c r="I435" t="inlineStr">
        <is>
          <t>Perdido</t>
        </is>
      </c>
      <c r="J435" s="28" t="n">
        <v>45423</v>
      </c>
      <c r="K435" s="28" t="n">
        <v>45439</v>
      </c>
      <c r="L435" t="inlineStr">
        <is>
          <t>No calificó para crédito</t>
        </is>
      </c>
    </row>
    <row r="436" ht="15.75" customHeight="1" s="25">
      <c r="A436" t="inlineStr">
        <is>
          <t>CLI-0434</t>
        </is>
      </c>
      <c r="B436" t="inlineStr">
        <is>
          <t>Catalina Pérez Henao</t>
        </is>
      </c>
      <c r="C436" t="inlineStr">
        <is>
          <t>3205082473</t>
        </is>
      </c>
      <c r="D436" t="inlineStr">
        <is>
          <t>catalina.perez51@hotmail.com</t>
        </is>
      </c>
      <c r="E436" t="inlineStr">
        <is>
          <t>Rionegro</t>
        </is>
      </c>
      <c r="F436" t="inlineStr">
        <is>
          <t>PRY-005</t>
        </is>
      </c>
      <c r="G436" t="inlineStr">
        <is>
          <t>Referido</t>
        </is>
      </c>
      <c r="H436" t="inlineStr">
        <is>
          <t>Andrés Torres</t>
        </is>
      </c>
      <c r="I436" t="inlineStr">
        <is>
          <t>Ganado</t>
        </is>
      </c>
      <c r="J436" s="28" t="n">
        <v>45424</v>
      </c>
      <c r="K436" s="28" t="n">
        <v>45518</v>
      </c>
      <c r="L436" t="inlineStr">
        <is>
          <t>Compró Apto 307 en Ciudadela Rionegro</t>
        </is>
      </c>
    </row>
    <row r="437" ht="15.75" customHeight="1" s="25">
      <c r="A437" t="inlineStr">
        <is>
          <t>CLI-0435</t>
        </is>
      </c>
      <c r="B437" t="inlineStr">
        <is>
          <t>Luisa Toro Muñoz</t>
        </is>
      </c>
      <c r="C437" t="inlineStr">
        <is>
          <t>3134357499</t>
        </is>
      </c>
      <c r="D437" t="inlineStr">
        <is>
          <t>luisa.toro27@yahoo.com</t>
        </is>
      </c>
      <c r="E437" t="inlineStr">
        <is>
          <t>La Estrella</t>
        </is>
      </c>
      <c r="F437" t="inlineStr">
        <is>
          <t>PRY-002</t>
        </is>
      </c>
      <c r="G437" t="inlineStr">
        <is>
          <t>Llamada directa</t>
        </is>
      </c>
      <c r="H437" t="inlineStr">
        <is>
          <t>Luis Bedoya</t>
        </is>
      </c>
      <c r="I437" t="inlineStr">
        <is>
          <t>Perdido</t>
        </is>
      </c>
      <c r="J437" s="28" t="n">
        <v>45424</v>
      </c>
      <c r="K437" s="28" t="n">
        <v>45452</v>
      </c>
      <c r="L437" t="inlineStr">
        <is>
          <t>Sin respuesta tras 3 contactos</t>
        </is>
      </c>
    </row>
    <row r="438" ht="15.75" customHeight="1" s="25">
      <c r="A438" t="inlineStr">
        <is>
          <t>CLI-0436</t>
        </is>
      </c>
      <c r="B438" t="inlineStr">
        <is>
          <t>Patricia Montoya Hernández</t>
        </is>
      </c>
      <c r="C438" t="inlineStr">
        <is>
          <t>3222404961</t>
        </is>
      </c>
      <c r="D438" t="inlineStr">
        <is>
          <t>patricia.montoya62@gmail.com</t>
        </is>
      </c>
      <c r="E438" t="inlineStr">
        <is>
          <t>Medellín</t>
        </is>
      </c>
      <c r="F438" t="inlineStr">
        <is>
          <t>PRY-005</t>
        </is>
      </c>
      <c r="G438" t="inlineStr">
        <is>
          <t>Facebook</t>
        </is>
      </c>
      <c r="H438" t="inlineStr">
        <is>
          <t>Ana Quintero</t>
        </is>
      </c>
      <c r="I438" t="inlineStr">
        <is>
          <t>Perdido</t>
        </is>
      </c>
      <c r="J438" s="28" t="n">
        <v>45425</v>
      </c>
      <c r="K438" s="28" t="n">
        <v>45508</v>
      </c>
      <c r="L438" t="inlineStr">
        <is>
          <t>Precio fuera de presupuesto</t>
        </is>
      </c>
    </row>
    <row r="439" ht="15.75" customHeight="1" s="25">
      <c r="A439" t="inlineStr">
        <is>
          <t>CLI-0437</t>
        </is>
      </c>
      <c r="B439" t="inlineStr">
        <is>
          <t>María Restrepo Ramírez</t>
        </is>
      </c>
      <c r="C439" t="inlineStr">
        <is>
          <t>3007622608</t>
        </is>
      </c>
      <c r="D439" t="inlineStr">
        <is>
          <t>maria.restrepo36@yahoo.com</t>
        </is>
      </c>
      <c r="E439" t="inlineStr">
        <is>
          <t>Medellín</t>
        </is>
      </c>
      <c r="F439" t="inlineStr">
        <is>
          <t>PRY-004</t>
        </is>
      </c>
      <c r="G439" t="inlineStr">
        <is>
          <t>Referido</t>
        </is>
      </c>
      <c r="H439" t="inlineStr">
        <is>
          <t>Andrés Torres</t>
        </is>
      </c>
      <c r="I439" t="inlineStr">
        <is>
          <t>Ganado</t>
        </is>
      </c>
      <c r="J439" s="28" t="n">
        <v>45426</v>
      </c>
      <c r="K439" s="28" t="n">
        <v>45570</v>
      </c>
      <c r="L439" t="inlineStr">
        <is>
          <t>Compró Casa 75 en Altavista Park</t>
        </is>
      </c>
    </row>
    <row r="440" ht="15.75" customHeight="1" s="25">
      <c r="A440" t="inlineStr">
        <is>
          <t>CLI-0438</t>
        </is>
      </c>
      <c r="B440" t="inlineStr">
        <is>
          <t>Julián Bedoya Escobar</t>
        </is>
      </c>
      <c r="C440" t="inlineStr">
        <is>
          <t>3242971270</t>
        </is>
      </c>
      <c r="D440" t="inlineStr">
        <is>
          <t>julian.bedoya54@gmail.com</t>
        </is>
      </c>
      <c r="E440" t="inlineStr">
        <is>
          <t>Rionegro</t>
        </is>
      </c>
      <c r="F440" t="inlineStr">
        <is>
          <t>PRY-005</t>
        </is>
      </c>
      <c r="G440" t="inlineStr">
        <is>
          <t>Llamada directa</t>
        </is>
      </c>
      <c r="H440" t="inlineStr">
        <is>
          <t>Miguel Salazar</t>
        </is>
      </c>
      <c r="I440" t="inlineStr">
        <is>
          <t>Perdido</t>
        </is>
      </c>
      <c r="J440" s="28" t="n">
        <v>45426</v>
      </c>
      <c r="K440" s="28" t="n">
        <v>45514</v>
      </c>
      <c r="L440" t="inlineStr">
        <is>
          <t>Precio fuera de presupuesto</t>
        </is>
      </c>
    </row>
    <row r="441" ht="15.75" customHeight="1" s="25">
      <c r="A441" t="inlineStr">
        <is>
          <t>CLI-0439</t>
        </is>
      </c>
      <c r="B441" t="inlineStr">
        <is>
          <t>Diana Escobar Vélez</t>
        </is>
      </c>
      <c r="C441" t="inlineStr">
        <is>
          <t>3177437173</t>
        </is>
      </c>
      <c r="D441" t="inlineStr">
        <is>
          <t>diana.escobar20@yahoo.com</t>
        </is>
      </c>
      <c r="E441" t="inlineStr">
        <is>
          <t>Itagüí</t>
        </is>
      </c>
      <c r="F441" t="inlineStr">
        <is>
          <t>PRY-008</t>
        </is>
      </c>
      <c r="G441" t="inlineStr">
        <is>
          <t>Instagram</t>
        </is>
      </c>
      <c r="H441" t="inlineStr">
        <is>
          <t>Santiago Muñoz</t>
        </is>
      </c>
      <c r="I441" t="inlineStr">
        <is>
          <t>Perdido</t>
        </is>
      </c>
      <c r="J441" s="28" t="n">
        <v>45426</v>
      </c>
      <c r="K441" s="28" t="n">
        <v>45444</v>
      </c>
      <c r="L441" t="inlineStr">
        <is>
          <t>Sin respuesta tras 3 contactos</t>
        </is>
      </c>
    </row>
    <row r="442" ht="15.75" customHeight="1" s="25">
      <c r="A442" t="inlineStr">
        <is>
          <t>CLI-0440</t>
        </is>
      </c>
      <c r="B442" t="inlineStr">
        <is>
          <t>José Cardona Franco</t>
        </is>
      </c>
      <c r="C442" t="inlineStr">
        <is>
          <t>3232070282</t>
        </is>
      </c>
      <c r="D442" t="inlineStr">
        <is>
          <t>jose.cardona87@yahoo.com</t>
        </is>
      </c>
      <c r="E442" t="inlineStr">
        <is>
          <t>Medellín</t>
        </is>
      </c>
      <c r="F442" t="inlineStr">
        <is>
          <t>PRY-002</t>
        </is>
      </c>
      <c r="G442" t="inlineStr">
        <is>
          <t>Referido</t>
        </is>
      </c>
      <c r="H442" t="inlineStr">
        <is>
          <t>Luis Bedoya</t>
        </is>
      </c>
      <c r="I442" t="inlineStr">
        <is>
          <t>Perdido</t>
        </is>
      </c>
      <c r="J442" s="28" t="n">
        <v>45426</v>
      </c>
      <c r="K442" s="28" t="n">
        <v>45431</v>
      </c>
      <c r="L442" t="inlineStr">
        <is>
          <t>Buscaba arriendo, no compra</t>
        </is>
      </c>
    </row>
    <row r="443" ht="15.75" customHeight="1" s="25">
      <c r="A443" t="inlineStr">
        <is>
          <t>CLI-0441</t>
        </is>
      </c>
      <c r="B443" t="inlineStr">
        <is>
          <t>Carlos Montes Pérez</t>
        </is>
      </c>
      <c r="C443" t="inlineStr">
        <is>
          <t>3106506506</t>
        </is>
      </c>
      <c r="D443" t="inlineStr">
        <is>
          <t>carlos.montes28@gmail.com</t>
        </is>
      </c>
      <c r="E443" t="inlineStr">
        <is>
          <t>Itagüí</t>
        </is>
      </c>
      <c r="F443" t="inlineStr">
        <is>
          <t>PRY-008</t>
        </is>
      </c>
      <c r="G443" t="inlineStr">
        <is>
          <t>Feria Inmobiliaria</t>
        </is>
      </c>
      <c r="H443" t="inlineStr">
        <is>
          <t>Sofía Prada</t>
        </is>
      </c>
      <c r="I443" t="inlineStr">
        <is>
          <t>Perdido</t>
        </is>
      </c>
      <c r="J443" s="28" t="n">
        <v>45426</v>
      </c>
      <c r="K443" s="28" t="n">
        <v>45455</v>
      </c>
      <c r="L443" t="inlineStr">
        <is>
          <t>Sin respuesta tras 3 contactos</t>
        </is>
      </c>
    </row>
    <row r="444" ht="15.75" customHeight="1" s="25">
      <c r="A444" t="inlineStr">
        <is>
          <t>CLI-0442</t>
        </is>
      </c>
      <c r="B444" t="inlineStr">
        <is>
          <t>Santiago Valencia Duque</t>
        </is>
      </c>
      <c r="C444" t="inlineStr">
        <is>
          <t>3227295165</t>
        </is>
      </c>
      <c r="D444" t="inlineStr">
        <is>
          <t>santiago.valencia97@hotmail.com</t>
        </is>
      </c>
      <c r="E444" t="inlineStr">
        <is>
          <t>Medellín</t>
        </is>
      </c>
      <c r="F444" t="inlineStr">
        <is>
          <t>PRY-003</t>
        </is>
      </c>
      <c r="G444" t="inlineStr">
        <is>
          <t>Instagram</t>
        </is>
      </c>
      <c r="H444" t="inlineStr">
        <is>
          <t>Luis Bedoya</t>
        </is>
      </c>
      <c r="I444" t="inlineStr">
        <is>
          <t>Perdido</t>
        </is>
      </c>
      <c r="J444" s="28" t="n">
        <v>45427</v>
      </c>
      <c r="K444" s="28" t="n">
        <v>45459</v>
      </c>
      <c r="L444" t="inlineStr">
        <is>
          <t>Desistió de la compra</t>
        </is>
      </c>
    </row>
    <row r="445" ht="15.75" customHeight="1" s="25">
      <c r="A445" t="inlineStr">
        <is>
          <t>CLI-0443</t>
        </is>
      </c>
      <c r="B445" t="inlineStr">
        <is>
          <t>Daniel Ramírez Higuita</t>
        </is>
      </c>
      <c r="C445" t="inlineStr">
        <is>
          <t>3147575216</t>
        </is>
      </c>
      <c r="D445" t="inlineStr">
        <is>
          <t>daniel.ramirez90@hotmail.com</t>
        </is>
      </c>
      <c r="E445" t="inlineStr">
        <is>
          <t>Sabaneta</t>
        </is>
      </c>
      <c r="F445" t="inlineStr">
        <is>
          <t>PRY-001</t>
        </is>
      </c>
      <c r="G445" t="inlineStr">
        <is>
          <t>Portal Web</t>
        </is>
      </c>
      <c r="H445" t="inlineStr">
        <is>
          <t>Santiago Muñoz</t>
        </is>
      </c>
      <c r="I445" t="inlineStr">
        <is>
          <t>Perdido</t>
        </is>
      </c>
      <c r="J445" s="28" t="n">
        <v>45428</v>
      </c>
      <c r="K445" s="28" t="n">
        <v>45438</v>
      </c>
      <c r="L445" t="inlineStr">
        <is>
          <t>Datos de contacto errados</t>
        </is>
      </c>
    </row>
    <row r="446" ht="15.75" customHeight="1" s="25">
      <c r="A446" t="inlineStr">
        <is>
          <t>CLI-0444</t>
        </is>
      </c>
      <c r="B446" t="inlineStr">
        <is>
          <t>Sandra Restrepo Hernández</t>
        </is>
      </c>
      <c r="C446" t="inlineStr">
        <is>
          <t>3134223615</t>
        </is>
      </c>
      <c r="D446" t="inlineStr">
        <is>
          <t>sandra.restrepo77@hotmail.com</t>
        </is>
      </c>
      <c r="E446" t="inlineStr">
        <is>
          <t>Bello</t>
        </is>
      </c>
      <c r="F446" t="inlineStr">
        <is>
          <t>PRY-008</t>
        </is>
      </c>
      <c r="G446" t="inlineStr">
        <is>
          <t>Portal Web</t>
        </is>
      </c>
      <c r="H446" t="inlineStr">
        <is>
          <t>Juliana Vélez</t>
        </is>
      </c>
      <c r="I446" t="inlineStr">
        <is>
          <t>Perdido</t>
        </is>
      </c>
      <c r="J446" s="28" t="n">
        <v>45428</v>
      </c>
      <c r="K446" s="28" t="n">
        <v>45455</v>
      </c>
      <c r="L446" t="inlineStr">
        <is>
          <t>Buscaba arriendo, no compra</t>
        </is>
      </c>
    </row>
    <row r="447" ht="15.75" customHeight="1" s="25">
      <c r="A447" t="inlineStr">
        <is>
          <t>CLI-0445</t>
        </is>
      </c>
      <c r="B447" t="inlineStr">
        <is>
          <t>Jhon Gaviria Higuita</t>
        </is>
      </c>
      <c r="C447" t="inlineStr">
        <is>
          <t>3175359870</t>
        </is>
      </c>
      <c r="D447" t="inlineStr">
        <is>
          <t>jhon.gaviria52@outlook.com</t>
        </is>
      </c>
      <c r="E447" t="inlineStr">
        <is>
          <t>Medellín</t>
        </is>
      </c>
      <c r="F447" t="inlineStr">
        <is>
          <t>PRY-001</t>
        </is>
      </c>
      <c r="G447" t="inlineStr">
        <is>
          <t>Llamada directa</t>
        </is>
      </c>
      <c r="H447" t="inlineStr">
        <is>
          <t>Luis Bedoya</t>
        </is>
      </c>
      <c r="I447" t="inlineStr">
        <is>
          <t>Ganado</t>
        </is>
      </c>
      <c r="J447" s="28" t="n">
        <v>45429</v>
      </c>
      <c r="K447" s="28" t="n">
        <v>45537</v>
      </c>
      <c r="L447" t="inlineStr">
        <is>
          <t>Compró Apto 506 en Torres del Poblado</t>
        </is>
      </c>
    </row>
    <row r="448" ht="15.75" customHeight="1" s="25">
      <c r="A448" t="inlineStr">
        <is>
          <t>CLI-0446</t>
        </is>
      </c>
      <c r="B448" t="inlineStr">
        <is>
          <t>Juliana Gómez Correa</t>
        </is>
      </c>
      <c r="C448" t="inlineStr">
        <is>
          <t>3239333174</t>
        </is>
      </c>
      <c r="D448" t="inlineStr">
        <is>
          <t>juliana.gomez22@yahoo.com</t>
        </is>
      </c>
      <c r="E448" t="inlineStr">
        <is>
          <t>Medellín</t>
        </is>
      </c>
      <c r="F448" t="inlineStr">
        <is>
          <t>PRY-004</t>
        </is>
      </c>
      <c r="G448" t="inlineStr">
        <is>
          <t>Portal Web</t>
        </is>
      </c>
      <c r="H448" t="inlineStr">
        <is>
          <t>Sofía Prada</t>
        </is>
      </c>
      <c r="I448" t="inlineStr">
        <is>
          <t>Perdido</t>
        </is>
      </c>
      <c r="J448" s="28" t="n">
        <v>45429</v>
      </c>
      <c r="K448" s="28" t="n">
        <v>45459</v>
      </c>
      <c r="L448" t="inlineStr">
        <is>
          <t>Sin respuesta tras 3 contactos</t>
        </is>
      </c>
    </row>
    <row r="449" ht="15.75" customHeight="1" s="25">
      <c r="A449" t="inlineStr">
        <is>
          <t>CLI-0447</t>
        </is>
      </c>
      <c r="B449" t="inlineStr">
        <is>
          <t>Catalina López Ríos</t>
        </is>
      </c>
      <c r="C449" t="inlineStr">
        <is>
          <t>3011186565</t>
        </is>
      </c>
      <c r="D449" t="inlineStr">
        <is>
          <t>catalina.lopez43@yahoo.com</t>
        </is>
      </c>
      <c r="E449" t="inlineStr">
        <is>
          <t>Medellín</t>
        </is>
      </c>
      <c r="F449" t="inlineStr">
        <is>
          <t>PRY-001</t>
        </is>
      </c>
      <c r="G449" t="inlineStr">
        <is>
          <t>Portal Web</t>
        </is>
      </c>
      <c r="H449" t="inlineStr">
        <is>
          <t>Miguel Salazar</t>
        </is>
      </c>
      <c r="I449" t="inlineStr">
        <is>
          <t>Perdido</t>
        </is>
      </c>
      <c r="J449" s="28" t="n">
        <v>45429</v>
      </c>
      <c r="K449" s="28" t="n">
        <v>45454</v>
      </c>
      <c r="L449" t="inlineStr">
        <is>
          <t>Sin respuesta tras 3 contactos</t>
        </is>
      </c>
    </row>
    <row r="450" ht="15.75" customHeight="1" s="25">
      <c r="A450" t="inlineStr">
        <is>
          <t>CLI-0448</t>
        </is>
      </c>
      <c r="B450" t="inlineStr">
        <is>
          <t>Valentina Rojas Gaviria</t>
        </is>
      </c>
      <c r="C450" t="inlineStr">
        <is>
          <t>3152670614</t>
        </is>
      </c>
      <c r="D450" t="inlineStr">
        <is>
          <t>valentina.rojas16@hotmail.com</t>
        </is>
      </c>
      <c r="E450" t="inlineStr">
        <is>
          <t>Medellín</t>
        </is>
      </c>
      <c r="F450" t="inlineStr">
        <is>
          <t>PRY-003</t>
        </is>
      </c>
      <c r="G450" t="inlineStr">
        <is>
          <t>Llamada directa</t>
        </is>
      </c>
      <c r="H450" t="inlineStr">
        <is>
          <t>Sofía Prada</t>
        </is>
      </c>
      <c r="I450" t="inlineStr">
        <is>
          <t>Perdido</t>
        </is>
      </c>
      <c r="J450" s="28" t="n">
        <v>45429</v>
      </c>
      <c r="K450" s="28" t="n">
        <v>45438</v>
      </c>
      <c r="L450" t="inlineStr">
        <is>
          <t>Sin respuesta tras 3 contactos</t>
        </is>
      </c>
    </row>
    <row r="451" ht="15.75" customHeight="1" s="25">
      <c r="A451" t="inlineStr">
        <is>
          <t>CLI-0449</t>
        </is>
      </c>
      <c r="B451" t="inlineStr">
        <is>
          <t>Hernán Ríos López</t>
        </is>
      </c>
      <c r="C451" t="inlineStr">
        <is>
          <t>3001224109</t>
        </is>
      </c>
      <c r="D451" t="inlineStr">
        <is>
          <t>hernan.rios39@hotmail.com</t>
        </is>
      </c>
      <c r="E451" t="inlineStr">
        <is>
          <t>La Estrella</t>
        </is>
      </c>
      <c r="F451" t="inlineStr">
        <is>
          <t>PRY-004</t>
        </is>
      </c>
      <c r="G451" t="inlineStr">
        <is>
          <t>Facebook</t>
        </is>
      </c>
      <c r="H451" t="inlineStr">
        <is>
          <t>Sofía Prada</t>
        </is>
      </c>
      <c r="I451" t="inlineStr">
        <is>
          <t>Perdido</t>
        </is>
      </c>
      <c r="J451" s="28" t="n">
        <v>45429</v>
      </c>
      <c r="K451" s="28" t="n">
        <v>45434</v>
      </c>
      <c r="L451" t="inlineStr">
        <is>
          <t>Sin respuesta tras 3 contactos</t>
        </is>
      </c>
    </row>
    <row r="452" ht="15.75" customHeight="1" s="25">
      <c r="A452" t="inlineStr">
        <is>
          <t>CLI-0450</t>
        </is>
      </c>
      <c r="B452" t="inlineStr">
        <is>
          <t>Diego Zuluaga Montes</t>
        </is>
      </c>
      <c r="C452" t="inlineStr">
        <is>
          <t>3139023896</t>
        </is>
      </c>
      <c r="D452" t="inlineStr">
        <is>
          <t>diego.zuluaga13@gmail.com</t>
        </is>
      </c>
      <c r="E452" t="inlineStr">
        <is>
          <t>Medellín</t>
        </is>
      </c>
      <c r="F452" t="inlineStr">
        <is>
          <t>PRY-003</t>
        </is>
      </c>
      <c r="G452" t="inlineStr">
        <is>
          <t>Portal Web</t>
        </is>
      </c>
      <c r="H452" t="inlineStr">
        <is>
          <t>Sofía Prada</t>
        </is>
      </c>
      <c r="I452" t="inlineStr">
        <is>
          <t>Ganado</t>
        </is>
      </c>
      <c r="J452" s="28" t="n">
        <v>45430</v>
      </c>
      <c r="K452" s="28" t="n">
        <v>45546</v>
      </c>
      <c r="L452" t="inlineStr">
        <is>
          <t>Compró Apto 1606 en Conecta Laureles</t>
        </is>
      </c>
    </row>
    <row r="453" ht="15.75" customHeight="1" s="25">
      <c r="A453" t="inlineStr">
        <is>
          <t>CLI-0451</t>
        </is>
      </c>
      <c r="B453" t="inlineStr">
        <is>
          <t>Nicolás Marín Montes</t>
        </is>
      </c>
      <c r="C453" t="inlineStr">
        <is>
          <t>3222611591</t>
        </is>
      </c>
      <c r="D453" t="inlineStr">
        <is>
          <t>nicolas.marin81@hotmail.com</t>
        </is>
      </c>
      <c r="E453" t="inlineStr">
        <is>
          <t>Bello</t>
        </is>
      </c>
      <c r="F453" t="inlineStr">
        <is>
          <t>PRY-001</t>
        </is>
      </c>
      <c r="G453" t="inlineStr">
        <is>
          <t>Facebook</t>
        </is>
      </c>
      <c r="H453" t="inlineStr">
        <is>
          <t>Sofía Prada</t>
        </is>
      </c>
      <c r="I453" t="inlineStr">
        <is>
          <t>Perdido</t>
        </is>
      </c>
      <c r="J453" s="28" t="n">
        <v>45430</v>
      </c>
      <c r="K453" s="28" t="n">
        <v>45459</v>
      </c>
      <c r="L453" t="inlineStr">
        <is>
          <t>No calificó para crédito</t>
        </is>
      </c>
    </row>
    <row r="454" ht="15.75" customHeight="1" s="25">
      <c r="A454" t="inlineStr">
        <is>
          <t>CLI-0452</t>
        </is>
      </c>
      <c r="B454" t="inlineStr">
        <is>
          <t>Alejandra Montes Toro</t>
        </is>
      </c>
      <c r="C454" t="inlineStr">
        <is>
          <t>3135630872</t>
        </is>
      </c>
      <c r="D454" t="inlineStr">
        <is>
          <t>alejandra.montes48@outlook.com</t>
        </is>
      </c>
      <c r="E454" t="inlineStr">
        <is>
          <t>Bello</t>
        </is>
      </c>
      <c r="F454" t="inlineStr">
        <is>
          <t>PRY-004</t>
        </is>
      </c>
      <c r="G454" t="inlineStr">
        <is>
          <t>Portal Web</t>
        </is>
      </c>
      <c r="H454" t="inlineStr">
        <is>
          <t>Sofía Prada</t>
        </is>
      </c>
      <c r="I454" t="inlineStr">
        <is>
          <t>Perdido</t>
        </is>
      </c>
      <c r="J454" s="28" t="n">
        <v>45431</v>
      </c>
      <c r="K454" s="28" t="n">
        <v>45442</v>
      </c>
      <c r="L454" t="inlineStr">
        <is>
          <t>Buscaba arriendo, no compra</t>
        </is>
      </c>
    </row>
    <row r="455" ht="15.75" customHeight="1" s="25">
      <c r="A455" t="inlineStr">
        <is>
          <t>CLI-0453</t>
        </is>
      </c>
      <c r="B455" t="inlineStr">
        <is>
          <t>Camila Marín Vargas</t>
        </is>
      </c>
      <c r="C455" t="inlineStr">
        <is>
          <t>3139261528</t>
        </is>
      </c>
      <c r="D455" t="inlineStr">
        <is>
          <t>camila.marin43@gmail.com</t>
        </is>
      </c>
      <c r="E455" t="inlineStr">
        <is>
          <t>Envigado</t>
        </is>
      </c>
      <c r="F455" t="inlineStr">
        <is>
          <t>PRY-002</t>
        </is>
      </c>
      <c r="G455" t="inlineStr">
        <is>
          <t>Facebook</t>
        </is>
      </c>
      <c r="H455" t="inlineStr">
        <is>
          <t>Santiago Muñoz</t>
        </is>
      </c>
      <c r="I455" t="inlineStr">
        <is>
          <t>Perdido</t>
        </is>
      </c>
      <c r="J455" s="28" t="n">
        <v>45431</v>
      </c>
      <c r="K455" s="28" t="n">
        <v>45443</v>
      </c>
      <c r="L455" t="inlineStr">
        <is>
          <t>Sin respuesta tras 3 contactos</t>
        </is>
      </c>
    </row>
    <row r="456" ht="15.75" customHeight="1" s="25">
      <c r="A456" t="inlineStr">
        <is>
          <t>CLI-0454</t>
        </is>
      </c>
      <c r="B456" t="inlineStr">
        <is>
          <t>Mónica Osorio Arango</t>
        </is>
      </c>
      <c r="C456" t="inlineStr">
        <is>
          <t>3237666257</t>
        </is>
      </c>
      <c r="D456" t="inlineStr">
        <is>
          <t>monica.osorio66@hotmail.com</t>
        </is>
      </c>
      <c r="E456" t="inlineStr">
        <is>
          <t>La Estrella</t>
        </is>
      </c>
      <c r="F456" t="inlineStr">
        <is>
          <t>PRY-003</t>
        </is>
      </c>
      <c r="G456" t="inlineStr">
        <is>
          <t>Llamada directa</t>
        </is>
      </c>
      <c r="H456" t="inlineStr">
        <is>
          <t>Luis Bedoya</t>
        </is>
      </c>
      <c r="I456" t="inlineStr">
        <is>
          <t>Ganado</t>
        </is>
      </c>
      <c r="J456" s="28" t="n">
        <v>45432</v>
      </c>
      <c r="K456" s="28" t="n">
        <v>45512</v>
      </c>
      <c r="L456" t="inlineStr">
        <is>
          <t>Compró Apto 1506 en Conecta Laureles</t>
        </is>
      </c>
    </row>
    <row r="457" ht="15.75" customHeight="1" s="25">
      <c r="A457" t="inlineStr">
        <is>
          <t>CLI-0455</t>
        </is>
      </c>
      <c r="B457" t="inlineStr">
        <is>
          <t>Alejandro Castaño Salcedo</t>
        </is>
      </c>
      <c r="C457" t="inlineStr">
        <is>
          <t>3045655755</t>
        </is>
      </c>
      <c r="D457" t="inlineStr">
        <is>
          <t>alejandro.castano23@hotmail.com</t>
        </is>
      </c>
      <c r="E457" t="inlineStr">
        <is>
          <t>Medellín</t>
        </is>
      </c>
      <c r="F457" t="inlineStr">
        <is>
          <t>PRY-002</t>
        </is>
      </c>
      <c r="G457" t="inlineStr">
        <is>
          <t>Facebook</t>
        </is>
      </c>
      <c r="H457" t="inlineStr">
        <is>
          <t>Andrés Torres</t>
        </is>
      </c>
      <c r="I457" t="inlineStr">
        <is>
          <t>Perdido</t>
        </is>
      </c>
      <c r="J457" s="28" t="n">
        <v>45432</v>
      </c>
      <c r="K457" s="28" t="n">
        <v>45440</v>
      </c>
      <c r="L457" t="inlineStr">
        <is>
          <t>Presupuesto insuficiente</t>
        </is>
      </c>
    </row>
    <row r="458" ht="15.75" customHeight="1" s="25">
      <c r="A458" t="inlineStr">
        <is>
          <t>CLI-0456</t>
        </is>
      </c>
      <c r="B458" t="inlineStr">
        <is>
          <t>Patricia Valencia Londoño</t>
        </is>
      </c>
      <c r="C458" t="inlineStr">
        <is>
          <t>3149334743</t>
        </is>
      </c>
      <c r="D458" t="inlineStr">
        <is>
          <t>patricia.valencia30@gmail.com</t>
        </is>
      </c>
      <c r="E458" t="inlineStr">
        <is>
          <t>Envigado</t>
        </is>
      </c>
      <c r="F458" t="inlineStr">
        <is>
          <t>PRY-001</t>
        </is>
      </c>
      <c r="G458" t="inlineStr">
        <is>
          <t>Feria Inmobiliaria</t>
        </is>
      </c>
      <c r="H458" t="inlineStr">
        <is>
          <t>Paula Arenas</t>
        </is>
      </c>
      <c r="I458" t="inlineStr">
        <is>
          <t>Perdido</t>
        </is>
      </c>
      <c r="J458" s="28" t="n">
        <v>45432</v>
      </c>
      <c r="K458" s="28" t="n">
        <v>45442</v>
      </c>
      <c r="L458" t="inlineStr">
        <is>
          <t>No calificó para crédito</t>
        </is>
      </c>
    </row>
    <row r="459" ht="15.75" customHeight="1" s="25">
      <c r="A459" t="inlineStr">
        <is>
          <t>CLI-0457</t>
        </is>
      </c>
      <c r="B459" t="inlineStr">
        <is>
          <t>Fernando Sánchez Peláez</t>
        </is>
      </c>
      <c r="C459" t="inlineStr">
        <is>
          <t>3177830014</t>
        </is>
      </c>
      <c r="D459" t="inlineStr">
        <is>
          <t>fernando.sanchez2@gmail.com</t>
        </is>
      </c>
      <c r="E459" t="inlineStr">
        <is>
          <t>Bello</t>
        </is>
      </c>
      <c r="F459" t="inlineStr">
        <is>
          <t>PRY-002</t>
        </is>
      </c>
      <c r="G459" t="inlineStr">
        <is>
          <t>Instagram</t>
        </is>
      </c>
      <c r="H459" t="inlineStr">
        <is>
          <t>Miguel Salazar</t>
        </is>
      </c>
      <c r="I459" t="inlineStr">
        <is>
          <t>Perdido</t>
        </is>
      </c>
      <c r="J459" s="28" t="n">
        <v>45433</v>
      </c>
      <c r="K459" s="28" t="n">
        <v>45444</v>
      </c>
      <c r="L459" t="inlineStr">
        <is>
          <t>Datos de contacto errados</t>
        </is>
      </c>
    </row>
    <row r="460" ht="15.75" customHeight="1" s="25">
      <c r="A460" t="inlineStr">
        <is>
          <t>CLI-0458</t>
        </is>
      </c>
      <c r="B460" t="inlineStr">
        <is>
          <t>Camila Salazar Vásquez</t>
        </is>
      </c>
      <c r="C460" t="inlineStr">
        <is>
          <t>3236030838</t>
        </is>
      </c>
      <c r="D460" t="inlineStr">
        <is>
          <t>camila.salazar36@hotmail.com</t>
        </is>
      </c>
      <c r="E460" t="inlineStr">
        <is>
          <t>Medellín</t>
        </is>
      </c>
      <c r="F460" t="inlineStr">
        <is>
          <t>PRY-004</t>
        </is>
      </c>
      <c r="G460" t="inlineStr">
        <is>
          <t>Portal Web</t>
        </is>
      </c>
      <c r="H460" t="inlineStr">
        <is>
          <t>Luis Bedoya</t>
        </is>
      </c>
      <c r="I460" t="inlineStr">
        <is>
          <t>Perdido</t>
        </is>
      </c>
      <c r="J460" s="28" t="n">
        <v>45433</v>
      </c>
      <c r="K460" s="28" t="n">
        <v>45446</v>
      </c>
      <c r="L460" t="inlineStr">
        <is>
          <t>No calificó para crédito</t>
        </is>
      </c>
    </row>
    <row r="461" ht="15.75" customHeight="1" s="25">
      <c r="A461" t="inlineStr">
        <is>
          <t>CLI-0459</t>
        </is>
      </c>
      <c r="B461" t="inlineStr">
        <is>
          <t>Wilson Zuluaga Espinosa</t>
        </is>
      </c>
      <c r="C461" t="inlineStr">
        <is>
          <t>3174662554</t>
        </is>
      </c>
      <c r="D461" t="inlineStr">
        <is>
          <t>wilson.zuluaga69@yahoo.com</t>
        </is>
      </c>
      <c r="E461" t="inlineStr">
        <is>
          <t>Medellín</t>
        </is>
      </c>
      <c r="F461" t="inlineStr">
        <is>
          <t>PRY-001</t>
        </is>
      </c>
      <c r="G461" t="inlineStr">
        <is>
          <t>Facebook</t>
        </is>
      </c>
      <c r="H461" t="inlineStr">
        <is>
          <t>Luis Bedoya</t>
        </is>
      </c>
      <c r="I461" t="inlineStr">
        <is>
          <t>Perdido</t>
        </is>
      </c>
      <c r="J461" s="28" t="n">
        <v>45433</v>
      </c>
      <c r="K461" s="28" t="n">
        <v>45461</v>
      </c>
      <c r="L461" t="inlineStr">
        <is>
          <t>No calificó para crédito</t>
        </is>
      </c>
    </row>
    <row r="462" ht="15.75" customHeight="1" s="25">
      <c r="A462" t="inlineStr">
        <is>
          <t>CLI-0460</t>
        </is>
      </c>
      <c r="B462" t="inlineStr">
        <is>
          <t>Rodrigo Bedoya Quintero</t>
        </is>
      </c>
      <c r="C462" t="inlineStr">
        <is>
          <t>3003935908</t>
        </is>
      </c>
      <c r="D462" t="inlineStr">
        <is>
          <t>rodrigo.bedoya95@outlook.com</t>
        </is>
      </c>
      <c r="E462" t="inlineStr">
        <is>
          <t>Rionegro</t>
        </is>
      </c>
      <c r="F462" t="inlineStr">
        <is>
          <t>PRY-004</t>
        </is>
      </c>
      <c r="G462" t="inlineStr">
        <is>
          <t>Facebook</t>
        </is>
      </c>
      <c r="H462" t="inlineStr">
        <is>
          <t>Miguel Salazar</t>
        </is>
      </c>
      <c r="I462" t="inlineStr">
        <is>
          <t>Perdido</t>
        </is>
      </c>
      <c r="J462" s="28" t="n">
        <v>45433</v>
      </c>
      <c r="K462" s="28" t="n">
        <v>45462</v>
      </c>
      <c r="L462" t="inlineStr">
        <is>
          <t>Presupuesto insuficiente</t>
        </is>
      </c>
    </row>
    <row r="463" ht="15.75" customHeight="1" s="25">
      <c r="A463" t="inlineStr">
        <is>
          <t>CLI-0461</t>
        </is>
      </c>
      <c r="B463" t="inlineStr">
        <is>
          <t>Sandra Palacio Jaramillo</t>
        </is>
      </c>
      <c r="C463" t="inlineStr">
        <is>
          <t>3175695023</t>
        </is>
      </c>
      <c r="D463" t="inlineStr">
        <is>
          <t>sandra.palacio58@gmail.com</t>
        </is>
      </c>
      <c r="E463" t="inlineStr">
        <is>
          <t>Medellín</t>
        </is>
      </c>
      <c r="F463" t="inlineStr">
        <is>
          <t>PRY-002</t>
        </is>
      </c>
      <c r="G463" t="inlineStr">
        <is>
          <t>Llamada directa</t>
        </is>
      </c>
      <c r="H463" t="inlineStr">
        <is>
          <t>Santiago Muñoz</t>
        </is>
      </c>
      <c r="I463" t="inlineStr">
        <is>
          <t>Perdido</t>
        </is>
      </c>
      <c r="J463" s="28" t="n">
        <v>45433</v>
      </c>
      <c r="K463" s="28" t="n">
        <v>45446</v>
      </c>
      <c r="L463" t="inlineStr">
        <is>
          <t>Presupuesto insuficiente</t>
        </is>
      </c>
    </row>
    <row r="464" ht="15.75" customHeight="1" s="25">
      <c r="A464" t="inlineStr">
        <is>
          <t>CLI-0462</t>
        </is>
      </c>
      <c r="B464" t="inlineStr">
        <is>
          <t>Isabel Zapata Zapata</t>
        </is>
      </c>
      <c r="C464" t="inlineStr">
        <is>
          <t>3015822238</t>
        </is>
      </c>
      <c r="D464" t="inlineStr">
        <is>
          <t>isabel.zapata94@yahoo.com</t>
        </is>
      </c>
      <c r="E464" t="inlineStr">
        <is>
          <t>Sabaneta</t>
        </is>
      </c>
      <c r="F464" t="inlineStr">
        <is>
          <t>PRY-005</t>
        </is>
      </c>
      <c r="G464" t="inlineStr">
        <is>
          <t>Feria Inmobiliaria</t>
        </is>
      </c>
      <c r="H464" t="inlineStr">
        <is>
          <t>Santiago Muñoz</t>
        </is>
      </c>
      <c r="I464" t="inlineStr">
        <is>
          <t>Ganado</t>
        </is>
      </c>
      <c r="J464" s="28" t="n">
        <v>45434</v>
      </c>
      <c r="K464" s="28" t="n">
        <v>45536</v>
      </c>
      <c r="L464" t="inlineStr">
        <is>
          <t>Compró Apto 508 en Ciudadela Rionegro</t>
        </is>
      </c>
    </row>
    <row r="465" ht="15.75" customHeight="1" s="25">
      <c r="A465" t="inlineStr">
        <is>
          <t>CLI-0463</t>
        </is>
      </c>
      <c r="B465" t="inlineStr">
        <is>
          <t>Sebastián Vélez Sánchez</t>
        </is>
      </c>
      <c r="C465" t="inlineStr">
        <is>
          <t>3001870930</t>
        </is>
      </c>
      <c r="D465" t="inlineStr">
        <is>
          <t>sebastian.velez73@gmail.com</t>
        </is>
      </c>
      <c r="E465" t="inlineStr">
        <is>
          <t>Itagüí</t>
        </is>
      </c>
      <c r="F465" t="inlineStr">
        <is>
          <t>PRY-001</t>
        </is>
      </c>
      <c r="G465" t="inlineStr">
        <is>
          <t>Facebook</t>
        </is>
      </c>
      <c r="H465" t="inlineStr">
        <is>
          <t>Santiago Muñoz</t>
        </is>
      </c>
      <c r="I465" t="inlineStr">
        <is>
          <t>Perdido</t>
        </is>
      </c>
      <c r="J465" s="28" t="n">
        <v>45434</v>
      </c>
      <c r="K465" s="28" t="n">
        <v>45484</v>
      </c>
      <c r="L465" t="inlineStr">
        <is>
          <t>Cambió de ciudad</t>
        </is>
      </c>
    </row>
    <row r="466" ht="15.75" customHeight="1" s="25">
      <c r="A466" t="inlineStr">
        <is>
          <t>CLI-0464</t>
        </is>
      </c>
      <c r="B466" t="inlineStr">
        <is>
          <t>Diego Londoño Pérez</t>
        </is>
      </c>
      <c r="C466" t="inlineStr">
        <is>
          <t>3205355337</t>
        </is>
      </c>
      <c r="D466" t="inlineStr">
        <is>
          <t>diego.londono54@gmail.com</t>
        </is>
      </c>
      <c r="E466" t="inlineStr">
        <is>
          <t>Rionegro</t>
        </is>
      </c>
      <c r="F466" t="inlineStr">
        <is>
          <t>PRY-008</t>
        </is>
      </c>
      <c r="G466" t="inlineStr">
        <is>
          <t>Instagram</t>
        </is>
      </c>
      <c r="H466" t="inlineStr">
        <is>
          <t>Paula Arenas</t>
        </is>
      </c>
      <c r="I466" t="inlineStr">
        <is>
          <t>Perdido</t>
        </is>
      </c>
      <c r="J466" s="28" t="n">
        <v>45434</v>
      </c>
      <c r="K466" s="28" t="n">
        <v>45462</v>
      </c>
      <c r="L466" t="inlineStr">
        <is>
          <t>Presupuesto insuficiente</t>
        </is>
      </c>
    </row>
    <row r="467" ht="15.75" customHeight="1" s="25">
      <c r="A467" t="inlineStr">
        <is>
          <t>CLI-0465</t>
        </is>
      </c>
      <c r="B467" t="inlineStr">
        <is>
          <t>Lorena Gómez Álvarez</t>
        </is>
      </c>
      <c r="C467" t="inlineStr">
        <is>
          <t>3175138613</t>
        </is>
      </c>
      <c r="D467" t="inlineStr">
        <is>
          <t>lorena.gomez5@hotmail.com</t>
        </is>
      </c>
      <c r="E467" t="inlineStr">
        <is>
          <t>Rionegro</t>
        </is>
      </c>
      <c r="F467" t="inlineStr">
        <is>
          <t>PRY-004</t>
        </is>
      </c>
      <c r="G467" t="inlineStr">
        <is>
          <t>Facebook</t>
        </is>
      </c>
      <c r="H467" t="inlineStr">
        <is>
          <t>Juliana Vélez</t>
        </is>
      </c>
      <c r="I467" t="inlineStr">
        <is>
          <t>Perdido</t>
        </is>
      </c>
      <c r="J467" s="28" t="n">
        <v>45434</v>
      </c>
      <c r="K467" s="28" t="n">
        <v>45443</v>
      </c>
      <c r="L467" t="inlineStr">
        <is>
          <t>Presupuesto insuficiente</t>
        </is>
      </c>
    </row>
    <row r="468" ht="15.75" customHeight="1" s="25">
      <c r="A468" t="inlineStr">
        <is>
          <t>CLI-0466</t>
        </is>
      </c>
      <c r="B468" t="inlineStr">
        <is>
          <t>Lorena Henao Duque</t>
        </is>
      </c>
      <c r="C468" t="inlineStr">
        <is>
          <t>3225524493</t>
        </is>
      </c>
      <c r="D468" t="inlineStr">
        <is>
          <t>lorena.henao17@outlook.com</t>
        </is>
      </c>
      <c r="E468" t="inlineStr">
        <is>
          <t>Rionegro</t>
        </is>
      </c>
      <c r="F468" t="inlineStr">
        <is>
          <t>PRY-004</t>
        </is>
      </c>
      <c r="G468" t="inlineStr">
        <is>
          <t>Portal Web</t>
        </is>
      </c>
      <c r="H468" t="inlineStr">
        <is>
          <t>Ana Quintero</t>
        </is>
      </c>
      <c r="I468" t="inlineStr">
        <is>
          <t>Perdido</t>
        </is>
      </c>
      <c r="J468" s="28" t="n">
        <v>45435</v>
      </c>
      <c r="K468" s="28" t="n">
        <v>45512</v>
      </c>
      <c r="L468" t="inlineStr">
        <is>
          <t>Desistió de la compra</t>
        </is>
      </c>
    </row>
    <row r="469" ht="15.75" customHeight="1" s="25">
      <c r="A469" t="inlineStr">
        <is>
          <t>CLI-0467</t>
        </is>
      </c>
      <c r="B469" t="inlineStr">
        <is>
          <t>Mónica Vásquez Quintero</t>
        </is>
      </c>
      <c r="C469" t="inlineStr">
        <is>
          <t>3158913946</t>
        </is>
      </c>
      <c r="D469" t="inlineStr">
        <is>
          <t>monica.vasquez46@outlook.com</t>
        </is>
      </c>
      <c r="E469" t="inlineStr">
        <is>
          <t>Medellín</t>
        </is>
      </c>
      <c r="F469" t="inlineStr">
        <is>
          <t>PRY-001</t>
        </is>
      </c>
      <c r="G469" t="inlineStr">
        <is>
          <t>Portal Web</t>
        </is>
      </c>
      <c r="H469" t="inlineStr">
        <is>
          <t>Miguel Salazar</t>
        </is>
      </c>
      <c r="I469" t="inlineStr">
        <is>
          <t>Perdido</t>
        </is>
      </c>
      <c r="J469" s="28" t="n">
        <v>45436</v>
      </c>
      <c r="K469" s="28" t="n">
        <v>45462</v>
      </c>
      <c r="L469" t="inlineStr">
        <is>
          <t>Buscaba arriendo, no compra</t>
        </is>
      </c>
    </row>
    <row r="470" ht="15.75" customHeight="1" s="25">
      <c r="A470" t="inlineStr">
        <is>
          <t>CLI-0468</t>
        </is>
      </c>
      <c r="B470" t="inlineStr">
        <is>
          <t>Daniela Londoño Ríos</t>
        </is>
      </c>
      <c r="C470" t="inlineStr">
        <is>
          <t>3173245514</t>
        </is>
      </c>
      <c r="D470" t="inlineStr">
        <is>
          <t>daniela.londono11@gmail.com</t>
        </is>
      </c>
      <c r="E470" t="inlineStr">
        <is>
          <t>Medellín</t>
        </is>
      </c>
      <c r="F470" t="inlineStr">
        <is>
          <t>PRY-004</t>
        </is>
      </c>
      <c r="G470" t="inlineStr">
        <is>
          <t>Portal Web</t>
        </is>
      </c>
      <c r="H470" t="inlineStr">
        <is>
          <t>Ana Quintero</t>
        </is>
      </c>
      <c r="I470" t="inlineStr">
        <is>
          <t>Perdido</t>
        </is>
      </c>
      <c r="J470" s="28" t="n">
        <v>45437</v>
      </c>
      <c r="K470" s="28" t="n">
        <v>45461</v>
      </c>
      <c r="L470" t="inlineStr">
        <is>
          <t>Datos de contacto errados</t>
        </is>
      </c>
    </row>
    <row r="471" ht="15.75" customHeight="1" s="25">
      <c r="A471" t="inlineStr">
        <is>
          <t>CLI-0469</t>
        </is>
      </c>
      <c r="B471" t="inlineStr">
        <is>
          <t>Jhon Gómez Higuita</t>
        </is>
      </c>
      <c r="C471" t="inlineStr">
        <is>
          <t>3156666020</t>
        </is>
      </c>
      <c r="D471" t="inlineStr">
        <is>
          <t>jhon.gomez58@hotmail.com</t>
        </is>
      </c>
      <c r="E471" t="inlineStr">
        <is>
          <t>Itagüí</t>
        </is>
      </c>
      <c r="F471" t="inlineStr">
        <is>
          <t>PRY-008</t>
        </is>
      </c>
      <c r="G471" t="inlineStr">
        <is>
          <t>Portal Web</t>
        </is>
      </c>
      <c r="H471" t="inlineStr">
        <is>
          <t>Ana Quintero</t>
        </is>
      </c>
      <c r="I471" t="inlineStr">
        <is>
          <t>Ganado</t>
        </is>
      </c>
      <c r="J471" s="28" t="n">
        <v>45438</v>
      </c>
      <c r="K471" s="28" t="n">
        <v>45546</v>
      </c>
      <c r="L471" t="inlineStr">
        <is>
          <t>Compró Casa 8 en Valle Verde Itagüí</t>
        </is>
      </c>
    </row>
    <row r="472" ht="15.75" customHeight="1" s="25">
      <c r="A472" t="inlineStr">
        <is>
          <t>CLI-0470</t>
        </is>
      </c>
      <c r="B472" t="inlineStr">
        <is>
          <t>Simón Muñoz Escobar</t>
        </is>
      </c>
      <c r="C472" t="inlineStr">
        <is>
          <t>3233338402</t>
        </is>
      </c>
      <c r="D472" t="inlineStr">
        <is>
          <t>simon.munoz45@hotmail.com</t>
        </is>
      </c>
      <c r="E472" t="inlineStr">
        <is>
          <t>Medellín</t>
        </is>
      </c>
      <c r="F472" t="inlineStr">
        <is>
          <t>PRY-001</t>
        </is>
      </c>
      <c r="G472" t="inlineStr">
        <is>
          <t>Facebook</t>
        </is>
      </c>
      <c r="H472" t="inlineStr">
        <is>
          <t>Ana Quintero</t>
        </is>
      </c>
      <c r="I472" t="inlineStr">
        <is>
          <t>Perdido</t>
        </is>
      </c>
      <c r="J472" s="28" t="n">
        <v>45438</v>
      </c>
      <c r="K472" s="28" t="n">
        <v>45462</v>
      </c>
      <c r="L472" t="inlineStr">
        <is>
          <t>No calificó para crédito</t>
        </is>
      </c>
    </row>
    <row r="473" ht="15.75" customHeight="1" s="25">
      <c r="A473" t="inlineStr">
        <is>
          <t>CLI-0471</t>
        </is>
      </c>
      <c r="B473" t="inlineStr">
        <is>
          <t>Óscar Jaramillo Echeverri</t>
        </is>
      </c>
      <c r="C473" t="inlineStr">
        <is>
          <t>3179771722</t>
        </is>
      </c>
      <c r="D473" t="inlineStr">
        <is>
          <t>oscar.jaramillo49@yahoo.com</t>
        </is>
      </c>
      <c r="E473" t="inlineStr">
        <is>
          <t>Medellín</t>
        </is>
      </c>
      <c r="F473" t="inlineStr">
        <is>
          <t>PRY-003</t>
        </is>
      </c>
      <c r="G473" t="inlineStr">
        <is>
          <t>Feria Inmobiliaria</t>
        </is>
      </c>
      <c r="H473" t="inlineStr">
        <is>
          <t>Santiago Muñoz</t>
        </is>
      </c>
      <c r="I473" t="inlineStr">
        <is>
          <t>Perdido</t>
        </is>
      </c>
      <c r="J473" s="28" t="n">
        <v>45439</v>
      </c>
      <c r="K473" s="28" t="n">
        <v>45450</v>
      </c>
      <c r="L473" t="inlineStr">
        <is>
          <t>Sin respuesta tras 3 contactos</t>
        </is>
      </c>
    </row>
    <row r="474" ht="15.75" customHeight="1" s="25">
      <c r="A474" t="inlineStr">
        <is>
          <t>CLI-0472</t>
        </is>
      </c>
      <c r="B474" t="inlineStr">
        <is>
          <t>Sofía Londoño Gómez</t>
        </is>
      </c>
      <c r="C474" t="inlineStr">
        <is>
          <t>3225420464</t>
        </is>
      </c>
      <c r="D474" t="inlineStr">
        <is>
          <t>sofia.londono32@outlook.com</t>
        </is>
      </c>
      <c r="E474" t="inlineStr">
        <is>
          <t>Medellín</t>
        </is>
      </c>
      <c r="F474" t="inlineStr">
        <is>
          <t>PRY-004</t>
        </is>
      </c>
      <c r="G474" t="inlineStr">
        <is>
          <t>Facebook</t>
        </is>
      </c>
      <c r="H474" t="inlineStr">
        <is>
          <t>Sofía Prada</t>
        </is>
      </c>
      <c r="I474" t="inlineStr">
        <is>
          <t>Ganado</t>
        </is>
      </c>
      <c r="J474" s="28" t="n">
        <v>45440</v>
      </c>
      <c r="K474" s="28" t="n">
        <v>45531</v>
      </c>
      <c r="L474" t="inlineStr">
        <is>
          <t>Compró Casa 68 en Altavista Park</t>
        </is>
      </c>
    </row>
    <row r="475" ht="15.75" customHeight="1" s="25">
      <c r="A475" t="inlineStr">
        <is>
          <t>CLI-0473</t>
        </is>
      </c>
      <c r="B475" t="inlineStr">
        <is>
          <t>Mariana Vargas Gaviria</t>
        </is>
      </c>
      <c r="C475" t="inlineStr">
        <is>
          <t>3203894637</t>
        </is>
      </c>
      <c r="D475" t="inlineStr">
        <is>
          <t>mariana.vargas16@yahoo.com</t>
        </is>
      </c>
      <c r="E475" t="inlineStr">
        <is>
          <t>Envigado</t>
        </is>
      </c>
      <c r="F475" t="inlineStr">
        <is>
          <t>PRY-003</t>
        </is>
      </c>
      <c r="G475" t="inlineStr">
        <is>
          <t>Feria Inmobiliaria</t>
        </is>
      </c>
      <c r="H475" t="inlineStr">
        <is>
          <t>Ana Quintero</t>
        </is>
      </c>
      <c r="I475" t="inlineStr">
        <is>
          <t>Perdido</t>
        </is>
      </c>
      <c r="J475" s="28" t="n">
        <v>45440</v>
      </c>
      <c r="K475" s="28" t="n">
        <v>45526</v>
      </c>
      <c r="L475" t="inlineStr">
        <is>
          <t>Eligió otro proyecto</t>
        </is>
      </c>
    </row>
    <row r="476" ht="15.75" customHeight="1" s="25">
      <c r="A476" t="inlineStr">
        <is>
          <t>CLI-0474</t>
        </is>
      </c>
      <c r="B476" t="inlineStr">
        <is>
          <t>Nicolás Ochoa Vásquez</t>
        </is>
      </c>
      <c r="C476" t="inlineStr">
        <is>
          <t>3227461491</t>
        </is>
      </c>
      <c r="D476" t="inlineStr">
        <is>
          <t>nicolas.ochoa90@yahoo.com</t>
        </is>
      </c>
      <c r="E476" t="inlineStr">
        <is>
          <t>Itagüí</t>
        </is>
      </c>
      <c r="F476" t="inlineStr">
        <is>
          <t>PRY-008</t>
        </is>
      </c>
      <c r="G476" t="inlineStr">
        <is>
          <t>Portal Web</t>
        </is>
      </c>
      <c r="H476" t="inlineStr">
        <is>
          <t>Luis Bedoya</t>
        </is>
      </c>
      <c r="I476" t="inlineStr">
        <is>
          <t>Perdido</t>
        </is>
      </c>
      <c r="J476" s="28" t="n">
        <v>45440</v>
      </c>
      <c r="K476" s="28" t="n">
        <v>45467</v>
      </c>
      <c r="L476" t="inlineStr">
        <is>
          <t>Presupuesto insuficiente</t>
        </is>
      </c>
    </row>
    <row r="477" ht="15.75" customHeight="1" s="25">
      <c r="A477" t="inlineStr">
        <is>
          <t>CLI-0475</t>
        </is>
      </c>
      <c r="B477" t="inlineStr">
        <is>
          <t>Diana Cano Cardona</t>
        </is>
      </c>
      <c r="C477" t="inlineStr">
        <is>
          <t>3207294062</t>
        </is>
      </c>
      <c r="D477" t="inlineStr">
        <is>
          <t>diana.cano64@hotmail.com</t>
        </is>
      </c>
      <c r="E477" t="inlineStr">
        <is>
          <t>Medellín</t>
        </is>
      </c>
      <c r="F477" t="inlineStr">
        <is>
          <t>PRY-002</t>
        </is>
      </c>
      <c r="G477" t="inlineStr">
        <is>
          <t>Instagram</t>
        </is>
      </c>
      <c r="H477" t="inlineStr">
        <is>
          <t>Andrés Torres</t>
        </is>
      </c>
      <c r="I477" t="inlineStr">
        <is>
          <t>Perdido</t>
        </is>
      </c>
      <c r="J477" s="28" t="n">
        <v>45440</v>
      </c>
      <c r="K477" s="28" t="n">
        <v>45451</v>
      </c>
      <c r="L477" t="inlineStr">
        <is>
          <t>Presupuesto insuficiente</t>
        </is>
      </c>
    </row>
    <row r="478" ht="15.75" customHeight="1" s="25">
      <c r="A478" t="inlineStr">
        <is>
          <t>CLI-0476</t>
        </is>
      </c>
      <c r="B478" t="inlineStr">
        <is>
          <t>Cristian Sánchez Hernández</t>
        </is>
      </c>
      <c r="C478" t="inlineStr">
        <is>
          <t>3154443292</t>
        </is>
      </c>
      <c r="D478" t="inlineStr">
        <is>
          <t>cristian.sanchez34@hotmail.com</t>
        </is>
      </c>
      <c r="E478" t="inlineStr">
        <is>
          <t>Itagüí</t>
        </is>
      </c>
      <c r="F478" t="inlineStr">
        <is>
          <t>PRY-003</t>
        </is>
      </c>
      <c r="G478" t="inlineStr">
        <is>
          <t>Feria Inmobiliaria</t>
        </is>
      </c>
      <c r="H478" t="inlineStr">
        <is>
          <t>Sofía Prada</t>
        </is>
      </c>
      <c r="I478" t="inlineStr">
        <is>
          <t>Ganado</t>
        </is>
      </c>
      <c r="J478" s="28" t="n">
        <v>45441</v>
      </c>
      <c r="K478" s="28" t="n">
        <v>45532</v>
      </c>
      <c r="L478" t="inlineStr">
        <is>
          <t>Compró Apto 2604 en Conecta Laureles</t>
        </is>
      </c>
    </row>
    <row r="479" ht="15.75" customHeight="1" s="25">
      <c r="A479" t="inlineStr">
        <is>
          <t>CLI-0477</t>
        </is>
      </c>
      <c r="B479" t="inlineStr">
        <is>
          <t>Esteban Higuita Londoño</t>
        </is>
      </c>
      <c r="C479" t="inlineStr">
        <is>
          <t>3172383957</t>
        </is>
      </c>
      <c r="D479" t="inlineStr">
        <is>
          <t>esteban.higuita87@yahoo.com</t>
        </is>
      </c>
      <c r="E479" t="inlineStr">
        <is>
          <t>Medellín</t>
        </is>
      </c>
      <c r="F479" t="inlineStr">
        <is>
          <t>PRY-004</t>
        </is>
      </c>
      <c r="G479" t="inlineStr">
        <is>
          <t>Portal Web</t>
        </is>
      </c>
      <c r="H479" t="inlineStr">
        <is>
          <t>Luis Bedoya</t>
        </is>
      </c>
      <c r="I479" t="inlineStr">
        <is>
          <t>Perdido</t>
        </is>
      </c>
      <c r="J479" s="28" t="n">
        <v>45441</v>
      </c>
      <c r="K479" s="28" t="n">
        <v>45462</v>
      </c>
      <c r="L479" t="inlineStr">
        <is>
          <t>Datos de contacto errados</t>
        </is>
      </c>
    </row>
    <row r="480" ht="15.75" customHeight="1" s="25">
      <c r="A480" t="inlineStr">
        <is>
          <t>CLI-0478</t>
        </is>
      </c>
      <c r="B480" t="inlineStr">
        <is>
          <t>Paola Mejía Sánchez</t>
        </is>
      </c>
      <c r="C480" t="inlineStr">
        <is>
          <t>3105238214</t>
        </is>
      </c>
      <c r="D480" t="inlineStr">
        <is>
          <t>paola.mejia1@hotmail.com</t>
        </is>
      </c>
      <c r="E480" t="inlineStr">
        <is>
          <t>Medellín</t>
        </is>
      </c>
      <c r="F480" t="inlineStr">
        <is>
          <t>PRY-001</t>
        </is>
      </c>
      <c r="G480" t="inlineStr">
        <is>
          <t>Portal Web</t>
        </is>
      </c>
      <c r="H480" t="inlineStr">
        <is>
          <t>Miguel Salazar</t>
        </is>
      </c>
      <c r="I480" t="inlineStr">
        <is>
          <t>Perdido</t>
        </is>
      </c>
      <c r="J480" s="28" t="n">
        <v>45441</v>
      </c>
      <c r="K480" s="28" t="n">
        <v>45462</v>
      </c>
      <c r="L480" t="inlineStr">
        <is>
          <t>Buscaba arriendo, no compra</t>
        </is>
      </c>
    </row>
    <row r="481" ht="15.75" customHeight="1" s="25">
      <c r="A481" t="inlineStr">
        <is>
          <t>CLI-0479</t>
        </is>
      </c>
      <c r="B481" t="inlineStr">
        <is>
          <t>Fernando Cano Henao</t>
        </is>
      </c>
      <c r="C481" t="inlineStr">
        <is>
          <t>3243097601</t>
        </is>
      </c>
      <c r="D481" t="inlineStr">
        <is>
          <t>fernando.cano18@yahoo.com</t>
        </is>
      </c>
      <c r="E481" t="inlineStr">
        <is>
          <t>Medellín</t>
        </is>
      </c>
      <c r="F481" t="inlineStr">
        <is>
          <t>PRY-001</t>
        </is>
      </c>
      <c r="G481" t="inlineStr">
        <is>
          <t>Portal Web</t>
        </is>
      </c>
      <c r="H481" t="inlineStr">
        <is>
          <t>Andrés Torres</t>
        </is>
      </c>
      <c r="I481" t="inlineStr">
        <is>
          <t>Perdido</t>
        </is>
      </c>
      <c r="J481" s="28" t="n">
        <v>45441</v>
      </c>
      <c r="K481" s="28" t="n">
        <v>45457</v>
      </c>
      <c r="L481" t="inlineStr">
        <is>
          <t>Sin respuesta tras 3 contactos</t>
        </is>
      </c>
    </row>
    <row r="482" ht="15.75" customHeight="1" s="25">
      <c r="A482" t="inlineStr">
        <is>
          <t>CLI-0480</t>
        </is>
      </c>
      <c r="B482" t="inlineStr">
        <is>
          <t>Fernando Osorio Toro</t>
        </is>
      </c>
      <c r="C482" t="inlineStr">
        <is>
          <t>3234490588</t>
        </is>
      </c>
      <c r="D482" t="inlineStr">
        <is>
          <t>fernando.osorio20@outlook.com</t>
        </is>
      </c>
      <c r="E482" t="inlineStr">
        <is>
          <t>Medellín</t>
        </is>
      </c>
      <c r="F482" t="inlineStr">
        <is>
          <t>PRY-002</t>
        </is>
      </c>
      <c r="G482" t="inlineStr">
        <is>
          <t>Referido</t>
        </is>
      </c>
      <c r="H482" t="inlineStr">
        <is>
          <t>Ana Quintero</t>
        </is>
      </c>
      <c r="I482" t="inlineStr">
        <is>
          <t>Perdido</t>
        </is>
      </c>
      <c r="J482" s="28" t="n">
        <v>45441</v>
      </c>
      <c r="K482" s="28" t="n">
        <v>45452</v>
      </c>
      <c r="L482" t="inlineStr">
        <is>
          <t>Datos de contacto errados</t>
        </is>
      </c>
    </row>
    <row r="483" ht="15.75" customHeight="1" s="25">
      <c r="A483" t="inlineStr">
        <is>
          <t>CLI-0481</t>
        </is>
      </c>
      <c r="B483" t="inlineStr">
        <is>
          <t>Julián Pérez Agudelo</t>
        </is>
      </c>
      <c r="C483" t="inlineStr">
        <is>
          <t>3175425922</t>
        </is>
      </c>
      <c r="D483" t="inlineStr">
        <is>
          <t>julian.perez97@gmail.com</t>
        </is>
      </c>
      <c r="E483" t="inlineStr">
        <is>
          <t>Rionegro</t>
        </is>
      </c>
      <c r="F483" t="inlineStr">
        <is>
          <t>PRY-004</t>
        </is>
      </c>
      <c r="G483" t="inlineStr">
        <is>
          <t>Llamada directa</t>
        </is>
      </c>
      <c r="H483" t="inlineStr">
        <is>
          <t>Ana Quintero</t>
        </is>
      </c>
      <c r="I483" t="inlineStr">
        <is>
          <t>Ganado</t>
        </is>
      </c>
      <c r="J483" s="28" t="n">
        <v>45442</v>
      </c>
      <c r="K483" s="28" t="n">
        <v>45602</v>
      </c>
      <c r="L483" t="inlineStr">
        <is>
          <t>Compró Casa 66 en Altavista Park</t>
        </is>
      </c>
    </row>
    <row r="484" ht="15.75" customHeight="1" s="25">
      <c r="A484" t="inlineStr">
        <is>
          <t>CLI-0482</t>
        </is>
      </c>
      <c r="B484" t="inlineStr">
        <is>
          <t>Óscar Betancur Agudelo</t>
        </is>
      </c>
      <c r="C484" t="inlineStr">
        <is>
          <t>3176632003</t>
        </is>
      </c>
      <c r="D484" t="inlineStr">
        <is>
          <t>oscar.betancur27@gmail.com</t>
        </is>
      </c>
      <c r="E484" t="inlineStr">
        <is>
          <t>Itagüí</t>
        </is>
      </c>
      <c r="F484" t="inlineStr">
        <is>
          <t>PRY-008</t>
        </is>
      </c>
      <c r="G484" t="inlineStr">
        <is>
          <t>Portal Web</t>
        </is>
      </c>
      <c r="H484" t="inlineStr">
        <is>
          <t>Ana Quintero</t>
        </is>
      </c>
      <c r="I484" t="inlineStr">
        <is>
          <t>Ganado</t>
        </is>
      </c>
      <c r="J484" s="28" t="n">
        <v>45442</v>
      </c>
      <c r="K484" s="28" t="n">
        <v>45555</v>
      </c>
      <c r="L484" t="inlineStr">
        <is>
          <t>Compró Casa 58 en Valle Verde Itagüí</t>
        </is>
      </c>
    </row>
    <row r="485" ht="15.75" customHeight="1" s="25">
      <c r="A485" t="inlineStr">
        <is>
          <t>CLI-0483</t>
        </is>
      </c>
      <c r="B485" t="inlineStr">
        <is>
          <t>José Betancur Mejía</t>
        </is>
      </c>
      <c r="C485" t="inlineStr">
        <is>
          <t>3202048963</t>
        </is>
      </c>
      <c r="D485" t="inlineStr">
        <is>
          <t>jose.betancur2@hotmail.com</t>
        </is>
      </c>
      <c r="E485" t="inlineStr">
        <is>
          <t>Envigado</t>
        </is>
      </c>
      <c r="F485" t="inlineStr">
        <is>
          <t>PRY-003</t>
        </is>
      </c>
      <c r="G485" t="inlineStr">
        <is>
          <t>Referido</t>
        </is>
      </c>
      <c r="H485" t="inlineStr">
        <is>
          <t>Luis Bedoya</t>
        </is>
      </c>
      <c r="I485" t="inlineStr">
        <is>
          <t>Perdido</t>
        </is>
      </c>
      <c r="J485" s="28" t="n">
        <v>45443</v>
      </c>
      <c r="K485" s="28" t="n">
        <v>45451</v>
      </c>
      <c r="L485" t="inlineStr">
        <is>
          <t>Buscaba arriendo, no compra</t>
        </is>
      </c>
    </row>
    <row r="486" ht="15.75" customHeight="1" s="25">
      <c r="A486" t="inlineStr">
        <is>
          <t>CLI-0484</t>
        </is>
      </c>
      <c r="B486" t="inlineStr">
        <is>
          <t>Paula Zuluaga Arango</t>
        </is>
      </c>
      <c r="C486" t="inlineStr">
        <is>
          <t>3225690729</t>
        </is>
      </c>
      <c r="D486" t="inlineStr">
        <is>
          <t>paula.zuluaga80@yahoo.com</t>
        </is>
      </c>
      <c r="E486" t="inlineStr">
        <is>
          <t>Medellín</t>
        </is>
      </c>
      <c r="F486" t="inlineStr">
        <is>
          <t>PRY-002</t>
        </is>
      </c>
      <c r="G486" t="inlineStr">
        <is>
          <t>Llamada directa</t>
        </is>
      </c>
      <c r="H486" t="inlineStr">
        <is>
          <t>Luis Bedoya</t>
        </is>
      </c>
      <c r="I486" t="inlineStr">
        <is>
          <t>Perdido</t>
        </is>
      </c>
      <c r="J486" s="28" t="n">
        <v>45443</v>
      </c>
      <c r="K486" s="28" t="n">
        <v>45450</v>
      </c>
      <c r="L486" t="inlineStr">
        <is>
          <t>No calificó para crédito</t>
        </is>
      </c>
    </row>
    <row r="487" ht="15.75" customHeight="1" s="25">
      <c r="A487" t="inlineStr">
        <is>
          <t>CLI-0485</t>
        </is>
      </c>
      <c r="B487" t="inlineStr">
        <is>
          <t>Liliana Betancur Sánchez</t>
        </is>
      </c>
      <c r="C487" t="inlineStr">
        <is>
          <t>3227722848</t>
        </is>
      </c>
      <c r="D487" t="inlineStr">
        <is>
          <t>liliana.betancur24@yahoo.com</t>
        </is>
      </c>
      <c r="E487" t="inlineStr">
        <is>
          <t>Rionegro</t>
        </is>
      </c>
      <c r="F487" t="inlineStr">
        <is>
          <t>PRY-003</t>
        </is>
      </c>
      <c r="G487" t="inlineStr">
        <is>
          <t>Instagram</t>
        </is>
      </c>
      <c r="H487" t="inlineStr">
        <is>
          <t>Miguel Salazar</t>
        </is>
      </c>
      <c r="I487" t="inlineStr">
        <is>
          <t>Perdido</t>
        </is>
      </c>
      <c r="J487" s="28" t="n">
        <v>45444</v>
      </c>
      <c r="K487" s="28" t="n">
        <v>45458</v>
      </c>
      <c r="L487" t="inlineStr">
        <is>
          <t>Sin respuesta tras 3 contactos</t>
        </is>
      </c>
    </row>
    <row r="488" ht="15.75" customHeight="1" s="25">
      <c r="A488" t="inlineStr">
        <is>
          <t>CLI-0486</t>
        </is>
      </c>
      <c r="B488" t="inlineStr">
        <is>
          <t>Rodrigo Castaño Higuita</t>
        </is>
      </c>
      <c r="C488" t="inlineStr">
        <is>
          <t>3244344802</t>
        </is>
      </c>
      <c r="D488" t="inlineStr">
        <is>
          <t>rodrigo.castano81@yahoo.com</t>
        </is>
      </c>
      <c r="E488" t="inlineStr">
        <is>
          <t>Envigado</t>
        </is>
      </c>
      <c r="F488" t="inlineStr">
        <is>
          <t>PRY-001</t>
        </is>
      </c>
      <c r="G488" t="inlineStr">
        <is>
          <t>Instagram</t>
        </is>
      </c>
      <c r="H488" t="inlineStr">
        <is>
          <t>Paula Arenas</t>
        </is>
      </c>
      <c r="I488" t="inlineStr">
        <is>
          <t>Perdido</t>
        </is>
      </c>
      <c r="J488" s="28" t="n">
        <v>45444</v>
      </c>
      <c r="K488" s="28" t="n">
        <v>45474</v>
      </c>
      <c r="L488" t="inlineStr">
        <is>
          <t>No calificó para crédito</t>
        </is>
      </c>
    </row>
    <row r="489" ht="15.75" customHeight="1" s="25">
      <c r="A489" t="inlineStr">
        <is>
          <t>CLI-0487</t>
        </is>
      </c>
      <c r="B489" t="inlineStr">
        <is>
          <t>José Muñoz Ochoa</t>
        </is>
      </c>
      <c r="C489" t="inlineStr">
        <is>
          <t>3208425469</t>
        </is>
      </c>
      <c r="D489" t="inlineStr">
        <is>
          <t>jose.munoz75@gmail.com</t>
        </is>
      </c>
      <c r="E489" t="inlineStr">
        <is>
          <t>Medellín</t>
        </is>
      </c>
      <c r="F489" t="inlineStr">
        <is>
          <t>PRY-004</t>
        </is>
      </c>
      <c r="G489" t="inlineStr">
        <is>
          <t>Instagram</t>
        </is>
      </c>
      <c r="H489" t="inlineStr">
        <is>
          <t>Luis Bedoya</t>
        </is>
      </c>
      <c r="I489" t="inlineStr">
        <is>
          <t>Perdido</t>
        </is>
      </c>
      <c r="J489" s="28" t="n">
        <v>45444</v>
      </c>
      <c r="K489" s="28" t="n">
        <v>45464</v>
      </c>
      <c r="L489" t="inlineStr">
        <is>
          <t>Sin respuesta tras 3 contactos</t>
        </is>
      </c>
    </row>
    <row r="490" ht="15.75" customHeight="1" s="25">
      <c r="A490" t="inlineStr">
        <is>
          <t>CLI-0488</t>
        </is>
      </c>
      <c r="B490" t="inlineStr">
        <is>
          <t>Paola Echeverri Osorio</t>
        </is>
      </c>
      <c r="C490" t="inlineStr">
        <is>
          <t>3143973136</t>
        </is>
      </c>
      <c r="D490" t="inlineStr">
        <is>
          <t>paola.echeverri63@outlook.com</t>
        </is>
      </c>
      <c r="E490" t="inlineStr">
        <is>
          <t>Rionegro</t>
        </is>
      </c>
      <c r="F490" t="inlineStr">
        <is>
          <t>PRY-007</t>
        </is>
      </c>
      <c r="G490" t="inlineStr">
        <is>
          <t>Portal Web</t>
        </is>
      </c>
      <c r="H490" t="inlineStr">
        <is>
          <t>Paula Arenas</t>
        </is>
      </c>
      <c r="I490" t="inlineStr">
        <is>
          <t>Ganado</t>
        </is>
      </c>
      <c r="J490" s="28" t="n">
        <v>45445</v>
      </c>
      <c r="K490" s="28" t="n">
        <v>45596</v>
      </c>
      <c r="L490" t="inlineStr">
        <is>
          <t>Compró Apto 406 en Mirador de Envigado</t>
        </is>
      </c>
    </row>
    <row r="491" ht="15.75" customHeight="1" s="25">
      <c r="A491" t="inlineStr">
        <is>
          <t>CLI-0489</t>
        </is>
      </c>
      <c r="B491" t="inlineStr">
        <is>
          <t>Paola Cifuentes Quintero</t>
        </is>
      </c>
      <c r="C491" t="inlineStr">
        <is>
          <t>3209721071</t>
        </is>
      </c>
      <c r="D491" t="inlineStr">
        <is>
          <t>paola.cifuentes31@yahoo.com</t>
        </is>
      </c>
      <c r="E491" t="inlineStr">
        <is>
          <t>Itagüí</t>
        </is>
      </c>
      <c r="F491" t="inlineStr">
        <is>
          <t>PRY-008</t>
        </is>
      </c>
      <c r="G491" t="inlineStr">
        <is>
          <t>Instagram</t>
        </is>
      </c>
      <c r="H491" t="inlineStr">
        <is>
          <t>Juliana Vélez</t>
        </is>
      </c>
      <c r="I491" t="inlineStr">
        <is>
          <t>Perdido</t>
        </is>
      </c>
      <c r="J491" s="28" t="n">
        <v>45445</v>
      </c>
      <c r="K491" s="28" t="n">
        <v>45464</v>
      </c>
      <c r="L491" t="inlineStr">
        <is>
          <t>Sin respuesta tras 3 contactos</t>
        </is>
      </c>
    </row>
    <row r="492" ht="15.75" customHeight="1" s="25">
      <c r="A492" t="inlineStr">
        <is>
          <t>CLI-0490</t>
        </is>
      </c>
      <c r="B492" t="inlineStr">
        <is>
          <t>Ximena López Osorio</t>
        </is>
      </c>
      <c r="C492" t="inlineStr">
        <is>
          <t>3135757782</t>
        </is>
      </c>
      <c r="D492" t="inlineStr">
        <is>
          <t>ximena.lopez92@outlook.com</t>
        </is>
      </c>
      <c r="E492" t="inlineStr">
        <is>
          <t>Medellín</t>
        </is>
      </c>
      <c r="F492" t="inlineStr">
        <is>
          <t>PRY-003</t>
        </is>
      </c>
      <c r="G492" t="inlineStr">
        <is>
          <t>Feria Inmobiliaria</t>
        </is>
      </c>
      <c r="H492" t="inlineStr">
        <is>
          <t>Miguel Salazar</t>
        </is>
      </c>
      <c r="I492" t="inlineStr">
        <is>
          <t>Perdido</t>
        </is>
      </c>
      <c r="J492" s="28" t="n">
        <v>45446</v>
      </c>
      <c r="K492" s="28" t="n">
        <v>45488</v>
      </c>
      <c r="L492" t="inlineStr">
        <is>
          <t>No volvió a responder</t>
        </is>
      </c>
    </row>
    <row r="493" ht="15.75" customHeight="1" s="25">
      <c r="A493" t="inlineStr">
        <is>
          <t>CLI-0491</t>
        </is>
      </c>
      <c r="B493" t="inlineStr">
        <is>
          <t>Diego Escobar Hernández</t>
        </is>
      </c>
      <c r="C493" t="inlineStr">
        <is>
          <t>3244269440</t>
        </is>
      </c>
      <c r="D493" t="inlineStr">
        <is>
          <t>diego.escobar80@yahoo.com</t>
        </is>
      </c>
      <c r="E493" t="inlineStr">
        <is>
          <t>Bello</t>
        </is>
      </c>
      <c r="F493" t="inlineStr">
        <is>
          <t>PRY-003</t>
        </is>
      </c>
      <c r="G493" t="inlineStr">
        <is>
          <t>Facebook</t>
        </is>
      </c>
      <c r="H493" t="inlineStr">
        <is>
          <t>Luis Bedoya</t>
        </is>
      </c>
      <c r="I493" t="inlineStr">
        <is>
          <t>Ganado</t>
        </is>
      </c>
      <c r="J493" s="28" t="n">
        <v>45446</v>
      </c>
      <c r="K493" s="28" t="n">
        <v>45575</v>
      </c>
      <c r="L493" t="inlineStr">
        <is>
          <t>Compró Apto 202 en Conecta Laureles</t>
        </is>
      </c>
    </row>
    <row r="494" ht="15.75" customHeight="1" s="25">
      <c r="A494" t="inlineStr">
        <is>
          <t>CLI-0492</t>
        </is>
      </c>
      <c r="B494" t="inlineStr">
        <is>
          <t>Mateo Agudelo Hernández</t>
        </is>
      </c>
      <c r="C494" t="inlineStr">
        <is>
          <t>3006239060</t>
        </is>
      </c>
      <c r="D494" t="inlineStr">
        <is>
          <t>mateo.agudelo58@hotmail.com</t>
        </is>
      </c>
      <c r="E494" t="inlineStr">
        <is>
          <t>Rionegro</t>
        </is>
      </c>
      <c r="F494" t="inlineStr">
        <is>
          <t>PRY-001</t>
        </is>
      </c>
      <c r="G494" t="inlineStr">
        <is>
          <t>Referido</t>
        </is>
      </c>
      <c r="H494" t="inlineStr">
        <is>
          <t>Sofía Prada</t>
        </is>
      </c>
      <c r="I494" t="inlineStr">
        <is>
          <t>Perdido</t>
        </is>
      </c>
      <c r="J494" s="28" t="n">
        <v>45446</v>
      </c>
      <c r="K494" s="28" t="n">
        <v>45470</v>
      </c>
      <c r="L494" t="inlineStr">
        <is>
          <t>Buscaba arriendo, no compra</t>
        </is>
      </c>
    </row>
    <row r="495" ht="15.75" customHeight="1" s="25">
      <c r="A495" t="inlineStr">
        <is>
          <t>CLI-0493</t>
        </is>
      </c>
      <c r="B495" t="inlineStr">
        <is>
          <t>Wilson López Gaviria</t>
        </is>
      </c>
      <c r="C495" t="inlineStr">
        <is>
          <t>3049574080</t>
        </is>
      </c>
      <c r="D495" t="inlineStr">
        <is>
          <t>wilson.lopez85@hotmail.com</t>
        </is>
      </c>
      <c r="E495" t="inlineStr">
        <is>
          <t>Medellín</t>
        </is>
      </c>
      <c r="F495" t="inlineStr">
        <is>
          <t>PRY-002</t>
        </is>
      </c>
      <c r="G495" t="inlineStr">
        <is>
          <t>Facebook</t>
        </is>
      </c>
      <c r="H495" t="inlineStr">
        <is>
          <t>Sofía Prada</t>
        </is>
      </c>
      <c r="I495" t="inlineStr">
        <is>
          <t>Perdido</t>
        </is>
      </c>
      <c r="J495" s="28" t="n">
        <v>45446</v>
      </c>
      <c r="K495" s="28" t="n">
        <v>45466</v>
      </c>
      <c r="L495" t="inlineStr">
        <is>
          <t>Datos de contacto errados</t>
        </is>
      </c>
    </row>
    <row r="496" ht="15.75" customHeight="1" s="25">
      <c r="A496" t="inlineStr">
        <is>
          <t>CLI-0494</t>
        </is>
      </c>
      <c r="B496" t="inlineStr">
        <is>
          <t>Daniela Henao Palacio</t>
        </is>
      </c>
      <c r="C496" t="inlineStr">
        <is>
          <t>3231695182</t>
        </is>
      </c>
      <c r="D496" t="inlineStr">
        <is>
          <t>daniela.henao53@outlook.com</t>
        </is>
      </c>
      <c r="E496" t="inlineStr">
        <is>
          <t>Itagüí</t>
        </is>
      </c>
      <c r="F496" t="inlineStr">
        <is>
          <t>PRY-008</t>
        </is>
      </c>
      <c r="G496" t="inlineStr">
        <is>
          <t>Instagram</t>
        </is>
      </c>
      <c r="H496" t="inlineStr">
        <is>
          <t>Ana Quintero</t>
        </is>
      </c>
      <c r="I496" t="inlineStr">
        <is>
          <t>Ganado</t>
        </is>
      </c>
      <c r="J496" s="28" t="n">
        <v>45447</v>
      </c>
      <c r="K496" s="28" t="n">
        <v>45529</v>
      </c>
      <c r="L496" t="inlineStr">
        <is>
          <t>Compró Casa 26 en Valle Verde Itagüí</t>
        </is>
      </c>
    </row>
    <row r="497" ht="15.75" customHeight="1" s="25">
      <c r="A497" t="inlineStr">
        <is>
          <t>CLI-0495</t>
        </is>
      </c>
      <c r="B497" t="inlineStr">
        <is>
          <t>Catalina López Mejía</t>
        </is>
      </c>
      <c r="C497" t="inlineStr">
        <is>
          <t>3203481881</t>
        </is>
      </c>
      <c r="D497" t="inlineStr">
        <is>
          <t>catalina.lopez92@outlook.com</t>
        </is>
      </c>
      <c r="E497" t="inlineStr">
        <is>
          <t>Rionegro</t>
        </is>
      </c>
      <c r="F497" t="inlineStr">
        <is>
          <t>PRY-005</t>
        </is>
      </c>
      <c r="G497" t="inlineStr">
        <is>
          <t>Llamada directa</t>
        </is>
      </c>
      <c r="H497" t="inlineStr">
        <is>
          <t>Juliana Vélez</t>
        </is>
      </c>
      <c r="I497" t="inlineStr">
        <is>
          <t>Ganado</t>
        </is>
      </c>
      <c r="J497" s="28" t="n">
        <v>45447</v>
      </c>
      <c r="K497" s="28" t="n">
        <v>45549</v>
      </c>
      <c r="L497" t="inlineStr">
        <is>
          <t>Compró Apto 1401 en Ciudadela Rionegro</t>
        </is>
      </c>
    </row>
    <row r="498" ht="15.75" customHeight="1" s="25">
      <c r="A498" t="inlineStr">
        <is>
          <t>CLI-0496</t>
        </is>
      </c>
      <c r="B498" t="inlineStr">
        <is>
          <t>Valeria Zuluaga Álvarez</t>
        </is>
      </c>
      <c r="C498" t="inlineStr">
        <is>
          <t>3246419655</t>
        </is>
      </c>
      <c r="D498" t="inlineStr">
        <is>
          <t>valeria.zuluaga73@yahoo.com</t>
        </is>
      </c>
      <c r="E498" t="inlineStr">
        <is>
          <t>Medellín</t>
        </is>
      </c>
      <c r="F498" t="inlineStr">
        <is>
          <t>PRY-001</t>
        </is>
      </c>
      <c r="G498" t="inlineStr">
        <is>
          <t>Instagram</t>
        </is>
      </c>
      <c r="H498" t="inlineStr">
        <is>
          <t>Ana Quintero</t>
        </is>
      </c>
      <c r="I498" t="inlineStr">
        <is>
          <t>Perdido</t>
        </is>
      </c>
      <c r="J498" s="28" t="n">
        <v>45447</v>
      </c>
      <c r="K498" s="28" t="n">
        <v>45568</v>
      </c>
      <c r="L498" t="inlineStr">
        <is>
          <t>Crédito no aprobado</t>
        </is>
      </c>
    </row>
    <row r="499" ht="15.75" customHeight="1" s="25">
      <c r="A499" t="inlineStr">
        <is>
          <t>CLI-0497</t>
        </is>
      </c>
      <c r="B499" t="inlineStr">
        <is>
          <t>José Muñoz Mejía</t>
        </is>
      </c>
      <c r="C499" t="inlineStr">
        <is>
          <t>3243042213</t>
        </is>
      </c>
      <c r="D499" t="inlineStr">
        <is>
          <t>jose.munoz60@hotmail.com</t>
        </is>
      </c>
      <c r="E499" t="inlineStr">
        <is>
          <t>Medellín</t>
        </is>
      </c>
      <c r="F499" t="inlineStr">
        <is>
          <t>PRY-003</t>
        </is>
      </c>
      <c r="G499" t="inlineStr">
        <is>
          <t>Instagram</t>
        </is>
      </c>
      <c r="H499" t="inlineStr">
        <is>
          <t>Paula Arenas</t>
        </is>
      </c>
      <c r="I499" t="inlineStr">
        <is>
          <t>Perdido</t>
        </is>
      </c>
      <c r="J499" s="28" t="n">
        <v>45447</v>
      </c>
      <c r="K499" s="28" t="n">
        <v>45465</v>
      </c>
      <c r="L499" t="inlineStr">
        <is>
          <t>Presupuesto insuficiente</t>
        </is>
      </c>
    </row>
    <row r="500" ht="15.75" customHeight="1" s="25">
      <c r="A500" t="inlineStr">
        <is>
          <t>CLI-0498</t>
        </is>
      </c>
      <c r="B500" t="inlineStr">
        <is>
          <t>Santiago Henao Gómez</t>
        </is>
      </c>
      <c r="C500" t="inlineStr">
        <is>
          <t>3139854008</t>
        </is>
      </c>
      <c r="D500" t="inlineStr">
        <is>
          <t>santiago.henao22@hotmail.com</t>
        </is>
      </c>
      <c r="E500" t="inlineStr">
        <is>
          <t>Medellín</t>
        </is>
      </c>
      <c r="F500" t="inlineStr">
        <is>
          <t>PRY-004</t>
        </is>
      </c>
      <c r="G500" t="inlineStr">
        <is>
          <t>Facebook</t>
        </is>
      </c>
      <c r="H500" t="inlineStr">
        <is>
          <t>Ana Quintero</t>
        </is>
      </c>
      <c r="I500" t="inlineStr">
        <is>
          <t>Perdido</t>
        </is>
      </c>
      <c r="J500" s="28" t="n">
        <v>45447</v>
      </c>
      <c r="K500" s="28" t="n">
        <v>45460</v>
      </c>
      <c r="L500" t="inlineStr">
        <is>
          <t>Sin respuesta tras 3 contactos</t>
        </is>
      </c>
    </row>
    <row r="501" ht="15.75" customHeight="1" s="25">
      <c r="A501" t="inlineStr">
        <is>
          <t>CLI-0499</t>
        </is>
      </c>
      <c r="B501" t="inlineStr">
        <is>
          <t>Diana Ríos Giraldo</t>
        </is>
      </c>
      <c r="C501" t="inlineStr">
        <is>
          <t>3044463228</t>
        </is>
      </c>
      <c r="D501" t="inlineStr">
        <is>
          <t>diana.rios58@outlook.com</t>
        </is>
      </c>
      <c r="E501" t="inlineStr">
        <is>
          <t>Bello</t>
        </is>
      </c>
      <c r="F501" t="inlineStr">
        <is>
          <t>PRY-008</t>
        </is>
      </c>
      <c r="G501" t="inlineStr">
        <is>
          <t>Instagram</t>
        </is>
      </c>
      <c r="H501" t="inlineStr">
        <is>
          <t>Paula Arenas</t>
        </is>
      </c>
      <c r="I501" t="inlineStr">
        <is>
          <t>Perdido</t>
        </is>
      </c>
      <c r="J501" s="28" t="n">
        <v>45447</v>
      </c>
      <c r="K501" s="28" t="n">
        <v>45476</v>
      </c>
      <c r="L501" t="inlineStr">
        <is>
          <t>Sin respuesta tras 3 contactos</t>
        </is>
      </c>
    </row>
    <row r="502" ht="15.75" customHeight="1" s="25">
      <c r="A502" t="inlineStr">
        <is>
          <t>CLI-0500</t>
        </is>
      </c>
      <c r="B502" t="inlineStr">
        <is>
          <t>Nicolás Cardona Cardona</t>
        </is>
      </c>
      <c r="C502" t="inlineStr">
        <is>
          <t>3153069826</t>
        </is>
      </c>
      <c r="D502" t="inlineStr">
        <is>
          <t>nicolas.cardona3@hotmail.com</t>
        </is>
      </c>
      <c r="E502" t="inlineStr">
        <is>
          <t>Rionegro</t>
        </is>
      </c>
      <c r="F502" t="inlineStr">
        <is>
          <t>PRY-007</t>
        </is>
      </c>
      <c r="G502" t="inlineStr">
        <is>
          <t>Portal Web</t>
        </is>
      </c>
      <c r="H502" t="inlineStr">
        <is>
          <t>Miguel Salazar</t>
        </is>
      </c>
      <c r="I502" t="inlineStr">
        <is>
          <t>Ganado</t>
        </is>
      </c>
      <c r="J502" s="28" t="n">
        <v>45448</v>
      </c>
      <c r="K502" s="28" t="n">
        <v>45595</v>
      </c>
      <c r="L502" t="inlineStr">
        <is>
          <t>Compró Apto 1303 en Mirador de Envigado</t>
        </is>
      </c>
    </row>
    <row r="503" ht="15.75" customHeight="1" s="25">
      <c r="A503" t="inlineStr">
        <is>
          <t>CLI-0501</t>
        </is>
      </c>
      <c r="B503" t="inlineStr">
        <is>
          <t>Emilio Ríos Zapata</t>
        </is>
      </c>
      <c r="C503" t="inlineStr">
        <is>
          <t>3018453316</t>
        </is>
      </c>
      <c r="D503" t="inlineStr">
        <is>
          <t>emilio.rios6@outlook.com</t>
        </is>
      </c>
      <c r="E503" t="inlineStr">
        <is>
          <t>Medellín</t>
        </is>
      </c>
      <c r="F503" t="inlineStr">
        <is>
          <t>PRY-004</t>
        </is>
      </c>
      <c r="G503" t="inlineStr">
        <is>
          <t>Referido</t>
        </is>
      </c>
      <c r="H503" t="inlineStr">
        <is>
          <t>Juliana Vélez</t>
        </is>
      </c>
      <c r="I503" t="inlineStr">
        <is>
          <t>Perdido</t>
        </is>
      </c>
      <c r="J503" s="28" t="n">
        <v>45449</v>
      </c>
      <c r="K503" s="28" t="n">
        <v>45469</v>
      </c>
      <c r="L503" t="inlineStr">
        <is>
          <t>Sin respuesta tras 3 contactos</t>
        </is>
      </c>
    </row>
    <row r="504" ht="15.75" customHeight="1" s="25">
      <c r="A504" t="inlineStr">
        <is>
          <t>CLI-0502</t>
        </is>
      </c>
      <c r="B504" t="inlineStr">
        <is>
          <t>Alejandra Ochoa Ochoa</t>
        </is>
      </c>
      <c r="C504" t="inlineStr">
        <is>
          <t>3103289374</t>
        </is>
      </c>
      <c r="D504" t="inlineStr">
        <is>
          <t>alejandra.ochoa47@hotmail.com</t>
        </is>
      </c>
      <c r="E504" t="inlineStr">
        <is>
          <t>Envigado</t>
        </is>
      </c>
      <c r="F504" t="inlineStr">
        <is>
          <t>PRY-007</t>
        </is>
      </c>
      <c r="G504" t="inlineStr">
        <is>
          <t>Llamada directa</t>
        </is>
      </c>
      <c r="H504" t="inlineStr">
        <is>
          <t>Paula Arenas</t>
        </is>
      </c>
      <c r="I504" t="inlineStr">
        <is>
          <t>Perdido</t>
        </is>
      </c>
      <c r="J504" s="28" t="n">
        <v>45450</v>
      </c>
      <c r="K504" s="28" t="n">
        <v>45562</v>
      </c>
      <c r="L504" t="inlineStr">
        <is>
          <t>No volvió a responder</t>
        </is>
      </c>
    </row>
    <row r="505" ht="15.75" customHeight="1" s="25">
      <c r="A505" t="inlineStr">
        <is>
          <t>CLI-0503</t>
        </is>
      </c>
      <c r="B505" t="inlineStr">
        <is>
          <t>Gabriel Peláez Espinosa</t>
        </is>
      </c>
      <c r="C505" t="inlineStr">
        <is>
          <t>3157913153</t>
        </is>
      </c>
      <c r="D505" t="inlineStr">
        <is>
          <t>gabriel.pelaez83@gmail.com</t>
        </is>
      </c>
      <c r="E505" t="inlineStr">
        <is>
          <t>Medellín</t>
        </is>
      </c>
      <c r="F505" t="inlineStr">
        <is>
          <t>PRY-005</t>
        </is>
      </c>
      <c r="G505" t="inlineStr">
        <is>
          <t>Facebook</t>
        </is>
      </c>
      <c r="H505" t="inlineStr">
        <is>
          <t>Sofía Prada</t>
        </is>
      </c>
      <c r="I505" t="inlineStr">
        <is>
          <t>Perdido</t>
        </is>
      </c>
      <c r="J505" s="28" t="n">
        <v>45450</v>
      </c>
      <c r="K505" s="28" t="n">
        <v>45470</v>
      </c>
      <c r="L505" t="inlineStr">
        <is>
          <t>No calificó para crédito</t>
        </is>
      </c>
    </row>
    <row r="506" ht="15.75" customHeight="1" s="25">
      <c r="A506" t="inlineStr">
        <is>
          <t>CLI-0504</t>
        </is>
      </c>
      <c r="B506" t="inlineStr">
        <is>
          <t>Paula Arango Echeverri</t>
        </is>
      </c>
      <c r="C506" t="inlineStr">
        <is>
          <t>3174404002</t>
        </is>
      </c>
      <c r="D506" t="inlineStr">
        <is>
          <t>paula.arango77@hotmail.com</t>
        </is>
      </c>
      <c r="E506" t="inlineStr">
        <is>
          <t>Medellín</t>
        </is>
      </c>
      <c r="F506" t="inlineStr">
        <is>
          <t>PRY-002</t>
        </is>
      </c>
      <c r="G506" t="inlineStr">
        <is>
          <t>Referido</t>
        </is>
      </c>
      <c r="H506" t="inlineStr">
        <is>
          <t>Luis Bedoya</t>
        </is>
      </c>
      <c r="I506" t="inlineStr">
        <is>
          <t>Perdido</t>
        </is>
      </c>
      <c r="J506" s="28" t="n">
        <v>45450</v>
      </c>
      <c r="K506" s="28" t="n">
        <v>45472</v>
      </c>
      <c r="L506" t="inlineStr">
        <is>
          <t>No calificó para crédito</t>
        </is>
      </c>
    </row>
    <row r="507" ht="15.75" customHeight="1" s="25">
      <c r="A507" t="inlineStr">
        <is>
          <t>CLI-0505</t>
        </is>
      </c>
      <c r="B507" t="inlineStr">
        <is>
          <t>Paula Henao Ríos</t>
        </is>
      </c>
      <c r="C507" t="inlineStr">
        <is>
          <t>3019905439</t>
        </is>
      </c>
      <c r="D507" t="inlineStr">
        <is>
          <t>paula.henao88@outlook.com</t>
        </is>
      </c>
      <c r="E507" t="inlineStr">
        <is>
          <t>Medellín</t>
        </is>
      </c>
      <c r="F507" t="inlineStr">
        <is>
          <t>PRY-001</t>
        </is>
      </c>
      <c r="G507" t="inlineStr">
        <is>
          <t>Llamada directa</t>
        </is>
      </c>
      <c r="H507" t="inlineStr">
        <is>
          <t>Ana Quintero</t>
        </is>
      </c>
      <c r="I507" t="inlineStr">
        <is>
          <t>Perdido</t>
        </is>
      </c>
      <c r="J507" s="28" t="n">
        <v>45450</v>
      </c>
      <c r="K507" s="28" t="n">
        <v>45473</v>
      </c>
      <c r="L507" t="inlineStr">
        <is>
          <t>Buscaba arriendo, no compra</t>
        </is>
      </c>
    </row>
    <row r="508" ht="15.75" customHeight="1" s="25">
      <c r="A508" t="inlineStr">
        <is>
          <t>CLI-0506</t>
        </is>
      </c>
      <c r="B508" t="inlineStr">
        <is>
          <t>Diana Valencia Bedoya</t>
        </is>
      </c>
      <c r="C508" t="inlineStr">
        <is>
          <t>3012068708</t>
        </is>
      </c>
      <c r="D508" t="inlineStr">
        <is>
          <t>diana.valencia7@gmail.com</t>
        </is>
      </c>
      <c r="E508" t="inlineStr">
        <is>
          <t>Medellín</t>
        </is>
      </c>
      <c r="F508" t="inlineStr">
        <is>
          <t>PRY-004</t>
        </is>
      </c>
      <c r="G508" t="inlineStr">
        <is>
          <t>Facebook</t>
        </is>
      </c>
      <c r="H508" t="inlineStr">
        <is>
          <t>Santiago Muñoz</t>
        </is>
      </c>
      <c r="I508" t="inlineStr">
        <is>
          <t>Perdido</t>
        </is>
      </c>
      <c r="J508" s="28" t="n">
        <v>45451</v>
      </c>
      <c r="K508" s="28" t="n">
        <v>45523</v>
      </c>
      <c r="L508" t="inlineStr">
        <is>
          <t>No volvió a responder</t>
        </is>
      </c>
    </row>
    <row r="509" ht="15.75" customHeight="1" s="25">
      <c r="A509" t="inlineStr">
        <is>
          <t>CLI-0507</t>
        </is>
      </c>
      <c r="B509" t="inlineStr">
        <is>
          <t>Jhon Betancur Ochoa</t>
        </is>
      </c>
      <c r="C509" t="inlineStr">
        <is>
          <t>3228921072</t>
        </is>
      </c>
      <c r="D509" t="inlineStr">
        <is>
          <t>jhon.betancur9@outlook.com</t>
        </is>
      </c>
      <c r="E509" t="inlineStr">
        <is>
          <t>Medellín</t>
        </is>
      </c>
      <c r="F509" t="inlineStr">
        <is>
          <t>PRY-001</t>
        </is>
      </c>
      <c r="G509" t="inlineStr">
        <is>
          <t>Portal Web</t>
        </is>
      </c>
      <c r="H509" t="inlineStr">
        <is>
          <t>Luis Bedoya</t>
        </is>
      </c>
      <c r="I509" t="inlineStr">
        <is>
          <t>Perdido</t>
        </is>
      </c>
      <c r="J509" s="28" t="n">
        <v>45451</v>
      </c>
      <c r="K509" s="28" t="n">
        <v>45460</v>
      </c>
      <c r="L509" t="inlineStr">
        <is>
          <t>No calificó para crédito</t>
        </is>
      </c>
    </row>
    <row r="510" ht="15.75" customHeight="1" s="25">
      <c r="A510" t="inlineStr">
        <is>
          <t>CLI-0508</t>
        </is>
      </c>
      <c r="B510" t="inlineStr">
        <is>
          <t>Diana Osorio Montoya</t>
        </is>
      </c>
      <c r="C510" t="inlineStr">
        <is>
          <t>3042706565</t>
        </is>
      </c>
      <c r="D510" t="inlineStr">
        <is>
          <t>diana.osorio51@hotmail.com</t>
        </is>
      </c>
      <c r="E510" t="inlineStr">
        <is>
          <t>Envigado</t>
        </is>
      </c>
      <c r="F510" t="inlineStr">
        <is>
          <t>PRY-005</t>
        </is>
      </c>
      <c r="G510" t="inlineStr">
        <is>
          <t>Instagram</t>
        </is>
      </c>
      <c r="H510" t="inlineStr">
        <is>
          <t>Sofía Prada</t>
        </is>
      </c>
      <c r="I510" t="inlineStr">
        <is>
          <t>Perdido</t>
        </is>
      </c>
      <c r="J510" s="28" t="n">
        <v>45451</v>
      </c>
      <c r="K510" s="28" t="n">
        <v>45460</v>
      </c>
      <c r="L510" t="inlineStr">
        <is>
          <t>Buscaba arriendo, no compra</t>
        </is>
      </c>
    </row>
    <row r="511" ht="15.75" customHeight="1" s="25">
      <c r="A511" t="inlineStr">
        <is>
          <t>CLI-0509</t>
        </is>
      </c>
      <c r="B511" t="inlineStr">
        <is>
          <t>Tomás Osorio Salcedo</t>
        </is>
      </c>
      <c r="C511" t="inlineStr">
        <is>
          <t>3011383554</t>
        </is>
      </c>
      <c r="D511" t="inlineStr">
        <is>
          <t>tomas.osorio81@hotmail.com</t>
        </is>
      </c>
      <c r="E511" t="inlineStr">
        <is>
          <t>Sabaneta</t>
        </is>
      </c>
      <c r="F511" t="inlineStr">
        <is>
          <t>PRY-004</t>
        </is>
      </c>
      <c r="G511" t="inlineStr">
        <is>
          <t>Portal Web</t>
        </is>
      </c>
      <c r="H511" t="inlineStr">
        <is>
          <t>Paula Arenas</t>
        </is>
      </c>
      <c r="I511" t="inlineStr">
        <is>
          <t>Perdido</t>
        </is>
      </c>
      <c r="J511" s="28" t="n">
        <v>45451</v>
      </c>
      <c r="K511" s="28" t="n">
        <v>45462</v>
      </c>
      <c r="L511" t="inlineStr">
        <is>
          <t>Sin respuesta tras 3 contactos</t>
        </is>
      </c>
    </row>
    <row r="512" ht="15.75" customHeight="1" s="25">
      <c r="A512" t="inlineStr">
        <is>
          <t>CLI-0510</t>
        </is>
      </c>
      <c r="B512" t="inlineStr">
        <is>
          <t>Katherine Gaviria Salcedo</t>
        </is>
      </c>
      <c r="C512" t="inlineStr">
        <is>
          <t>3246160791</t>
        </is>
      </c>
      <c r="D512" t="inlineStr">
        <is>
          <t>katherine.gaviria40@outlook.com</t>
        </is>
      </c>
      <c r="E512" t="inlineStr">
        <is>
          <t>Bello</t>
        </is>
      </c>
      <c r="F512" t="inlineStr">
        <is>
          <t>PRY-002</t>
        </is>
      </c>
      <c r="G512" t="inlineStr">
        <is>
          <t>Portal Web</t>
        </is>
      </c>
      <c r="H512" t="inlineStr">
        <is>
          <t>Luis Bedoya</t>
        </is>
      </c>
      <c r="I512" t="inlineStr">
        <is>
          <t>Perdido</t>
        </is>
      </c>
      <c r="J512" s="28" t="n">
        <v>45451</v>
      </c>
      <c r="K512" s="28" t="n">
        <v>45460</v>
      </c>
      <c r="L512" t="inlineStr">
        <is>
          <t>Datos de contacto errados</t>
        </is>
      </c>
    </row>
    <row r="513" ht="15.75" customHeight="1" s="25">
      <c r="A513" t="inlineStr">
        <is>
          <t>CLI-0511</t>
        </is>
      </c>
      <c r="B513" t="inlineStr">
        <is>
          <t>Paula Marín Zuluaga</t>
        </is>
      </c>
      <c r="C513" t="inlineStr">
        <is>
          <t>3146734306</t>
        </is>
      </c>
      <c r="D513" t="inlineStr">
        <is>
          <t>paula.marin57@hotmail.com</t>
        </is>
      </c>
      <c r="E513" t="inlineStr">
        <is>
          <t>Bello</t>
        </is>
      </c>
      <c r="F513" t="inlineStr">
        <is>
          <t>PRY-001</t>
        </is>
      </c>
      <c r="G513" t="inlineStr">
        <is>
          <t>Facebook</t>
        </is>
      </c>
      <c r="H513" t="inlineStr">
        <is>
          <t>Sofía Prada</t>
        </is>
      </c>
      <c r="I513" t="inlineStr">
        <is>
          <t>Perdido</t>
        </is>
      </c>
      <c r="J513" s="28" t="n">
        <v>45452</v>
      </c>
      <c r="K513" s="28" t="n">
        <v>45481</v>
      </c>
      <c r="L513" t="inlineStr">
        <is>
          <t>No calificó para crédito</t>
        </is>
      </c>
    </row>
    <row r="514" ht="15.75" customHeight="1" s="25">
      <c r="A514" t="inlineStr">
        <is>
          <t>CLI-0512</t>
        </is>
      </c>
      <c r="B514" t="inlineStr">
        <is>
          <t>Natalia Correa Duque</t>
        </is>
      </c>
      <c r="C514" t="inlineStr">
        <is>
          <t>3176528791</t>
        </is>
      </c>
      <c r="D514" t="inlineStr">
        <is>
          <t>natalia.correa28@gmail.com</t>
        </is>
      </c>
      <c r="E514" t="inlineStr">
        <is>
          <t>Itagüí</t>
        </is>
      </c>
      <c r="F514" t="inlineStr">
        <is>
          <t>PRY-008</t>
        </is>
      </c>
      <c r="G514" t="inlineStr">
        <is>
          <t>Portal Web</t>
        </is>
      </c>
      <c r="H514" t="inlineStr">
        <is>
          <t>Sofía Prada</t>
        </is>
      </c>
      <c r="I514" t="inlineStr">
        <is>
          <t>Perdido</t>
        </is>
      </c>
      <c r="J514" s="28" t="n">
        <v>45452</v>
      </c>
      <c r="K514" s="28" t="n">
        <v>45473</v>
      </c>
      <c r="L514" t="inlineStr">
        <is>
          <t>No calificó para crédito</t>
        </is>
      </c>
    </row>
    <row r="515" ht="15.75" customHeight="1" s="25">
      <c r="A515" t="inlineStr">
        <is>
          <t>CLI-0513</t>
        </is>
      </c>
      <c r="B515" t="inlineStr">
        <is>
          <t>Juliana Cano Muñoz</t>
        </is>
      </c>
      <c r="C515" t="inlineStr">
        <is>
          <t>3243669820</t>
        </is>
      </c>
      <c r="D515" t="inlineStr">
        <is>
          <t>juliana.cano76@gmail.com</t>
        </is>
      </c>
      <c r="E515" t="inlineStr">
        <is>
          <t>La Estrella</t>
        </is>
      </c>
      <c r="F515" t="inlineStr">
        <is>
          <t>PRY-002</t>
        </is>
      </c>
      <c r="G515" t="inlineStr">
        <is>
          <t>Facebook</t>
        </is>
      </c>
      <c r="H515" t="inlineStr">
        <is>
          <t>Andrés Torres</t>
        </is>
      </c>
      <c r="I515" t="inlineStr">
        <is>
          <t>Perdido</t>
        </is>
      </c>
      <c r="J515" s="28" t="n">
        <v>45452</v>
      </c>
      <c r="K515" s="28" t="n">
        <v>45470</v>
      </c>
      <c r="L515" t="inlineStr">
        <is>
          <t>Sin respuesta tras 3 contactos</t>
        </is>
      </c>
    </row>
    <row r="516" ht="15.75" customHeight="1" s="25">
      <c r="A516" t="inlineStr">
        <is>
          <t>CLI-0514</t>
        </is>
      </c>
      <c r="B516" t="inlineStr">
        <is>
          <t>Santiago Londoño Salazar</t>
        </is>
      </c>
      <c r="C516" t="inlineStr">
        <is>
          <t>3228716493</t>
        </is>
      </c>
      <c r="D516" t="inlineStr">
        <is>
          <t>santiago.londono42@gmail.com</t>
        </is>
      </c>
      <c r="E516" t="inlineStr">
        <is>
          <t>Medellín</t>
        </is>
      </c>
      <c r="F516" t="inlineStr">
        <is>
          <t>PRY-002</t>
        </is>
      </c>
      <c r="G516" t="inlineStr">
        <is>
          <t>Feria Inmobiliaria</t>
        </is>
      </c>
      <c r="H516" t="inlineStr">
        <is>
          <t>Luis Bedoya</t>
        </is>
      </c>
      <c r="I516" t="inlineStr">
        <is>
          <t>Perdido</t>
        </is>
      </c>
      <c r="J516" s="28" t="n">
        <v>45453</v>
      </c>
      <c r="K516" s="28" t="n">
        <v>45481</v>
      </c>
      <c r="L516" t="inlineStr">
        <is>
          <t>Sin respuesta tras 3 contactos</t>
        </is>
      </c>
    </row>
    <row r="517" ht="15.75" customHeight="1" s="25">
      <c r="A517" t="inlineStr">
        <is>
          <t>CLI-0515</t>
        </is>
      </c>
      <c r="B517" t="inlineStr">
        <is>
          <t>Esteban Muñoz Duque</t>
        </is>
      </c>
      <c r="C517" t="inlineStr">
        <is>
          <t>3013580571</t>
        </is>
      </c>
      <c r="D517" t="inlineStr">
        <is>
          <t>esteban.munoz70@outlook.com</t>
        </is>
      </c>
      <c r="E517" t="inlineStr">
        <is>
          <t>Bello</t>
        </is>
      </c>
      <c r="F517" t="inlineStr">
        <is>
          <t>PRY-002</t>
        </is>
      </c>
      <c r="G517" t="inlineStr">
        <is>
          <t>Portal Web</t>
        </is>
      </c>
      <c r="H517" t="inlineStr">
        <is>
          <t>Andrés Torres</t>
        </is>
      </c>
      <c r="I517" t="inlineStr">
        <is>
          <t>Perdido</t>
        </is>
      </c>
      <c r="J517" s="28" t="n">
        <v>45453</v>
      </c>
      <c r="K517" s="28" t="n">
        <v>45481</v>
      </c>
      <c r="L517" t="inlineStr">
        <is>
          <t>Sin respuesta tras 3 contactos</t>
        </is>
      </c>
    </row>
    <row r="518" ht="15.75" customHeight="1" s="25">
      <c r="A518" t="inlineStr">
        <is>
          <t>CLI-0516</t>
        </is>
      </c>
      <c r="B518" t="inlineStr">
        <is>
          <t>Diego Ochoa Castaño</t>
        </is>
      </c>
      <c r="C518" t="inlineStr">
        <is>
          <t>3013579163</t>
        </is>
      </c>
      <c r="D518" t="inlineStr">
        <is>
          <t>diego.ochoa34@hotmail.com</t>
        </is>
      </c>
      <c r="E518" t="inlineStr">
        <is>
          <t>Itagüí</t>
        </is>
      </c>
      <c r="F518" t="inlineStr">
        <is>
          <t>PRY-008</t>
        </is>
      </c>
      <c r="G518" t="inlineStr">
        <is>
          <t>Instagram</t>
        </is>
      </c>
      <c r="H518" t="inlineStr">
        <is>
          <t>Luis Bedoya</t>
        </is>
      </c>
      <c r="I518" t="inlineStr">
        <is>
          <t>Perdido</t>
        </is>
      </c>
      <c r="J518" s="28" t="n">
        <v>45453</v>
      </c>
      <c r="K518" s="28" t="n">
        <v>45465</v>
      </c>
      <c r="L518" t="inlineStr">
        <is>
          <t>Buscaba arriendo, no compra</t>
        </is>
      </c>
    </row>
    <row r="519" ht="15.75" customHeight="1" s="25">
      <c r="A519" t="inlineStr">
        <is>
          <t>CLI-0517</t>
        </is>
      </c>
      <c r="B519" t="inlineStr">
        <is>
          <t>Daniel Hernández Ramírez</t>
        </is>
      </c>
      <c r="C519" t="inlineStr">
        <is>
          <t>3202529242</t>
        </is>
      </c>
      <c r="D519" t="inlineStr">
        <is>
          <t>daniel.hernandez31@hotmail.com</t>
        </is>
      </c>
      <c r="E519" t="inlineStr">
        <is>
          <t>Medellín</t>
        </is>
      </c>
      <c r="F519" t="inlineStr">
        <is>
          <t>PRY-003</t>
        </is>
      </c>
      <c r="G519" t="inlineStr">
        <is>
          <t>Referido</t>
        </is>
      </c>
      <c r="H519" t="inlineStr">
        <is>
          <t>Luis Bedoya</t>
        </is>
      </c>
      <c r="I519" t="inlineStr">
        <is>
          <t>Perdido</t>
        </is>
      </c>
      <c r="J519" s="28" t="n">
        <v>45453</v>
      </c>
      <c r="K519" s="28" t="n">
        <v>45474</v>
      </c>
      <c r="L519" t="inlineStr">
        <is>
          <t>No calificó para crédito</t>
        </is>
      </c>
    </row>
    <row r="520" ht="15.75" customHeight="1" s="25">
      <c r="A520" t="inlineStr">
        <is>
          <t>CLI-0518</t>
        </is>
      </c>
      <c r="B520" t="inlineStr">
        <is>
          <t>Isabel Pérez Echeverri</t>
        </is>
      </c>
      <c r="C520" t="inlineStr">
        <is>
          <t>3246754304</t>
        </is>
      </c>
      <c r="D520" t="inlineStr">
        <is>
          <t>isabel.perez9@gmail.com</t>
        </is>
      </c>
      <c r="E520" t="inlineStr">
        <is>
          <t>Itagüí</t>
        </is>
      </c>
      <c r="F520" t="inlineStr">
        <is>
          <t>PRY-004</t>
        </is>
      </c>
      <c r="G520" t="inlineStr">
        <is>
          <t>Feria Inmobiliaria</t>
        </is>
      </c>
      <c r="H520" t="inlineStr">
        <is>
          <t>Santiago Muñoz</t>
        </is>
      </c>
      <c r="I520" t="inlineStr">
        <is>
          <t>Ganado</t>
        </is>
      </c>
      <c r="J520" s="28" t="n">
        <v>45455</v>
      </c>
      <c r="K520" s="28" t="n">
        <v>45561</v>
      </c>
      <c r="L520" t="inlineStr">
        <is>
          <t>Compró Casa 21 en Altavista Park</t>
        </is>
      </c>
    </row>
    <row r="521" ht="15.75" customHeight="1" s="25">
      <c r="A521" t="inlineStr">
        <is>
          <t>CLI-0519</t>
        </is>
      </c>
      <c r="B521" t="inlineStr">
        <is>
          <t>María Castaño López</t>
        </is>
      </c>
      <c r="C521" t="inlineStr">
        <is>
          <t>3008721497</t>
        </is>
      </c>
      <c r="D521" t="inlineStr">
        <is>
          <t>maria.castano43@outlook.com</t>
        </is>
      </c>
      <c r="E521" t="inlineStr">
        <is>
          <t>Medellín</t>
        </is>
      </c>
      <c r="F521" t="inlineStr">
        <is>
          <t>PRY-002</t>
        </is>
      </c>
      <c r="G521" t="inlineStr">
        <is>
          <t>Facebook</t>
        </is>
      </c>
      <c r="H521" t="inlineStr">
        <is>
          <t>Sofía Prada</t>
        </is>
      </c>
      <c r="I521" t="inlineStr">
        <is>
          <t>Ganado</t>
        </is>
      </c>
      <c r="J521" s="28" t="n">
        <v>45455</v>
      </c>
      <c r="K521" s="28" t="n">
        <v>45624</v>
      </c>
      <c r="L521" t="inlineStr">
        <is>
          <t>Compró Casa 12 en Reserva Santa Elena</t>
        </is>
      </c>
    </row>
    <row r="522" ht="15.75" customHeight="1" s="25">
      <c r="A522" t="inlineStr">
        <is>
          <t>CLI-0520</t>
        </is>
      </c>
      <c r="B522" t="inlineStr">
        <is>
          <t>Felipe Hernández Peláez</t>
        </is>
      </c>
      <c r="C522" t="inlineStr">
        <is>
          <t>3106334040</t>
        </is>
      </c>
      <c r="D522" t="inlineStr">
        <is>
          <t>felipe.hernandez9@outlook.com</t>
        </is>
      </c>
      <c r="E522" t="inlineStr">
        <is>
          <t>Rionegro</t>
        </is>
      </c>
      <c r="F522" t="inlineStr">
        <is>
          <t>PRY-005</t>
        </is>
      </c>
      <c r="G522" t="inlineStr">
        <is>
          <t>Feria Inmobiliaria</t>
        </is>
      </c>
      <c r="H522" t="inlineStr">
        <is>
          <t>Ana Quintero</t>
        </is>
      </c>
      <c r="I522" t="inlineStr">
        <is>
          <t>Perdido</t>
        </is>
      </c>
      <c r="J522" s="28" t="n">
        <v>45455</v>
      </c>
      <c r="K522" s="28" t="n">
        <v>45469</v>
      </c>
      <c r="L522" t="inlineStr">
        <is>
          <t>Presupuesto insuficiente</t>
        </is>
      </c>
    </row>
    <row r="523" ht="15.75" customHeight="1" s="25">
      <c r="A523" t="inlineStr">
        <is>
          <t>CLI-0521</t>
        </is>
      </c>
      <c r="B523" t="inlineStr">
        <is>
          <t>Julián Echeverri López</t>
        </is>
      </c>
      <c r="C523" t="inlineStr">
        <is>
          <t>3138985559</t>
        </is>
      </c>
      <c r="D523" t="inlineStr">
        <is>
          <t>julian.echeverri35@gmail.com</t>
        </is>
      </c>
      <c r="E523" t="inlineStr">
        <is>
          <t>Sabaneta</t>
        </is>
      </c>
      <c r="F523" t="inlineStr">
        <is>
          <t>PRY-004</t>
        </is>
      </c>
      <c r="G523" t="inlineStr">
        <is>
          <t>Instagram</t>
        </is>
      </c>
      <c r="H523" t="inlineStr">
        <is>
          <t>Juliana Vélez</t>
        </is>
      </c>
      <c r="I523" t="inlineStr">
        <is>
          <t>Perdido</t>
        </is>
      </c>
      <c r="J523" s="28" t="n">
        <v>45455</v>
      </c>
      <c r="K523" s="28" t="n">
        <v>45472</v>
      </c>
      <c r="L523" t="inlineStr">
        <is>
          <t>Sin respuesta tras 3 contactos</t>
        </is>
      </c>
    </row>
    <row r="524" ht="15.75" customHeight="1" s="25">
      <c r="A524" t="inlineStr">
        <is>
          <t>CLI-0522</t>
        </is>
      </c>
      <c r="B524" t="inlineStr">
        <is>
          <t>Natalia Londoño Cifuentes</t>
        </is>
      </c>
      <c r="C524" t="inlineStr">
        <is>
          <t>3132205273</t>
        </is>
      </c>
      <c r="D524" t="inlineStr">
        <is>
          <t>natalia.londono92@yahoo.com</t>
        </is>
      </c>
      <c r="E524" t="inlineStr">
        <is>
          <t>Itagüí</t>
        </is>
      </c>
      <c r="F524" t="inlineStr">
        <is>
          <t>PRY-008</t>
        </is>
      </c>
      <c r="G524" t="inlineStr">
        <is>
          <t>Llamada directa</t>
        </is>
      </c>
      <c r="H524" t="inlineStr">
        <is>
          <t>Andrés Torres</t>
        </is>
      </c>
      <c r="I524" t="inlineStr">
        <is>
          <t>Perdido</t>
        </is>
      </c>
      <c r="J524" s="28" t="n">
        <v>45456</v>
      </c>
      <c r="K524" s="28" t="n">
        <v>45469</v>
      </c>
      <c r="L524" t="inlineStr">
        <is>
          <t>Sin respuesta tras 3 contactos</t>
        </is>
      </c>
    </row>
    <row r="525" ht="15.75" customHeight="1" s="25">
      <c r="A525" t="inlineStr">
        <is>
          <t>CLI-0523</t>
        </is>
      </c>
      <c r="B525" t="inlineStr">
        <is>
          <t>Jhon Hernández Jaramillo</t>
        </is>
      </c>
      <c r="C525" t="inlineStr">
        <is>
          <t>3135138896</t>
        </is>
      </c>
      <c r="D525" t="inlineStr">
        <is>
          <t>jhon.hernandez64@gmail.com</t>
        </is>
      </c>
      <c r="E525" t="inlineStr">
        <is>
          <t>Envigado</t>
        </is>
      </c>
      <c r="F525" t="inlineStr">
        <is>
          <t>PRY-004</t>
        </is>
      </c>
      <c r="G525" t="inlineStr">
        <is>
          <t>Instagram</t>
        </is>
      </c>
      <c r="H525" t="inlineStr">
        <is>
          <t>Miguel Salazar</t>
        </is>
      </c>
      <c r="I525" t="inlineStr">
        <is>
          <t>Perdido</t>
        </is>
      </c>
      <c r="J525" s="28" t="n">
        <v>45456</v>
      </c>
      <c r="K525" s="28" t="n">
        <v>45470</v>
      </c>
      <c r="L525" t="inlineStr">
        <is>
          <t>Buscaba arriendo, no compra</t>
        </is>
      </c>
    </row>
    <row r="526" ht="15.75" customHeight="1" s="25">
      <c r="A526" t="inlineStr">
        <is>
          <t>CLI-0524</t>
        </is>
      </c>
      <c r="B526" t="inlineStr">
        <is>
          <t>Mateo Henao Salcedo</t>
        </is>
      </c>
      <c r="C526" t="inlineStr">
        <is>
          <t>3043239359</t>
        </is>
      </c>
      <c r="D526" t="inlineStr">
        <is>
          <t>mateo.henao92@gmail.com</t>
        </is>
      </c>
      <c r="E526" t="inlineStr">
        <is>
          <t>Medellín</t>
        </is>
      </c>
      <c r="F526" t="inlineStr">
        <is>
          <t>PRY-001</t>
        </is>
      </c>
      <c r="G526" t="inlineStr">
        <is>
          <t>Instagram</t>
        </is>
      </c>
      <c r="H526" t="inlineStr">
        <is>
          <t>Sofía Prada</t>
        </is>
      </c>
      <c r="I526" t="inlineStr">
        <is>
          <t>Perdido</t>
        </is>
      </c>
      <c r="J526" s="28" t="n">
        <v>45456</v>
      </c>
      <c r="K526" s="28" t="n">
        <v>45470</v>
      </c>
      <c r="L526" t="inlineStr">
        <is>
          <t>Sin respuesta tras 3 contactos</t>
        </is>
      </c>
    </row>
    <row r="527" ht="15.75" customHeight="1" s="25">
      <c r="A527" t="inlineStr">
        <is>
          <t>CLI-0525</t>
        </is>
      </c>
      <c r="B527" t="inlineStr">
        <is>
          <t>Ximena Henao Uribe</t>
        </is>
      </c>
      <c r="C527" t="inlineStr">
        <is>
          <t>3012618641</t>
        </is>
      </c>
      <c r="D527" t="inlineStr">
        <is>
          <t>ximena.henao58@yahoo.com</t>
        </is>
      </c>
      <c r="E527" t="inlineStr">
        <is>
          <t>Itagüí</t>
        </is>
      </c>
      <c r="F527" t="inlineStr">
        <is>
          <t>PRY-005</t>
        </is>
      </c>
      <c r="G527" t="inlineStr">
        <is>
          <t>Instagram</t>
        </is>
      </c>
      <c r="H527" t="inlineStr">
        <is>
          <t>Luis Bedoya</t>
        </is>
      </c>
      <c r="I527" t="inlineStr">
        <is>
          <t>Perdido</t>
        </is>
      </c>
      <c r="J527" s="28" t="n">
        <v>45456</v>
      </c>
      <c r="K527" s="28" t="n">
        <v>45484</v>
      </c>
      <c r="L527" t="inlineStr">
        <is>
          <t>Sin respuesta tras 3 contactos</t>
        </is>
      </c>
    </row>
    <row r="528" ht="15.75" customHeight="1" s="25">
      <c r="A528" t="inlineStr">
        <is>
          <t>CLI-0526</t>
        </is>
      </c>
      <c r="B528" t="inlineStr">
        <is>
          <t>Valeria Escobar Vélez</t>
        </is>
      </c>
      <c r="C528" t="inlineStr">
        <is>
          <t>3141212396</t>
        </is>
      </c>
      <c r="D528" t="inlineStr">
        <is>
          <t>valeria.escobar4@gmail.com</t>
        </is>
      </c>
      <c r="E528" t="inlineStr">
        <is>
          <t>Envigado</t>
        </is>
      </c>
      <c r="F528" t="inlineStr">
        <is>
          <t>PRY-005</t>
        </is>
      </c>
      <c r="G528" t="inlineStr">
        <is>
          <t>Portal Web</t>
        </is>
      </c>
      <c r="H528" t="inlineStr">
        <is>
          <t>Paula Arenas</t>
        </is>
      </c>
      <c r="I528" t="inlineStr">
        <is>
          <t>Perdido</t>
        </is>
      </c>
      <c r="J528" s="28" t="n">
        <v>45456</v>
      </c>
      <c r="K528" s="28" t="n">
        <v>45479</v>
      </c>
      <c r="L528" t="inlineStr">
        <is>
          <t>Sin respuesta tras 3 contactos</t>
        </is>
      </c>
    </row>
    <row r="529" ht="15.75" customHeight="1" s="25">
      <c r="A529" t="inlineStr">
        <is>
          <t>CLI-0527</t>
        </is>
      </c>
      <c r="B529" t="inlineStr">
        <is>
          <t>Patricia Castaño Salazar</t>
        </is>
      </c>
      <c r="C529" t="inlineStr">
        <is>
          <t>3145358843</t>
        </is>
      </c>
      <c r="D529" t="inlineStr">
        <is>
          <t>patricia.castano76@hotmail.com</t>
        </is>
      </c>
      <c r="E529" t="inlineStr">
        <is>
          <t>Itagüí</t>
        </is>
      </c>
      <c r="F529" t="inlineStr">
        <is>
          <t>PRY-001</t>
        </is>
      </c>
      <c r="G529" t="inlineStr">
        <is>
          <t>Instagram</t>
        </is>
      </c>
      <c r="H529" t="inlineStr">
        <is>
          <t>Santiago Muñoz</t>
        </is>
      </c>
      <c r="I529" t="inlineStr">
        <is>
          <t>Perdido</t>
        </is>
      </c>
      <c r="J529" s="28" t="n">
        <v>45456</v>
      </c>
      <c r="K529" s="28" t="n">
        <v>45470</v>
      </c>
      <c r="L529" t="inlineStr">
        <is>
          <t>Presupuesto insuficiente</t>
        </is>
      </c>
    </row>
    <row r="530" ht="15.75" customHeight="1" s="25">
      <c r="A530" t="inlineStr">
        <is>
          <t>CLI-0528</t>
        </is>
      </c>
      <c r="B530" t="inlineStr">
        <is>
          <t>Laura Palacio Arango</t>
        </is>
      </c>
      <c r="C530" t="inlineStr">
        <is>
          <t>3226793270</t>
        </is>
      </c>
      <c r="D530" t="inlineStr">
        <is>
          <t>laura.palacio18@outlook.com</t>
        </is>
      </c>
      <c r="E530" t="inlineStr">
        <is>
          <t>Medellín</t>
        </is>
      </c>
      <c r="F530" t="inlineStr">
        <is>
          <t>PRY-003</t>
        </is>
      </c>
      <c r="G530" t="inlineStr">
        <is>
          <t>Instagram</t>
        </is>
      </c>
      <c r="H530" t="inlineStr">
        <is>
          <t>Ana Quintero</t>
        </is>
      </c>
      <c r="I530" t="inlineStr">
        <is>
          <t>Ganado</t>
        </is>
      </c>
      <c r="J530" s="28" t="n">
        <v>45457</v>
      </c>
      <c r="K530" s="28" t="n">
        <v>45577</v>
      </c>
      <c r="L530" t="inlineStr">
        <is>
          <t>Compró Apto 1208 en Conecta Laureles</t>
        </is>
      </c>
    </row>
    <row r="531" ht="15.75" customHeight="1" s="25">
      <c r="A531" t="inlineStr">
        <is>
          <t>CLI-0529</t>
        </is>
      </c>
      <c r="B531" t="inlineStr">
        <is>
          <t>Nicolás Bedoya Higuita</t>
        </is>
      </c>
      <c r="C531" t="inlineStr">
        <is>
          <t>3137853027</t>
        </is>
      </c>
      <c r="D531" t="inlineStr">
        <is>
          <t>nicolas.bedoya14@yahoo.com</t>
        </is>
      </c>
      <c r="E531" t="inlineStr">
        <is>
          <t>Medellín</t>
        </is>
      </c>
      <c r="F531" t="inlineStr">
        <is>
          <t>PRY-001</t>
        </is>
      </c>
      <c r="G531" t="inlineStr">
        <is>
          <t>Facebook</t>
        </is>
      </c>
      <c r="H531" t="inlineStr">
        <is>
          <t>Sofía Prada</t>
        </is>
      </c>
      <c r="I531" t="inlineStr">
        <is>
          <t>Ganado</t>
        </is>
      </c>
      <c r="J531" s="28" t="n">
        <v>45457</v>
      </c>
      <c r="K531" s="28" t="n">
        <v>45571</v>
      </c>
      <c r="L531" t="inlineStr">
        <is>
          <t>Compró Apto 1703 en Torres del Poblado</t>
        </is>
      </c>
    </row>
    <row r="532" ht="15.75" customHeight="1" s="25">
      <c r="A532" t="inlineStr">
        <is>
          <t>CLI-0530</t>
        </is>
      </c>
      <c r="B532" t="inlineStr">
        <is>
          <t>Natalia Duque Pérez</t>
        </is>
      </c>
      <c r="C532" t="inlineStr">
        <is>
          <t>3101492772</t>
        </is>
      </c>
      <c r="D532" t="inlineStr">
        <is>
          <t>natalia.duque3@outlook.com</t>
        </is>
      </c>
      <c r="E532" t="inlineStr">
        <is>
          <t>Medellín</t>
        </is>
      </c>
      <c r="F532" t="inlineStr">
        <is>
          <t>PRY-003</t>
        </is>
      </c>
      <c r="G532" t="inlineStr">
        <is>
          <t>Facebook</t>
        </is>
      </c>
      <c r="H532" t="inlineStr">
        <is>
          <t>Luis Bedoya</t>
        </is>
      </c>
      <c r="I532" t="inlineStr">
        <is>
          <t>Perdido</t>
        </is>
      </c>
      <c r="J532" s="28" t="n">
        <v>45457</v>
      </c>
      <c r="K532" s="28" t="n">
        <v>45549</v>
      </c>
      <c r="L532" t="inlineStr">
        <is>
          <t>Crédito no aprobado</t>
        </is>
      </c>
    </row>
    <row r="533" ht="15.75" customHeight="1" s="25">
      <c r="A533" t="inlineStr">
        <is>
          <t>CLI-0531</t>
        </is>
      </c>
      <c r="B533" t="inlineStr">
        <is>
          <t>Sandra Uribe Montes</t>
        </is>
      </c>
      <c r="C533" t="inlineStr">
        <is>
          <t>3172009130</t>
        </is>
      </c>
      <c r="D533" t="inlineStr">
        <is>
          <t>sandra.uribe97@gmail.com</t>
        </is>
      </c>
      <c r="E533" t="inlineStr">
        <is>
          <t>Envigado</t>
        </is>
      </c>
      <c r="F533" t="inlineStr">
        <is>
          <t>PRY-007</t>
        </is>
      </c>
      <c r="G533" t="inlineStr">
        <is>
          <t>Portal Web</t>
        </is>
      </c>
      <c r="H533" t="inlineStr">
        <is>
          <t>Juliana Vélez</t>
        </is>
      </c>
      <c r="I533" t="inlineStr">
        <is>
          <t>Ganado</t>
        </is>
      </c>
      <c r="J533" s="28" t="n">
        <v>45457</v>
      </c>
      <c r="K533" s="28" t="n">
        <v>45571</v>
      </c>
      <c r="L533" t="inlineStr">
        <is>
          <t>Compró Apto 1105 en Mirador de Envigado</t>
        </is>
      </c>
    </row>
    <row r="534" ht="15.75" customHeight="1" s="25">
      <c r="A534" t="inlineStr">
        <is>
          <t>CLI-0532</t>
        </is>
      </c>
      <c r="B534" t="inlineStr">
        <is>
          <t>Carolina Gaviria Toro</t>
        </is>
      </c>
      <c r="C534" t="inlineStr">
        <is>
          <t>3142318729</t>
        </is>
      </c>
      <c r="D534" t="inlineStr">
        <is>
          <t>carolina.gaviria99@yahoo.com</t>
        </is>
      </c>
      <c r="E534" t="inlineStr">
        <is>
          <t>La Estrella</t>
        </is>
      </c>
      <c r="F534" t="inlineStr">
        <is>
          <t>PRY-003</t>
        </is>
      </c>
      <c r="G534" t="inlineStr">
        <is>
          <t>Referido</t>
        </is>
      </c>
      <c r="H534" t="inlineStr">
        <is>
          <t>Santiago Muñoz</t>
        </is>
      </c>
      <c r="I534" t="inlineStr">
        <is>
          <t>Ganado</t>
        </is>
      </c>
      <c r="J534" s="28" t="n">
        <v>45457</v>
      </c>
      <c r="K534" s="28" t="n">
        <v>45574</v>
      </c>
      <c r="L534" t="inlineStr">
        <is>
          <t>Compró Apto 2007 en Conecta Laureles</t>
        </is>
      </c>
    </row>
    <row r="535" ht="15.75" customHeight="1" s="25">
      <c r="A535" t="inlineStr">
        <is>
          <t>CLI-0533</t>
        </is>
      </c>
      <c r="B535" t="inlineStr">
        <is>
          <t>Paola Ríos Agudelo</t>
        </is>
      </c>
      <c r="C535" t="inlineStr">
        <is>
          <t>3131622369</t>
        </is>
      </c>
      <c r="D535" t="inlineStr">
        <is>
          <t>paola.rios38@gmail.com</t>
        </is>
      </c>
      <c r="E535" t="inlineStr">
        <is>
          <t>Itagüí</t>
        </is>
      </c>
      <c r="F535" t="inlineStr">
        <is>
          <t>PRY-008</t>
        </is>
      </c>
      <c r="G535" t="inlineStr">
        <is>
          <t>Referido</t>
        </is>
      </c>
      <c r="H535" t="inlineStr">
        <is>
          <t>Sofía Prada</t>
        </is>
      </c>
      <c r="I535" t="inlineStr">
        <is>
          <t>Perdido</t>
        </is>
      </c>
      <c r="J535" s="28" t="n">
        <v>45457</v>
      </c>
      <c r="K535" s="28" t="n">
        <v>45472</v>
      </c>
      <c r="L535" t="inlineStr">
        <is>
          <t>Sin respuesta tras 3 contactos</t>
        </is>
      </c>
    </row>
    <row r="536" ht="15.75" customHeight="1" s="25">
      <c r="A536" t="inlineStr">
        <is>
          <t>CLI-0534</t>
        </is>
      </c>
      <c r="B536" t="inlineStr">
        <is>
          <t>Esteban Henao Muñoz</t>
        </is>
      </c>
      <c r="C536" t="inlineStr">
        <is>
          <t>3046146688</t>
        </is>
      </c>
      <c r="D536" t="inlineStr">
        <is>
          <t>esteban.henao22@outlook.com</t>
        </is>
      </c>
      <c r="E536" t="inlineStr">
        <is>
          <t>Medellín</t>
        </is>
      </c>
      <c r="F536" t="inlineStr">
        <is>
          <t>PRY-004</t>
        </is>
      </c>
      <c r="G536" t="inlineStr">
        <is>
          <t>Feria Inmobiliaria</t>
        </is>
      </c>
      <c r="H536" t="inlineStr">
        <is>
          <t>Andrés Torres</t>
        </is>
      </c>
      <c r="I536" t="inlineStr">
        <is>
          <t>Perdido</t>
        </is>
      </c>
      <c r="J536" s="28" t="n">
        <v>45457</v>
      </c>
      <c r="K536" s="28" t="n">
        <v>45467</v>
      </c>
      <c r="L536" t="inlineStr">
        <is>
          <t>Presupuesto insuficiente</t>
        </is>
      </c>
    </row>
    <row r="537" ht="15.75" customHeight="1" s="25">
      <c r="A537" t="inlineStr">
        <is>
          <t>CLI-0535</t>
        </is>
      </c>
      <c r="B537" t="inlineStr">
        <is>
          <t>Verónica Valencia Toro</t>
        </is>
      </c>
      <c r="C537" t="inlineStr">
        <is>
          <t>3208820857</t>
        </is>
      </c>
      <c r="D537" t="inlineStr">
        <is>
          <t>veronica.valencia87@hotmail.com</t>
        </is>
      </c>
      <c r="E537" t="inlineStr">
        <is>
          <t>Sabaneta</t>
        </is>
      </c>
      <c r="F537" t="inlineStr">
        <is>
          <t>PRY-002</t>
        </is>
      </c>
      <c r="G537" t="inlineStr">
        <is>
          <t>Portal Web</t>
        </is>
      </c>
      <c r="H537" t="inlineStr">
        <is>
          <t>Paula Arenas</t>
        </is>
      </c>
      <c r="I537" t="inlineStr">
        <is>
          <t>Perdido</t>
        </is>
      </c>
      <c r="J537" s="28" t="n">
        <v>45457</v>
      </c>
      <c r="K537" s="28" t="n">
        <v>45464</v>
      </c>
      <c r="L537" t="inlineStr">
        <is>
          <t>Presupuesto insuficiente</t>
        </is>
      </c>
    </row>
    <row r="538" ht="15.75" customHeight="1" s="25">
      <c r="A538" t="inlineStr">
        <is>
          <t>CLI-0536</t>
        </is>
      </c>
      <c r="B538" t="inlineStr">
        <is>
          <t>Óscar Castaño Vargas</t>
        </is>
      </c>
      <c r="C538" t="inlineStr">
        <is>
          <t>3232921379</t>
        </is>
      </c>
      <c r="D538" t="inlineStr">
        <is>
          <t>oscar.castano59@hotmail.com</t>
        </is>
      </c>
      <c r="E538" t="inlineStr">
        <is>
          <t>Rionegro</t>
        </is>
      </c>
      <c r="F538" t="inlineStr">
        <is>
          <t>PRY-005</t>
        </is>
      </c>
      <c r="G538" t="inlineStr">
        <is>
          <t>Facebook</t>
        </is>
      </c>
      <c r="H538" t="inlineStr">
        <is>
          <t>Ana Quintero</t>
        </is>
      </c>
      <c r="I538" t="inlineStr">
        <is>
          <t>Ganado</t>
        </is>
      </c>
      <c r="J538" s="28" t="n">
        <v>45458</v>
      </c>
      <c r="K538" s="28" t="n">
        <v>45558</v>
      </c>
      <c r="L538" t="inlineStr">
        <is>
          <t>Compró Apto 1003 en Ciudadela Rionegro</t>
        </is>
      </c>
    </row>
    <row r="539" ht="15.75" customHeight="1" s="25">
      <c r="A539" t="inlineStr">
        <is>
          <t>CLI-0537</t>
        </is>
      </c>
      <c r="B539" t="inlineStr">
        <is>
          <t>Ricardo Betancur Hernández</t>
        </is>
      </c>
      <c r="C539" t="inlineStr">
        <is>
          <t>3147104870</t>
        </is>
      </c>
      <c r="D539" t="inlineStr">
        <is>
          <t>ricardo.betancur80@gmail.com</t>
        </is>
      </c>
      <c r="E539" t="inlineStr">
        <is>
          <t>Medellín</t>
        </is>
      </c>
      <c r="F539" t="inlineStr">
        <is>
          <t>PRY-004</t>
        </is>
      </c>
      <c r="G539" t="inlineStr">
        <is>
          <t>Llamada directa</t>
        </is>
      </c>
      <c r="H539" t="inlineStr">
        <is>
          <t>Luis Bedoya</t>
        </is>
      </c>
      <c r="I539" t="inlineStr">
        <is>
          <t>Perdido</t>
        </is>
      </c>
      <c r="J539" s="28" t="n">
        <v>45459</v>
      </c>
      <c r="K539" s="28" t="n">
        <v>45577</v>
      </c>
      <c r="L539" t="inlineStr">
        <is>
          <t>Crédito no aprobado</t>
        </is>
      </c>
    </row>
    <row r="540" ht="15.75" customHeight="1" s="25">
      <c r="A540" t="inlineStr">
        <is>
          <t>CLI-0538</t>
        </is>
      </c>
      <c r="B540" t="inlineStr">
        <is>
          <t>Paula Restrepo Vargas</t>
        </is>
      </c>
      <c r="C540" t="inlineStr">
        <is>
          <t>3202570308</t>
        </is>
      </c>
      <c r="D540" t="inlineStr">
        <is>
          <t>paula.restrepo78@yahoo.com</t>
        </is>
      </c>
      <c r="E540" t="inlineStr">
        <is>
          <t>Medellín</t>
        </is>
      </c>
      <c r="F540" t="inlineStr">
        <is>
          <t>PRY-004</t>
        </is>
      </c>
      <c r="G540" t="inlineStr">
        <is>
          <t>Llamada directa</t>
        </is>
      </c>
      <c r="H540" t="inlineStr">
        <is>
          <t>Juliana Vélez</t>
        </is>
      </c>
      <c r="I540" t="inlineStr">
        <is>
          <t>Perdido</t>
        </is>
      </c>
      <c r="J540" s="28" t="n">
        <v>45459</v>
      </c>
      <c r="K540" s="28" t="n">
        <v>45469</v>
      </c>
      <c r="L540" t="inlineStr">
        <is>
          <t>No calificó para crédito</t>
        </is>
      </c>
    </row>
    <row r="541" ht="15.75" customHeight="1" s="25">
      <c r="A541" t="inlineStr">
        <is>
          <t>CLI-0539</t>
        </is>
      </c>
      <c r="B541" t="inlineStr">
        <is>
          <t>Andrés Vargas Echeverri</t>
        </is>
      </c>
      <c r="C541" t="inlineStr">
        <is>
          <t>3204800328</t>
        </is>
      </c>
      <c r="D541" t="inlineStr">
        <is>
          <t>andres.vargas29@yahoo.com</t>
        </is>
      </c>
      <c r="E541" t="inlineStr">
        <is>
          <t>Rionegro</t>
        </is>
      </c>
      <c r="F541" t="inlineStr">
        <is>
          <t>PRY-005</t>
        </is>
      </c>
      <c r="G541" t="inlineStr">
        <is>
          <t>Instagram</t>
        </is>
      </c>
      <c r="H541" t="inlineStr">
        <is>
          <t>Luis Bedoya</t>
        </is>
      </c>
      <c r="I541" t="inlineStr">
        <is>
          <t>Perdido</t>
        </is>
      </c>
      <c r="J541" s="28" t="n">
        <v>45459</v>
      </c>
      <c r="K541" s="28" t="n">
        <v>45485</v>
      </c>
      <c r="L541" t="inlineStr">
        <is>
          <t>Datos de contacto errados</t>
        </is>
      </c>
    </row>
    <row r="542" ht="15.75" customHeight="1" s="25">
      <c r="A542" t="inlineStr">
        <is>
          <t>CLI-0540</t>
        </is>
      </c>
      <c r="B542" t="inlineStr">
        <is>
          <t>Juliana Marín Higuita</t>
        </is>
      </c>
      <c r="C542" t="inlineStr">
        <is>
          <t>3171305474</t>
        </is>
      </c>
      <c r="D542" t="inlineStr">
        <is>
          <t>juliana.marin64@outlook.com</t>
        </is>
      </c>
      <c r="E542" t="inlineStr">
        <is>
          <t>Medellín</t>
        </is>
      </c>
      <c r="F542" t="inlineStr">
        <is>
          <t>PRY-003</t>
        </is>
      </c>
      <c r="G542" t="inlineStr">
        <is>
          <t>Facebook</t>
        </is>
      </c>
      <c r="H542" t="inlineStr">
        <is>
          <t>Ana Quintero</t>
        </is>
      </c>
      <c r="I542" t="inlineStr">
        <is>
          <t>Perdido</t>
        </is>
      </c>
      <c r="J542" s="28" t="n">
        <v>45459</v>
      </c>
      <c r="K542" s="28" t="n">
        <v>45465</v>
      </c>
      <c r="L542" t="inlineStr">
        <is>
          <t>No calificó para crédito</t>
        </is>
      </c>
    </row>
    <row r="543" ht="15.75" customHeight="1" s="25">
      <c r="A543" t="inlineStr">
        <is>
          <t>CLI-0541</t>
        </is>
      </c>
      <c r="B543" t="inlineStr">
        <is>
          <t>Ricardo Quintero Hernández</t>
        </is>
      </c>
      <c r="C543" t="inlineStr">
        <is>
          <t>3175585399</t>
        </is>
      </c>
      <c r="D543" t="inlineStr">
        <is>
          <t>ricardo.quintero42@yahoo.com</t>
        </is>
      </c>
      <c r="E543" t="inlineStr">
        <is>
          <t>Medellín</t>
        </is>
      </c>
      <c r="F543" t="inlineStr">
        <is>
          <t>PRY-004</t>
        </is>
      </c>
      <c r="G543" t="inlineStr">
        <is>
          <t>Instagram</t>
        </is>
      </c>
      <c r="H543" t="inlineStr">
        <is>
          <t>Andrés Torres</t>
        </is>
      </c>
      <c r="I543" t="inlineStr">
        <is>
          <t>Perdido</t>
        </is>
      </c>
      <c r="J543" s="28" t="n">
        <v>45460</v>
      </c>
      <c r="K543" s="28" t="n">
        <v>45487</v>
      </c>
      <c r="L543" t="inlineStr">
        <is>
          <t>Buscaba arriendo, no compra</t>
        </is>
      </c>
    </row>
    <row r="544" ht="15.75" customHeight="1" s="25">
      <c r="A544" t="inlineStr">
        <is>
          <t>CLI-0542</t>
        </is>
      </c>
      <c r="B544" t="inlineStr">
        <is>
          <t>Sofía Franco Ochoa</t>
        </is>
      </c>
      <c r="C544" t="inlineStr">
        <is>
          <t>3007535715</t>
        </is>
      </c>
      <c r="D544" t="inlineStr">
        <is>
          <t>sofia.franco56@gmail.com</t>
        </is>
      </c>
      <c r="E544" t="inlineStr">
        <is>
          <t>Medellín</t>
        </is>
      </c>
      <c r="F544" t="inlineStr">
        <is>
          <t>PRY-004</t>
        </is>
      </c>
      <c r="G544" t="inlineStr">
        <is>
          <t>Instagram</t>
        </is>
      </c>
      <c r="H544" t="inlineStr">
        <is>
          <t>Sofía Prada</t>
        </is>
      </c>
      <c r="I544" t="inlineStr">
        <is>
          <t>Perdido</t>
        </is>
      </c>
      <c r="J544" s="28" t="n">
        <v>45461</v>
      </c>
      <c r="K544" s="28" t="n">
        <v>45491</v>
      </c>
      <c r="L544" t="inlineStr">
        <is>
          <t>Sin respuesta tras 3 contactos</t>
        </is>
      </c>
    </row>
    <row r="545" ht="15.75" customHeight="1" s="25">
      <c r="A545" t="inlineStr">
        <is>
          <t>CLI-0543</t>
        </is>
      </c>
      <c r="B545" t="inlineStr">
        <is>
          <t>Fernando Ríos Vargas</t>
        </is>
      </c>
      <c r="C545" t="inlineStr">
        <is>
          <t>3003989610</t>
        </is>
      </c>
      <c r="D545" t="inlineStr">
        <is>
          <t>fernando.rios66@hotmail.com</t>
        </is>
      </c>
      <c r="E545" t="inlineStr">
        <is>
          <t>Sabaneta</t>
        </is>
      </c>
      <c r="F545" t="inlineStr">
        <is>
          <t>PRY-001</t>
        </is>
      </c>
      <c r="G545" t="inlineStr">
        <is>
          <t>Referido</t>
        </is>
      </c>
      <c r="H545" t="inlineStr">
        <is>
          <t>Andrés Torres</t>
        </is>
      </c>
      <c r="I545" t="inlineStr">
        <is>
          <t>Ganado</t>
        </is>
      </c>
      <c r="J545" s="28" t="n">
        <v>45462</v>
      </c>
      <c r="K545" s="28" t="n">
        <v>45581</v>
      </c>
      <c r="L545" t="inlineStr">
        <is>
          <t>Compró Apto 1505 en Torres del Poblado</t>
        </is>
      </c>
    </row>
    <row r="546" ht="15.75" customHeight="1" s="25">
      <c r="A546" t="inlineStr">
        <is>
          <t>CLI-0544</t>
        </is>
      </c>
      <c r="B546" t="inlineStr">
        <is>
          <t>Jorge Arango Toro</t>
        </is>
      </c>
      <c r="C546" t="inlineStr">
        <is>
          <t>3204161096</t>
        </is>
      </c>
      <c r="D546" t="inlineStr">
        <is>
          <t>jorge.arango5@outlook.com</t>
        </is>
      </c>
      <c r="E546" t="inlineStr">
        <is>
          <t>Medellín</t>
        </is>
      </c>
      <c r="F546" t="inlineStr">
        <is>
          <t>PRY-004</t>
        </is>
      </c>
      <c r="G546" t="inlineStr">
        <is>
          <t>Instagram</t>
        </is>
      </c>
      <c r="H546" t="inlineStr">
        <is>
          <t>Paula Arenas</t>
        </is>
      </c>
      <c r="I546" t="inlineStr">
        <is>
          <t>Perdido</t>
        </is>
      </c>
      <c r="J546" s="28" t="n">
        <v>45462</v>
      </c>
      <c r="K546" s="28" t="n">
        <v>45483</v>
      </c>
      <c r="L546" t="inlineStr">
        <is>
          <t>Sin respuesta tras 3 contactos</t>
        </is>
      </c>
    </row>
    <row r="547" ht="15.75" customHeight="1" s="25">
      <c r="A547" t="inlineStr">
        <is>
          <t>CLI-0545</t>
        </is>
      </c>
      <c r="B547" t="inlineStr">
        <is>
          <t>Alejandro Agudelo Montoya</t>
        </is>
      </c>
      <c r="C547" t="inlineStr">
        <is>
          <t>3005024686</t>
        </is>
      </c>
      <c r="D547" t="inlineStr">
        <is>
          <t>alejandro.agudelo31@outlook.com</t>
        </is>
      </c>
      <c r="E547" t="inlineStr">
        <is>
          <t>Medellín</t>
        </is>
      </c>
      <c r="F547" t="inlineStr">
        <is>
          <t>PRY-001</t>
        </is>
      </c>
      <c r="G547" t="inlineStr">
        <is>
          <t>Instagram</t>
        </is>
      </c>
      <c r="H547" t="inlineStr">
        <is>
          <t>Luis Bedoya</t>
        </is>
      </c>
      <c r="I547" t="inlineStr">
        <is>
          <t>Perdido</t>
        </is>
      </c>
      <c r="J547" s="28" t="n">
        <v>45462</v>
      </c>
      <c r="K547" s="28" t="n">
        <v>45468</v>
      </c>
      <c r="L547" t="inlineStr">
        <is>
          <t>No calificó para crédito</t>
        </is>
      </c>
    </row>
    <row r="548" ht="15.75" customHeight="1" s="25">
      <c r="A548" t="inlineStr">
        <is>
          <t>CLI-0546</t>
        </is>
      </c>
      <c r="B548" t="inlineStr">
        <is>
          <t>Mariana Ochoa Muñoz</t>
        </is>
      </c>
      <c r="C548" t="inlineStr">
        <is>
          <t>3246577660</t>
        </is>
      </c>
      <c r="D548" t="inlineStr">
        <is>
          <t>mariana.ochoa6@hotmail.com</t>
        </is>
      </c>
      <c r="E548" t="inlineStr">
        <is>
          <t>Medellín</t>
        </is>
      </c>
      <c r="F548" t="inlineStr">
        <is>
          <t>PRY-003</t>
        </is>
      </c>
      <c r="G548" t="inlineStr">
        <is>
          <t>Llamada directa</t>
        </is>
      </c>
      <c r="H548" t="inlineStr">
        <is>
          <t>Luis Bedoya</t>
        </is>
      </c>
      <c r="I548" t="inlineStr">
        <is>
          <t>Perdido</t>
        </is>
      </c>
      <c r="J548" s="28" t="n">
        <v>45462</v>
      </c>
      <c r="K548" s="28" t="n">
        <v>45470</v>
      </c>
      <c r="L548" t="inlineStr">
        <is>
          <t>Presupuesto insuficiente</t>
        </is>
      </c>
    </row>
    <row r="549" ht="15.75" customHeight="1" s="25">
      <c r="A549" t="inlineStr">
        <is>
          <t>CLI-0547</t>
        </is>
      </c>
      <c r="B549" t="inlineStr">
        <is>
          <t>Ximena Duque Escobar</t>
        </is>
      </c>
      <c r="C549" t="inlineStr">
        <is>
          <t>3242312670</t>
        </is>
      </c>
      <c r="D549" t="inlineStr">
        <is>
          <t>ximena.duque82@hotmail.com</t>
        </is>
      </c>
      <c r="E549" t="inlineStr">
        <is>
          <t>Medellín</t>
        </is>
      </c>
      <c r="F549" t="inlineStr">
        <is>
          <t>PRY-004</t>
        </is>
      </c>
      <c r="G549" t="inlineStr">
        <is>
          <t>Facebook</t>
        </is>
      </c>
      <c r="H549" t="inlineStr">
        <is>
          <t>Ana Quintero</t>
        </is>
      </c>
      <c r="I549" t="inlineStr">
        <is>
          <t>Perdido</t>
        </is>
      </c>
      <c r="J549" s="28" t="n">
        <v>45462</v>
      </c>
      <c r="K549" s="28" t="n">
        <v>45473</v>
      </c>
      <c r="L549" t="inlineStr">
        <is>
          <t>Datos de contacto errados</t>
        </is>
      </c>
    </row>
    <row r="550" ht="15.75" customHeight="1" s="25">
      <c r="A550" t="inlineStr">
        <is>
          <t>CLI-0548</t>
        </is>
      </c>
      <c r="B550" t="inlineStr">
        <is>
          <t>Wilson Escobar Henao</t>
        </is>
      </c>
      <c r="C550" t="inlineStr">
        <is>
          <t>3234550267</t>
        </is>
      </c>
      <c r="D550" t="inlineStr">
        <is>
          <t>wilson.escobar37@outlook.com</t>
        </is>
      </c>
      <c r="E550" t="inlineStr">
        <is>
          <t>Itagüí</t>
        </is>
      </c>
      <c r="F550" t="inlineStr">
        <is>
          <t>PRY-008</t>
        </is>
      </c>
      <c r="G550" t="inlineStr">
        <is>
          <t>Facebook</t>
        </is>
      </c>
      <c r="H550" t="inlineStr">
        <is>
          <t>Sofía Prada</t>
        </is>
      </c>
      <c r="I550" t="inlineStr">
        <is>
          <t>Perdido</t>
        </is>
      </c>
      <c r="J550" s="28" t="n">
        <v>45462</v>
      </c>
      <c r="K550" s="28" t="n">
        <v>45492</v>
      </c>
      <c r="L550" t="inlineStr">
        <is>
          <t>Sin respuesta tras 3 contactos</t>
        </is>
      </c>
    </row>
    <row r="551" ht="15.75" customHeight="1" s="25">
      <c r="A551" t="inlineStr">
        <is>
          <t>CLI-0549</t>
        </is>
      </c>
      <c r="B551" t="inlineStr">
        <is>
          <t>Nicolás Duque Bedoya</t>
        </is>
      </c>
      <c r="C551" t="inlineStr">
        <is>
          <t>3239034815</t>
        </is>
      </c>
      <c r="D551" t="inlineStr">
        <is>
          <t>nicolas.duque80@hotmail.com</t>
        </is>
      </c>
      <c r="E551" t="inlineStr">
        <is>
          <t>Itagüí</t>
        </is>
      </c>
      <c r="F551" t="inlineStr">
        <is>
          <t>PRY-005</t>
        </is>
      </c>
      <c r="G551" t="inlineStr">
        <is>
          <t>Referido</t>
        </is>
      </c>
      <c r="H551" t="inlineStr">
        <is>
          <t>Ana Quintero</t>
        </is>
      </c>
      <c r="I551" t="inlineStr">
        <is>
          <t>Ganado</t>
        </is>
      </c>
      <c r="J551" s="28" t="n">
        <v>45463</v>
      </c>
      <c r="K551" s="28" t="n">
        <v>45566</v>
      </c>
      <c r="L551" t="inlineStr">
        <is>
          <t>Compró Apto 807 en Ciudadela Rionegro</t>
        </is>
      </c>
    </row>
    <row r="552" ht="15.75" customHeight="1" s="25">
      <c r="A552" t="inlineStr">
        <is>
          <t>CLI-0550</t>
        </is>
      </c>
      <c r="B552" t="inlineStr">
        <is>
          <t>Felipe Álvarez Betancur</t>
        </is>
      </c>
      <c r="C552" t="inlineStr">
        <is>
          <t>3135705860</t>
        </is>
      </c>
      <c r="D552" t="inlineStr">
        <is>
          <t>felipe.alvarez67@hotmail.com</t>
        </is>
      </c>
      <c r="E552" t="inlineStr">
        <is>
          <t>Rionegro</t>
        </is>
      </c>
      <c r="F552" t="inlineStr">
        <is>
          <t>PRY-008</t>
        </is>
      </c>
      <c r="G552" t="inlineStr">
        <is>
          <t>Portal Web</t>
        </is>
      </c>
      <c r="H552" t="inlineStr">
        <is>
          <t>Andrés Torres</t>
        </is>
      </c>
      <c r="I552" t="inlineStr">
        <is>
          <t>Perdido</t>
        </is>
      </c>
      <c r="J552" s="28" t="n">
        <v>45463</v>
      </c>
      <c r="K552" s="28" t="n">
        <v>45470</v>
      </c>
      <c r="L552" t="inlineStr">
        <is>
          <t>Sin respuesta tras 3 contactos</t>
        </is>
      </c>
    </row>
    <row r="553" ht="15.75" customHeight="1" s="25">
      <c r="A553" t="inlineStr">
        <is>
          <t>CLI-0551</t>
        </is>
      </c>
      <c r="B553" t="inlineStr">
        <is>
          <t>Catalina Ramírez Zapata</t>
        </is>
      </c>
      <c r="C553" t="inlineStr">
        <is>
          <t>3144926942</t>
        </is>
      </c>
      <c r="D553" t="inlineStr">
        <is>
          <t>catalina.ramirez50@outlook.com</t>
        </is>
      </c>
      <c r="E553" t="inlineStr">
        <is>
          <t>Medellín</t>
        </is>
      </c>
      <c r="F553" t="inlineStr">
        <is>
          <t>PRY-003</t>
        </is>
      </c>
      <c r="G553" t="inlineStr">
        <is>
          <t>Portal Web</t>
        </is>
      </c>
      <c r="H553" t="inlineStr">
        <is>
          <t>Juliana Vélez</t>
        </is>
      </c>
      <c r="I553" t="inlineStr">
        <is>
          <t>Perdido</t>
        </is>
      </c>
      <c r="J553" s="28" t="n">
        <v>45463</v>
      </c>
      <c r="K553" s="28" t="n">
        <v>45487</v>
      </c>
      <c r="L553" t="inlineStr">
        <is>
          <t>Sin respuesta tras 3 contactos</t>
        </is>
      </c>
    </row>
    <row r="554" ht="15.75" customHeight="1" s="25">
      <c r="A554" t="inlineStr">
        <is>
          <t>CLI-0552</t>
        </is>
      </c>
      <c r="B554" t="inlineStr">
        <is>
          <t>Santiago Toro Peláez</t>
        </is>
      </c>
      <c r="C554" t="inlineStr">
        <is>
          <t>3149874403</t>
        </is>
      </c>
      <c r="D554" t="inlineStr">
        <is>
          <t>santiago.toro21@yahoo.com</t>
        </is>
      </c>
      <c r="E554" t="inlineStr">
        <is>
          <t>Itagüí</t>
        </is>
      </c>
      <c r="F554" t="inlineStr">
        <is>
          <t>PRY-005</t>
        </is>
      </c>
      <c r="G554" t="inlineStr">
        <is>
          <t>Facebook</t>
        </is>
      </c>
      <c r="H554" t="inlineStr">
        <is>
          <t>Luis Bedoya</t>
        </is>
      </c>
      <c r="I554" t="inlineStr">
        <is>
          <t>Perdido</t>
        </is>
      </c>
      <c r="J554" s="28" t="n">
        <v>45463</v>
      </c>
      <c r="K554" s="28" t="n">
        <v>45485</v>
      </c>
      <c r="L554" t="inlineStr">
        <is>
          <t>No calificó para crédito</t>
        </is>
      </c>
    </row>
    <row r="555" ht="15.75" customHeight="1" s="25">
      <c r="A555" t="inlineStr">
        <is>
          <t>CLI-0553</t>
        </is>
      </c>
      <c r="B555" t="inlineStr">
        <is>
          <t>Carlos Correa Espinosa</t>
        </is>
      </c>
      <c r="C555" t="inlineStr">
        <is>
          <t>3228831839</t>
        </is>
      </c>
      <c r="D555" t="inlineStr">
        <is>
          <t>carlos.correa75@outlook.com</t>
        </is>
      </c>
      <c r="E555" t="inlineStr">
        <is>
          <t>Itagüí</t>
        </is>
      </c>
      <c r="F555" t="inlineStr">
        <is>
          <t>PRY-008</t>
        </is>
      </c>
      <c r="G555" t="inlineStr">
        <is>
          <t>Instagram</t>
        </is>
      </c>
      <c r="H555" t="inlineStr">
        <is>
          <t>Santiago Muñoz</t>
        </is>
      </c>
      <c r="I555" t="inlineStr">
        <is>
          <t>Perdido</t>
        </is>
      </c>
      <c r="J555" s="28" t="n">
        <v>45464</v>
      </c>
      <c r="K555" s="28" t="n">
        <v>45493</v>
      </c>
      <c r="L555" t="inlineStr">
        <is>
          <t>Datos de contacto errados</t>
        </is>
      </c>
    </row>
    <row r="556" ht="15.75" customHeight="1" s="25">
      <c r="A556" t="inlineStr">
        <is>
          <t>CLI-0554</t>
        </is>
      </c>
      <c r="B556" t="inlineStr">
        <is>
          <t>Hernán Castaño Espinosa</t>
        </is>
      </c>
      <c r="C556" t="inlineStr">
        <is>
          <t>3134285235</t>
        </is>
      </c>
      <c r="D556" t="inlineStr">
        <is>
          <t>hernan.castano98@outlook.com</t>
        </is>
      </c>
      <c r="E556" t="inlineStr">
        <is>
          <t>Medellín</t>
        </is>
      </c>
      <c r="F556" t="inlineStr">
        <is>
          <t>PRY-002</t>
        </is>
      </c>
      <c r="G556" t="inlineStr">
        <is>
          <t>Feria Inmobiliaria</t>
        </is>
      </c>
      <c r="H556" t="inlineStr">
        <is>
          <t>Miguel Salazar</t>
        </is>
      </c>
      <c r="I556" t="inlineStr">
        <is>
          <t>Perdido</t>
        </is>
      </c>
      <c r="J556" s="28" t="n">
        <v>45465</v>
      </c>
      <c r="K556" s="28" t="n">
        <v>45596</v>
      </c>
      <c r="L556" t="inlineStr">
        <is>
          <t>Crédito no aprobado</t>
        </is>
      </c>
    </row>
    <row r="557" ht="15.75" customHeight="1" s="25">
      <c r="A557" t="inlineStr">
        <is>
          <t>CLI-0555</t>
        </is>
      </c>
      <c r="B557" t="inlineStr">
        <is>
          <t>David Castaño Castaño</t>
        </is>
      </c>
      <c r="C557" t="inlineStr">
        <is>
          <t>3207181283</t>
        </is>
      </c>
      <c r="D557" t="inlineStr">
        <is>
          <t>david.castano34@yahoo.com</t>
        </is>
      </c>
      <c r="E557" t="inlineStr">
        <is>
          <t>Medellín</t>
        </is>
      </c>
      <c r="F557" t="inlineStr">
        <is>
          <t>PRY-003</t>
        </is>
      </c>
      <c r="G557" t="inlineStr">
        <is>
          <t>Instagram</t>
        </is>
      </c>
      <c r="H557" t="inlineStr">
        <is>
          <t>Ana Quintero</t>
        </is>
      </c>
      <c r="I557" t="inlineStr">
        <is>
          <t>Perdido</t>
        </is>
      </c>
      <c r="J557" s="28" t="n">
        <v>45465</v>
      </c>
      <c r="K557" s="28" t="n">
        <v>45480</v>
      </c>
      <c r="L557" t="inlineStr">
        <is>
          <t>Sin respuesta tras 3 contactos</t>
        </is>
      </c>
    </row>
    <row r="558" ht="15.75" customHeight="1" s="25">
      <c r="A558" t="inlineStr">
        <is>
          <t>CLI-0556</t>
        </is>
      </c>
      <c r="B558" t="inlineStr">
        <is>
          <t>María Higuita Quintero</t>
        </is>
      </c>
      <c r="C558" t="inlineStr">
        <is>
          <t>3006868503</t>
        </is>
      </c>
      <c r="D558" t="inlineStr">
        <is>
          <t>maria.higuita29@yahoo.com</t>
        </is>
      </c>
      <c r="E558" t="inlineStr">
        <is>
          <t>Bello</t>
        </is>
      </c>
      <c r="F558" t="inlineStr">
        <is>
          <t>PRY-004</t>
        </is>
      </c>
      <c r="G558" t="inlineStr">
        <is>
          <t>Portal Web</t>
        </is>
      </c>
      <c r="H558" t="inlineStr">
        <is>
          <t>Santiago Muñoz</t>
        </is>
      </c>
      <c r="I558" t="inlineStr">
        <is>
          <t>Ganado</t>
        </is>
      </c>
      <c r="J558" s="28" t="n">
        <v>45466</v>
      </c>
      <c r="K558" s="28" t="n">
        <v>45557</v>
      </c>
      <c r="L558" t="inlineStr">
        <is>
          <t>Compró Casa 35 en Altavista Park</t>
        </is>
      </c>
    </row>
    <row r="559" ht="15.75" customHeight="1" s="25">
      <c r="A559" t="inlineStr">
        <is>
          <t>CLI-0557</t>
        </is>
      </c>
      <c r="B559" t="inlineStr">
        <is>
          <t>Valeria Zapata Vásquez</t>
        </is>
      </c>
      <c r="C559" t="inlineStr">
        <is>
          <t>3236104983</t>
        </is>
      </c>
      <c r="D559" t="inlineStr">
        <is>
          <t>valeria.zapata7@gmail.com</t>
        </is>
      </c>
      <c r="E559" t="inlineStr">
        <is>
          <t>Medellín</t>
        </is>
      </c>
      <c r="F559" t="inlineStr">
        <is>
          <t>PRY-002</t>
        </is>
      </c>
      <c r="G559" t="inlineStr">
        <is>
          <t>Instagram</t>
        </is>
      </c>
      <c r="H559" t="inlineStr">
        <is>
          <t>Paula Arenas</t>
        </is>
      </c>
      <c r="I559" t="inlineStr">
        <is>
          <t>Perdido</t>
        </is>
      </c>
      <c r="J559" s="28" t="n">
        <v>45466</v>
      </c>
      <c r="K559" s="28" t="n">
        <v>45485</v>
      </c>
      <c r="L559" t="inlineStr">
        <is>
          <t>No calificó para crédito</t>
        </is>
      </c>
    </row>
    <row r="560" ht="15.75" customHeight="1" s="25">
      <c r="A560" t="inlineStr">
        <is>
          <t>CLI-0558</t>
        </is>
      </c>
      <c r="B560" t="inlineStr">
        <is>
          <t>Alejandra Gaviria Vélez</t>
        </is>
      </c>
      <c r="C560" t="inlineStr">
        <is>
          <t>3007713934</t>
        </is>
      </c>
      <c r="D560" t="inlineStr">
        <is>
          <t>alejandra.gaviria49@yahoo.com</t>
        </is>
      </c>
      <c r="E560" t="inlineStr">
        <is>
          <t>Itagüí</t>
        </is>
      </c>
      <c r="F560" t="inlineStr">
        <is>
          <t>PRY-008</t>
        </is>
      </c>
      <c r="G560" t="inlineStr">
        <is>
          <t>Instagram</t>
        </is>
      </c>
      <c r="H560" t="inlineStr">
        <is>
          <t>Andrés Torres</t>
        </is>
      </c>
      <c r="I560" t="inlineStr">
        <is>
          <t>Perdido</t>
        </is>
      </c>
      <c r="J560" s="28" t="n">
        <v>45466</v>
      </c>
      <c r="K560" s="28" t="n">
        <v>45471</v>
      </c>
      <c r="L560" t="inlineStr">
        <is>
          <t>Sin respuesta tras 3 contactos</t>
        </is>
      </c>
    </row>
    <row r="561" ht="15.75" customHeight="1" s="25">
      <c r="A561" t="inlineStr">
        <is>
          <t>CLI-0559</t>
        </is>
      </c>
      <c r="B561" t="inlineStr">
        <is>
          <t>David Cardona Cano</t>
        </is>
      </c>
      <c r="C561" t="inlineStr">
        <is>
          <t>3237862497</t>
        </is>
      </c>
      <c r="D561" t="inlineStr">
        <is>
          <t>david.cardona3@yahoo.com</t>
        </is>
      </c>
      <c r="E561" t="inlineStr">
        <is>
          <t>La Estrella</t>
        </is>
      </c>
      <c r="F561" t="inlineStr">
        <is>
          <t>PRY-008</t>
        </is>
      </c>
      <c r="G561" t="inlineStr">
        <is>
          <t>Referido</t>
        </is>
      </c>
      <c r="H561" t="inlineStr">
        <is>
          <t>Paula Arenas</t>
        </is>
      </c>
      <c r="I561" t="inlineStr">
        <is>
          <t>Ganado</t>
        </is>
      </c>
      <c r="J561" s="28" t="n">
        <v>45467</v>
      </c>
      <c r="K561" s="28" t="n">
        <v>45578</v>
      </c>
      <c r="L561" t="inlineStr">
        <is>
          <t>Compró Casa 95 en Valle Verde Itagüí</t>
        </is>
      </c>
    </row>
    <row r="562" ht="15.75" customHeight="1" s="25">
      <c r="A562" t="inlineStr">
        <is>
          <t>CLI-0560</t>
        </is>
      </c>
      <c r="B562" t="inlineStr">
        <is>
          <t>Iván Gómez Muñoz</t>
        </is>
      </c>
      <c r="C562" t="inlineStr">
        <is>
          <t>3241805885</t>
        </is>
      </c>
      <c r="D562" t="inlineStr">
        <is>
          <t>ivan.gomez99@hotmail.com</t>
        </is>
      </c>
      <c r="E562" t="inlineStr">
        <is>
          <t>Envigado</t>
        </is>
      </c>
      <c r="F562" t="inlineStr">
        <is>
          <t>PRY-003</t>
        </is>
      </c>
      <c r="G562" t="inlineStr">
        <is>
          <t>Referido</t>
        </is>
      </c>
      <c r="H562" t="inlineStr">
        <is>
          <t>Ana Quintero</t>
        </is>
      </c>
      <c r="I562" t="inlineStr">
        <is>
          <t>Perdido</t>
        </is>
      </c>
      <c r="J562" s="28" t="n">
        <v>45467</v>
      </c>
      <c r="K562" s="28" t="n">
        <v>45486</v>
      </c>
      <c r="L562" t="inlineStr">
        <is>
          <t>Datos de contacto errados</t>
        </is>
      </c>
    </row>
    <row r="563" ht="15.75" customHeight="1" s="25">
      <c r="A563" t="inlineStr">
        <is>
          <t>CLI-0561</t>
        </is>
      </c>
      <c r="B563" t="inlineStr">
        <is>
          <t>Juliana Muñoz López</t>
        </is>
      </c>
      <c r="C563" t="inlineStr">
        <is>
          <t>3175152521</t>
        </is>
      </c>
      <c r="D563" t="inlineStr">
        <is>
          <t>juliana.munoz82@hotmail.com</t>
        </is>
      </c>
      <c r="E563" t="inlineStr">
        <is>
          <t>Itagüí</t>
        </is>
      </c>
      <c r="F563" t="inlineStr">
        <is>
          <t>PRY-008</t>
        </is>
      </c>
      <c r="G563" t="inlineStr">
        <is>
          <t>Portal Web</t>
        </is>
      </c>
      <c r="H563" t="inlineStr">
        <is>
          <t>Sofía Prada</t>
        </is>
      </c>
      <c r="I563" t="inlineStr">
        <is>
          <t>Perdido</t>
        </is>
      </c>
      <c r="J563" s="28" t="n">
        <v>45467</v>
      </c>
      <c r="K563" s="28" t="n">
        <v>45485</v>
      </c>
      <c r="L563" t="inlineStr">
        <is>
          <t>Sin respuesta tras 3 contactos</t>
        </is>
      </c>
    </row>
    <row r="564" ht="15.75" customHeight="1" s="25">
      <c r="A564" t="inlineStr">
        <is>
          <t>CLI-0562</t>
        </is>
      </c>
      <c r="B564" t="inlineStr">
        <is>
          <t>Luisa Vélez Marín</t>
        </is>
      </c>
      <c r="C564" t="inlineStr">
        <is>
          <t>3003888068</t>
        </is>
      </c>
      <c r="D564" t="inlineStr">
        <is>
          <t>luisa.velez25@yahoo.com</t>
        </is>
      </c>
      <c r="E564" t="inlineStr">
        <is>
          <t>Sabaneta</t>
        </is>
      </c>
      <c r="F564" t="inlineStr">
        <is>
          <t>PRY-005</t>
        </is>
      </c>
      <c r="G564" t="inlineStr">
        <is>
          <t>Llamada directa</t>
        </is>
      </c>
      <c r="H564" t="inlineStr">
        <is>
          <t>Miguel Salazar</t>
        </is>
      </c>
      <c r="I564" t="inlineStr">
        <is>
          <t>Perdido</t>
        </is>
      </c>
      <c r="J564" s="28" t="n">
        <v>45468</v>
      </c>
      <c r="K564" s="28" t="n">
        <v>45473</v>
      </c>
      <c r="L564" t="inlineStr">
        <is>
          <t>No calificó para crédito</t>
        </is>
      </c>
    </row>
    <row r="565" ht="15.75" customHeight="1" s="25">
      <c r="A565" t="inlineStr">
        <is>
          <t>CLI-0563</t>
        </is>
      </c>
      <c r="B565" t="inlineStr">
        <is>
          <t>Iván Cardona Correa</t>
        </is>
      </c>
      <c r="C565" t="inlineStr">
        <is>
          <t>3132378321</t>
        </is>
      </c>
      <c r="D565" t="inlineStr">
        <is>
          <t>ivan.cardona82@gmail.com</t>
        </is>
      </c>
      <c r="E565" t="inlineStr">
        <is>
          <t>Envigado</t>
        </is>
      </c>
      <c r="F565" t="inlineStr">
        <is>
          <t>PRY-007</t>
        </is>
      </c>
      <c r="G565" t="inlineStr">
        <is>
          <t>Referido</t>
        </is>
      </c>
      <c r="H565" t="inlineStr">
        <is>
          <t>Andrés Torres</t>
        </is>
      </c>
      <c r="I565" t="inlineStr">
        <is>
          <t>Ganado</t>
        </is>
      </c>
      <c r="J565" s="28" t="n">
        <v>45469</v>
      </c>
      <c r="K565" s="28" t="n">
        <v>45608</v>
      </c>
      <c r="L565" t="inlineStr">
        <is>
          <t>Compró Apto 1004 en Mirador de Envigado</t>
        </is>
      </c>
    </row>
    <row r="566" ht="15.75" customHeight="1" s="25">
      <c r="A566" t="inlineStr">
        <is>
          <t>CLI-0564</t>
        </is>
      </c>
      <c r="B566" t="inlineStr">
        <is>
          <t>Camila Vásquez Salazar</t>
        </is>
      </c>
      <c r="C566" t="inlineStr">
        <is>
          <t>3138967416</t>
        </is>
      </c>
      <c r="D566" t="inlineStr">
        <is>
          <t>camila.vasquez43@gmail.com</t>
        </is>
      </c>
      <c r="E566" t="inlineStr">
        <is>
          <t>Rionegro</t>
        </is>
      </c>
      <c r="F566" t="inlineStr">
        <is>
          <t>PRY-005</t>
        </is>
      </c>
      <c r="G566" t="inlineStr">
        <is>
          <t>Portal Web</t>
        </is>
      </c>
      <c r="H566" t="inlineStr">
        <is>
          <t>Santiago Muñoz</t>
        </is>
      </c>
      <c r="I566" t="inlineStr">
        <is>
          <t>Ganado</t>
        </is>
      </c>
      <c r="J566" s="28" t="n">
        <v>45469</v>
      </c>
      <c r="K566" s="28" t="n">
        <v>45615</v>
      </c>
      <c r="L566" t="inlineStr">
        <is>
          <t>Compró Apto 1105 en Ciudadela Rionegro</t>
        </is>
      </c>
    </row>
    <row r="567" ht="15.75" customHeight="1" s="25">
      <c r="A567" t="inlineStr">
        <is>
          <t>CLI-0565</t>
        </is>
      </c>
      <c r="B567" t="inlineStr">
        <is>
          <t>Juliana Betancur Echeverri</t>
        </is>
      </c>
      <c r="C567" t="inlineStr">
        <is>
          <t>3154952336</t>
        </is>
      </c>
      <c r="D567" t="inlineStr">
        <is>
          <t>juliana.betancur44@hotmail.com</t>
        </is>
      </c>
      <c r="E567" t="inlineStr">
        <is>
          <t>Medellín</t>
        </is>
      </c>
      <c r="F567" t="inlineStr">
        <is>
          <t>PRY-003</t>
        </is>
      </c>
      <c r="G567" t="inlineStr">
        <is>
          <t>Instagram</t>
        </is>
      </c>
      <c r="H567" t="inlineStr">
        <is>
          <t>Ana Quintero</t>
        </is>
      </c>
      <c r="I567" t="inlineStr">
        <is>
          <t>Perdido</t>
        </is>
      </c>
      <c r="J567" s="28" t="n">
        <v>45469</v>
      </c>
      <c r="K567" s="28" t="n">
        <v>45534</v>
      </c>
      <c r="L567" t="inlineStr">
        <is>
          <t>Precio fuera de presupuesto</t>
        </is>
      </c>
    </row>
    <row r="568" ht="15.75" customHeight="1" s="25">
      <c r="A568" t="inlineStr">
        <is>
          <t>CLI-0566</t>
        </is>
      </c>
      <c r="B568" t="inlineStr">
        <is>
          <t>Isabel Zapata Escobar</t>
        </is>
      </c>
      <c r="C568" t="inlineStr">
        <is>
          <t>3009225557</t>
        </is>
      </c>
      <c r="D568" t="inlineStr">
        <is>
          <t>isabel.zapata76@hotmail.com</t>
        </is>
      </c>
      <c r="E568" t="inlineStr">
        <is>
          <t>Medellín</t>
        </is>
      </c>
      <c r="F568" t="inlineStr">
        <is>
          <t>PRY-004</t>
        </is>
      </c>
      <c r="G568" t="inlineStr">
        <is>
          <t>Portal Web</t>
        </is>
      </c>
      <c r="H568" t="inlineStr">
        <is>
          <t>Santiago Muñoz</t>
        </is>
      </c>
      <c r="I568" t="inlineStr">
        <is>
          <t>Perdido</t>
        </is>
      </c>
      <c r="J568" s="28" t="n">
        <v>45469</v>
      </c>
      <c r="K568" s="28" t="n">
        <v>45493</v>
      </c>
      <c r="L568" t="inlineStr">
        <is>
          <t>Sin respuesta tras 3 contactos</t>
        </is>
      </c>
    </row>
    <row r="569" ht="15.75" customHeight="1" s="25">
      <c r="A569" t="inlineStr">
        <is>
          <t>CLI-0567</t>
        </is>
      </c>
      <c r="B569" t="inlineStr">
        <is>
          <t>Fernando Osorio Salcedo</t>
        </is>
      </c>
      <c r="C569" t="inlineStr">
        <is>
          <t>3245934745</t>
        </is>
      </c>
      <c r="D569" t="inlineStr">
        <is>
          <t>fernando.osorio28@gmail.com</t>
        </is>
      </c>
      <c r="E569" t="inlineStr">
        <is>
          <t>Rionegro</t>
        </is>
      </c>
      <c r="F569" t="inlineStr">
        <is>
          <t>PRY-005</t>
        </is>
      </c>
      <c r="G569" t="inlineStr">
        <is>
          <t>Instagram</t>
        </is>
      </c>
      <c r="H569" t="inlineStr">
        <is>
          <t>Santiago Muñoz</t>
        </is>
      </c>
      <c r="I569" t="inlineStr">
        <is>
          <t>Perdido</t>
        </is>
      </c>
      <c r="J569" s="28" t="n">
        <v>45469</v>
      </c>
      <c r="K569" s="28" t="n">
        <v>45483</v>
      </c>
      <c r="L569" t="inlineStr">
        <is>
          <t>Presupuesto insuficiente</t>
        </is>
      </c>
    </row>
    <row r="570" ht="15.75" customHeight="1" s="25">
      <c r="A570" t="inlineStr">
        <is>
          <t>CLI-0568</t>
        </is>
      </c>
      <c r="B570" t="inlineStr">
        <is>
          <t>Verónica Uribe Salazar</t>
        </is>
      </c>
      <c r="C570" t="inlineStr">
        <is>
          <t>3019879646</t>
        </is>
      </c>
      <c r="D570" t="inlineStr">
        <is>
          <t>veronica.uribe75@yahoo.com</t>
        </is>
      </c>
      <c r="E570" t="inlineStr">
        <is>
          <t>Envigado</t>
        </is>
      </c>
      <c r="F570" t="inlineStr">
        <is>
          <t>PRY-001</t>
        </is>
      </c>
      <c r="G570" t="inlineStr">
        <is>
          <t>Referido</t>
        </is>
      </c>
      <c r="H570" t="inlineStr">
        <is>
          <t>Ana Quintero</t>
        </is>
      </c>
      <c r="I570" t="inlineStr">
        <is>
          <t>Perdido</t>
        </is>
      </c>
      <c r="J570" s="28" t="n">
        <v>45469</v>
      </c>
      <c r="K570" s="28" t="n">
        <v>45496</v>
      </c>
      <c r="L570" t="inlineStr">
        <is>
          <t>Datos de contacto errados</t>
        </is>
      </c>
    </row>
    <row r="571" ht="15.75" customHeight="1" s="25">
      <c r="A571" t="inlineStr">
        <is>
          <t>CLI-0569</t>
        </is>
      </c>
      <c r="B571" t="inlineStr">
        <is>
          <t>Gabriel Osorio Osorio</t>
        </is>
      </c>
      <c r="C571" t="inlineStr">
        <is>
          <t>3148579202</t>
        </is>
      </c>
      <c r="D571" t="inlineStr">
        <is>
          <t>gabriel.osorio21@hotmail.com</t>
        </is>
      </c>
      <c r="E571" t="inlineStr">
        <is>
          <t>Rionegro</t>
        </is>
      </c>
      <c r="F571" t="inlineStr">
        <is>
          <t>PRY-005</t>
        </is>
      </c>
      <c r="G571" t="inlineStr">
        <is>
          <t>Portal Web</t>
        </is>
      </c>
      <c r="H571" t="inlineStr">
        <is>
          <t>Miguel Salazar</t>
        </is>
      </c>
      <c r="I571" t="inlineStr">
        <is>
          <t>Perdido</t>
        </is>
      </c>
      <c r="J571" s="28" t="n">
        <v>45469</v>
      </c>
      <c r="K571" s="28" t="n">
        <v>45474</v>
      </c>
      <c r="L571" t="inlineStr">
        <is>
          <t>Buscaba arriendo, no compra</t>
        </is>
      </c>
    </row>
    <row r="572" ht="15.75" customHeight="1" s="25">
      <c r="A572" t="inlineStr">
        <is>
          <t>CLI-0570</t>
        </is>
      </c>
      <c r="B572" t="inlineStr">
        <is>
          <t>Cristian Ochoa Betancur</t>
        </is>
      </c>
      <c r="C572" t="inlineStr">
        <is>
          <t>3145320156</t>
        </is>
      </c>
      <c r="D572" t="inlineStr">
        <is>
          <t>cristian.ochoa48@outlook.com</t>
        </is>
      </c>
      <c r="E572" t="inlineStr">
        <is>
          <t>Medellín</t>
        </is>
      </c>
      <c r="F572" t="inlineStr">
        <is>
          <t>PRY-004</t>
        </is>
      </c>
      <c r="G572" t="inlineStr">
        <is>
          <t>Facebook</t>
        </is>
      </c>
      <c r="H572" t="inlineStr">
        <is>
          <t>Andrés Torres</t>
        </is>
      </c>
      <c r="I572" t="inlineStr">
        <is>
          <t>Ganado</t>
        </is>
      </c>
      <c r="J572" s="28" t="n">
        <v>45470</v>
      </c>
      <c r="K572" s="28" t="n">
        <v>45594</v>
      </c>
      <c r="L572" t="inlineStr">
        <is>
          <t>Compró Casa 29 en Altavista Park</t>
        </is>
      </c>
    </row>
    <row r="573" ht="15.75" customHeight="1" s="25">
      <c r="A573" t="inlineStr">
        <is>
          <t>CLI-0571</t>
        </is>
      </c>
      <c r="B573" t="inlineStr">
        <is>
          <t>Cristian Giraldo Montes</t>
        </is>
      </c>
      <c r="C573" t="inlineStr">
        <is>
          <t>3225529897</t>
        </is>
      </c>
      <c r="D573" t="inlineStr">
        <is>
          <t>cristian.giraldo33@hotmail.com</t>
        </is>
      </c>
      <c r="E573" t="inlineStr">
        <is>
          <t>Itagüí</t>
        </is>
      </c>
      <c r="F573" t="inlineStr">
        <is>
          <t>PRY-008</t>
        </is>
      </c>
      <c r="G573" t="inlineStr">
        <is>
          <t>Portal Web</t>
        </is>
      </c>
      <c r="H573" t="inlineStr">
        <is>
          <t>Juliana Vélez</t>
        </is>
      </c>
      <c r="I573" t="inlineStr">
        <is>
          <t>Perdido</t>
        </is>
      </c>
      <c r="J573" s="28" t="n">
        <v>45470</v>
      </c>
      <c r="K573" s="28" t="n">
        <v>45491</v>
      </c>
      <c r="L573" t="inlineStr">
        <is>
          <t>Sin respuesta tras 3 contactos</t>
        </is>
      </c>
    </row>
    <row r="574" ht="15.75" customHeight="1" s="25">
      <c r="A574" t="inlineStr">
        <is>
          <t>CLI-0572</t>
        </is>
      </c>
      <c r="B574" t="inlineStr">
        <is>
          <t>Esteban Franco Vásquez</t>
        </is>
      </c>
      <c r="C574" t="inlineStr">
        <is>
          <t>3177702645</t>
        </is>
      </c>
      <c r="D574" t="inlineStr">
        <is>
          <t>esteban.franco4@outlook.com</t>
        </is>
      </c>
      <c r="E574" t="inlineStr">
        <is>
          <t>Sabaneta</t>
        </is>
      </c>
      <c r="F574" t="inlineStr">
        <is>
          <t>PRY-001</t>
        </is>
      </c>
      <c r="G574" t="inlineStr">
        <is>
          <t>Facebook</t>
        </is>
      </c>
      <c r="H574" t="inlineStr">
        <is>
          <t>Andrés Torres</t>
        </is>
      </c>
      <c r="I574" t="inlineStr">
        <is>
          <t>Perdido</t>
        </is>
      </c>
      <c r="J574" s="28" t="n">
        <v>45471</v>
      </c>
      <c r="K574" s="28" t="n">
        <v>45587</v>
      </c>
      <c r="L574" t="inlineStr">
        <is>
          <t>Desistió de la compra</t>
        </is>
      </c>
    </row>
    <row r="575" ht="15.75" customHeight="1" s="25">
      <c r="A575" t="inlineStr">
        <is>
          <t>CLI-0573</t>
        </is>
      </c>
      <c r="B575" t="inlineStr">
        <is>
          <t>Isabel Agudelo Peláez</t>
        </is>
      </c>
      <c r="C575" t="inlineStr">
        <is>
          <t>3105005886</t>
        </is>
      </c>
      <c r="D575" t="inlineStr">
        <is>
          <t>isabel.agudelo43@yahoo.com</t>
        </is>
      </c>
      <c r="E575" t="inlineStr">
        <is>
          <t>La Estrella</t>
        </is>
      </c>
      <c r="F575" t="inlineStr">
        <is>
          <t>PRY-001</t>
        </is>
      </c>
      <c r="G575" t="inlineStr">
        <is>
          <t>Referido</t>
        </is>
      </c>
      <c r="H575" t="inlineStr">
        <is>
          <t>Santiago Muñoz</t>
        </is>
      </c>
      <c r="I575" t="inlineStr">
        <is>
          <t>Ganado</t>
        </is>
      </c>
      <c r="J575" s="28" t="n">
        <v>45471</v>
      </c>
      <c r="K575" s="28" t="n">
        <v>45599</v>
      </c>
      <c r="L575" t="inlineStr">
        <is>
          <t>Compró Apto 906 en Torres del Poblado</t>
        </is>
      </c>
    </row>
    <row r="576" ht="15.75" customHeight="1" s="25">
      <c r="A576" t="inlineStr">
        <is>
          <t>CLI-0574</t>
        </is>
      </c>
      <c r="B576" t="inlineStr">
        <is>
          <t>Jorge Vélez Restrepo</t>
        </is>
      </c>
      <c r="C576" t="inlineStr">
        <is>
          <t>3229294531</t>
        </is>
      </c>
      <c r="D576" t="inlineStr">
        <is>
          <t>jorge.velez41@gmail.com</t>
        </is>
      </c>
      <c r="E576" t="inlineStr">
        <is>
          <t>Itagüí</t>
        </is>
      </c>
      <c r="F576" t="inlineStr">
        <is>
          <t>PRY-001</t>
        </is>
      </c>
      <c r="G576" t="inlineStr">
        <is>
          <t>Portal Web</t>
        </is>
      </c>
      <c r="H576" t="inlineStr">
        <is>
          <t>Santiago Muñoz</t>
        </is>
      </c>
      <c r="I576" t="inlineStr">
        <is>
          <t>Perdido</t>
        </is>
      </c>
      <c r="J576" s="28" t="n">
        <v>45471</v>
      </c>
      <c r="K576" s="28" t="n">
        <v>45501</v>
      </c>
      <c r="L576" t="inlineStr">
        <is>
          <t>Presupuesto insuficiente</t>
        </is>
      </c>
    </row>
    <row r="577" ht="15.75" customHeight="1" s="25">
      <c r="A577" t="inlineStr">
        <is>
          <t>CLI-0575</t>
        </is>
      </c>
      <c r="B577" t="inlineStr">
        <is>
          <t>Liliana Sánchez Betancur</t>
        </is>
      </c>
      <c r="C577" t="inlineStr">
        <is>
          <t>3154633315</t>
        </is>
      </c>
      <c r="D577" t="inlineStr">
        <is>
          <t>liliana.sanchez43@hotmail.com</t>
        </is>
      </c>
      <c r="E577" t="inlineStr">
        <is>
          <t>Itagüí</t>
        </is>
      </c>
      <c r="F577" t="inlineStr">
        <is>
          <t>PRY-008</t>
        </is>
      </c>
      <c r="G577" t="inlineStr">
        <is>
          <t>Portal Web</t>
        </is>
      </c>
      <c r="H577" t="inlineStr">
        <is>
          <t>Luis Bedoya</t>
        </is>
      </c>
      <c r="I577" t="inlineStr">
        <is>
          <t>Perdido</t>
        </is>
      </c>
      <c r="J577" s="28" t="n">
        <v>45471</v>
      </c>
      <c r="K577" s="28" t="n">
        <v>45486</v>
      </c>
      <c r="L577" t="inlineStr">
        <is>
          <t>Presupuesto insuficiente</t>
        </is>
      </c>
    </row>
    <row r="578" ht="15.75" customHeight="1" s="25">
      <c r="A578" t="inlineStr">
        <is>
          <t>CLI-0576</t>
        </is>
      </c>
      <c r="B578" t="inlineStr">
        <is>
          <t>Valentina López Jaramillo</t>
        </is>
      </c>
      <c r="C578" t="inlineStr">
        <is>
          <t>3222891257</t>
        </is>
      </c>
      <c r="D578" t="inlineStr">
        <is>
          <t>valentina.lopez74@hotmail.com</t>
        </is>
      </c>
      <c r="E578" t="inlineStr">
        <is>
          <t>Envigado</t>
        </is>
      </c>
      <c r="F578" t="inlineStr">
        <is>
          <t>PRY-004</t>
        </is>
      </c>
      <c r="G578" t="inlineStr">
        <is>
          <t>Facebook</t>
        </is>
      </c>
      <c r="H578" t="inlineStr">
        <is>
          <t>Luis Bedoya</t>
        </is>
      </c>
      <c r="I578" t="inlineStr">
        <is>
          <t>Perdido</t>
        </is>
      </c>
      <c r="J578" s="28" t="n">
        <v>45471</v>
      </c>
      <c r="K578" s="28" t="n">
        <v>45497</v>
      </c>
      <c r="L578" t="inlineStr">
        <is>
          <t>Sin respuesta tras 3 contactos</t>
        </is>
      </c>
    </row>
    <row r="579" ht="15.75" customHeight="1" s="25">
      <c r="A579" t="inlineStr">
        <is>
          <t>CLI-0577</t>
        </is>
      </c>
      <c r="B579" t="inlineStr">
        <is>
          <t>Manuela Ramírez Duque</t>
        </is>
      </c>
      <c r="C579" t="inlineStr">
        <is>
          <t>3246201944</t>
        </is>
      </c>
      <c r="D579" t="inlineStr">
        <is>
          <t>manuela.ramirez26@outlook.com</t>
        </is>
      </c>
      <c r="E579" t="inlineStr">
        <is>
          <t>La Estrella</t>
        </is>
      </c>
      <c r="F579" t="inlineStr">
        <is>
          <t>PRY-005</t>
        </is>
      </c>
      <c r="G579" t="inlineStr">
        <is>
          <t>Facebook</t>
        </is>
      </c>
      <c r="H579" t="inlineStr">
        <is>
          <t>Paula Arenas</t>
        </is>
      </c>
      <c r="I579" t="inlineStr">
        <is>
          <t>Perdido</t>
        </is>
      </c>
      <c r="J579" s="28" t="n">
        <v>45471</v>
      </c>
      <c r="K579" s="28" t="n">
        <v>45480</v>
      </c>
      <c r="L579" t="inlineStr">
        <is>
          <t>Sin respuesta tras 3 contactos</t>
        </is>
      </c>
    </row>
    <row r="580" ht="15.75" customHeight="1" s="25">
      <c r="A580" t="inlineStr">
        <is>
          <t>CLI-0578</t>
        </is>
      </c>
      <c r="B580" t="inlineStr">
        <is>
          <t>Óscar Espinosa Sánchez</t>
        </is>
      </c>
      <c r="C580" t="inlineStr">
        <is>
          <t>3002560228</t>
        </is>
      </c>
      <c r="D580" t="inlineStr">
        <is>
          <t>oscar.espinosa82@gmail.com</t>
        </is>
      </c>
      <c r="E580" t="inlineStr">
        <is>
          <t>Sabaneta</t>
        </is>
      </c>
      <c r="F580" t="inlineStr">
        <is>
          <t>PRY-003</t>
        </is>
      </c>
      <c r="G580" t="inlineStr">
        <is>
          <t>Feria Inmobiliaria</t>
        </is>
      </c>
      <c r="H580" t="inlineStr">
        <is>
          <t>Andrés Torres</t>
        </is>
      </c>
      <c r="I580" t="inlineStr">
        <is>
          <t>Ganado</t>
        </is>
      </c>
      <c r="J580" s="28" t="n">
        <v>45472</v>
      </c>
      <c r="K580" s="28" t="n">
        <v>45587</v>
      </c>
      <c r="L580" t="inlineStr">
        <is>
          <t>Compró Apto 2502 en Conecta Laureles</t>
        </is>
      </c>
    </row>
    <row r="581" ht="15.75" customHeight="1" s="25">
      <c r="A581" t="inlineStr">
        <is>
          <t>CLI-0579</t>
        </is>
      </c>
      <c r="B581" t="inlineStr">
        <is>
          <t>Valeria Sánchez Vásquez</t>
        </is>
      </c>
      <c r="C581" t="inlineStr">
        <is>
          <t>3136107859</t>
        </is>
      </c>
      <c r="D581" t="inlineStr">
        <is>
          <t>valeria.sanchez22@hotmail.com</t>
        </is>
      </c>
      <c r="E581" t="inlineStr">
        <is>
          <t>Rionegro</t>
        </is>
      </c>
      <c r="F581" t="inlineStr">
        <is>
          <t>PRY-005</t>
        </is>
      </c>
      <c r="G581" t="inlineStr">
        <is>
          <t>Facebook</t>
        </is>
      </c>
      <c r="H581" t="inlineStr">
        <is>
          <t>Miguel Salazar</t>
        </is>
      </c>
      <c r="I581" t="inlineStr">
        <is>
          <t>Perdido</t>
        </is>
      </c>
      <c r="J581" s="28" t="n">
        <v>45472</v>
      </c>
      <c r="K581" s="28" t="n">
        <v>45500</v>
      </c>
      <c r="L581" t="inlineStr">
        <is>
          <t>Sin respuesta tras 3 contactos</t>
        </is>
      </c>
    </row>
    <row r="582" ht="15.75" customHeight="1" s="25">
      <c r="A582" t="inlineStr">
        <is>
          <t>CLI-0580</t>
        </is>
      </c>
      <c r="B582" t="inlineStr">
        <is>
          <t>Laura Quintero Peláez</t>
        </is>
      </c>
      <c r="C582" t="inlineStr">
        <is>
          <t>3201699969</t>
        </is>
      </c>
      <c r="D582" t="inlineStr">
        <is>
          <t>laura.quintero60@gmail.com</t>
        </is>
      </c>
      <c r="E582" t="inlineStr">
        <is>
          <t>Medellín</t>
        </is>
      </c>
      <c r="F582" t="inlineStr">
        <is>
          <t>PRY-004</t>
        </is>
      </c>
      <c r="G582" t="inlineStr">
        <is>
          <t>Facebook</t>
        </is>
      </c>
      <c r="H582" t="inlineStr">
        <is>
          <t>Santiago Muñoz</t>
        </is>
      </c>
      <c r="I582" t="inlineStr">
        <is>
          <t>Perdido</t>
        </is>
      </c>
      <c r="J582" s="28" t="n">
        <v>45472</v>
      </c>
      <c r="K582" s="28" t="n">
        <v>45488</v>
      </c>
      <c r="L582" t="inlineStr">
        <is>
          <t>Sin respuesta tras 3 contactos</t>
        </is>
      </c>
    </row>
    <row r="583" ht="15.75" customHeight="1" s="25">
      <c r="A583" t="inlineStr">
        <is>
          <t>CLI-0581</t>
        </is>
      </c>
      <c r="B583" t="inlineStr">
        <is>
          <t>Sofía Gómez Henao</t>
        </is>
      </c>
      <c r="C583" t="inlineStr">
        <is>
          <t>3222194339</t>
        </is>
      </c>
      <c r="D583" t="inlineStr">
        <is>
          <t>sofia.gomez70@yahoo.com</t>
        </is>
      </c>
      <c r="E583" t="inlineStr">
        <is>
          <t>La Estrella</t>
        </is>
      </c>
      <c r="F583" t="inlineStr">
        <is>
          <t>PRY-003</t>
        </is>
      </c>
      <c r="G583" t="inlineStr">
        <is>
          <t>Facebook</t>
        </is>
      </c>
      <c r="H583" t="inlineStr">
        <is>
          <t>Sofía Prada</t>
        </is>
      </c>
      <c r="I583" t="inlineStr">
        <is>
          <t>Perdido</t>
        </is>
      </c>
      <c r="J583" s="28" t="n">
        <v>45472</v>
      </c>
      <c r="K583" s="28" t="n">
        <v>45491</v>
      </c>
      <c r="L583" t="inlineStr">
        <is>
          <t>Sin respuesta tras 3 contactos</t>
        </is>
      </c>
    </row>
    <row r="584" ht="15.75" customHeight="1" s="25">
      <c r="A584" t="inlineStr">
        <is>
          <t>CLI-0582</t>
        </is>
      </c>
      <c r="B584" t="inlineStr">
        <is>
          <t>Laura Agudelo Betancur</t>
        </is>
      </c>
      <c r="C584" t="inlineStr">
        <is>
          <t>3018325241</t>
        </is>
      </c>
      <c r="D584" t="inlineStr">
        <is>
          <t>laura.agudelo17@hotmail.com</t>
        </is>
      </c>
      <c r="E584" t="inlineStr">
        <is>
          <t>Sabaneta</t>
        </is>
      </c>
      <c r="F584" t="inlineStr">
        <is>
          <t>PRY-004</t>
        </is>
      </c>
      <c r="G584" t="inlineStr">
        <is>
          <t>Facebook</t>
        </is>
      </c>
      <c r="H584" t="inlineStr">
        <is>
          <t>Santiago Muñoz</t>
        </is>
      </c>
      <c r="I584" t="inlineStr">
        <is>
          <t>Perdido</t>
        </is>
      </c>
      <c r="J584" s="28" t="n">
        <v>45472</v>
      </c>
      <c r="K584" s="28" t="n">
        <v>45489</v>
      </c>
      <c r="L584" t="inlineStr">
        <is>
          <t>Sin respuesta tras 3 contactos</t>
        </is>
      </c>
    </row>
    <row r="585" ht="15.75" customHeight="1" s="25">
      <c r="A585" t="inlineStr">
        <is>
          <t>CLI-0583</t>
        </is>
      </c>
      <c r="B585" t="inlineStr">
        <is>
          <t>Diego Sánchez Restrepo</t>
        </is>
      </c>
      <c r="C585" t="inlineStr">
        <is>
          <t>3224122477</t>
        </is>
      </c>
      <c r="D585" t="inlineStr">
        <is>
          <t>diego.sanchez87@gmail.com</t>
        </is>
      </c>
      <c r="E585" t="inlineStr">
        <is>
          <t>Sabaneta</t>
        </is>
      </c>
      <c r="F585" t="inlineStr">
        <is>
          <t>PRY-001</t>
        </is>
      </c>
      <c r="G585" t="inlineStr">
        <is>
          <t>Feria Inmobiliaria</t>
        </is>
      </c>
      <c r="H585" t="inlineStr">
        <is>
          <t>Ana Quintero</t>
        </is>
      </c>
      <c r="I585" t="inlineStr">
        <is>
          <t>Perdido</t>
        </is>
      </c>
      <c r="J585" s="28" t="n">
        <v>45472</v>
      </c>
      <c r="K585" s="28" t="n">
        <v>45494</v>
      </c>
      <c r="L585" t="inlineStr">
        <is>
          <t>Presupuesto insuficiente</t>
        </is>
      </c>
    </row>
    <row r="586" ht="15.75" customHeight="1" s="25">
      <c r="A586" t="inlineStr">
        <is>
          <t>CLI-0584</t>
        </is>
      </c>
      <c r="B586" t="inlineStr">
        <is>
          <t>Paola Restrepo Espinosa</t>
        </is>
      </c>
      <c r="C586" t="inlineStr">
        <is>
          <t>3178108667</t>
        </is>
      </c>
      <c r="D586" t="inlineStr">
        <is>
          <t>paola.restrepo55@hotmail.com</t>
        </is>
      </c>
      <c r="E586" t="inlineStr">
        <is>
          <t>Medellín</t>
        </is>
      </c>
      <c r="F586" t="inlineStr">
        <is>
          <t>PRY-002</t>
        </is>
      </c>
      <c r="G586" t="inlineStr">
        <is>
          <t>Portal Web</t>
        </is>
      </c>
      <c r="H586" t="inlineStr">
        <is>
          <t>Ana Quintero</t>
        </is>
      </c>
      <c r="I586" t="inlineStr">
        <is>
          <t>Perdido</t>
        </is>
      </c>
      <c r="J586" s="28" t="n">
        <v>45472</v>
      </c>
      <c r="K586" s="28" t="n">
        <v>45486</v>
      </c>
      <c r="L586" t="inlineStr">
        <is>
          <t>Datos de contacto errados</t>
        </is>
      </c>
    </row>
    <row r="587" ht="15.75" customHeight="1" s="25">
      <c r="A587" t="inlineStr">
        <is>
          <t>CLI-0585</t>
        </is>
      </c>
      <c r="B587" t="inlineStr">
        <is>
          <t>Fernando Salazar Franco</t>
        </is>
      </c>
      <c r="C587" t="inlineStr">
        <is>
          <t>3019874045</t>
        </is>
      </c>
      <c r="D587" t="inlineStr">
        <is>
          <t>fernando.salazar98@gmail.com</t>
        </is>
      </c>
      <c r="E587" t="inlineStr">
        <is>
          <t>Medellín</t>
        </is>
      </c>
      <c r="F587" t="inlineStr">
        <is>
          <t>PRY-001</t>
        </is>
      </c>
      <c r="G587" t="inlineStr">
        <is>
          <t>Facebook</t>
        </is>
      </c>
      <c r="H587" t="inlineStr">
        <is>
          <t>Paula Arenas</t>
        </is>
      </c>
      <c r="I587" t="inlineStr">
        <is>
          <t>Perdido</t>
        </is>
      </c>
      <c r="J587" s="28" t="n">
        <v>45472</v>
      </c>
      <c r="K587" s="28" t="n">
        <v>45492</v>
      </c>
      <c r="L587" t="inlineStr">
        <is>
          <t>No calificó para crédito</t>
        </is>
      </c>
    </row>
    <row r="588" ht="15.75" customHeight="1" s="25">
      <c r="A588" t="inlineStr">
        <is>
          <t>CLI-0586</t>
        </is>
      </c>
      <c r="B588" t="inlineStr">
        <is>
          <t>María Ríos Henao</t>
        </is>
      </c>
      <c r="C588" t="inlineStr">
        <is>
          <t>3138857460</t>
        </is>
      </c>
      <c r="D588" t="inlineStr">
        <is>
          <t>maria.rios30@outlook.com</t>
        </is>
      </c>
      <c r="E588" t="inlineStr">
        <is>
          <t>Medellín</t>
        </is>
      </c>
      <c r="F588" t="inlineStr">
        <is>
          <t>PRY-002</t>
        </is>
      </c>
      <c r="G588" t="inlineStr">
        <is>
          <t>Facebook</t>
        </is>
      </c>
      <c r="H588" t="inlineStr">
        <is>
          <t>Miguel Salazar</t>
        </is>
      </c>
      <c r="I588" t="inlineStr">
        <is>
          <t>Perdido</t>
        </is>
      </c>
      <c r="J588" s="28" t="n">
        <v>45472</v>
      </c>
      <c r="K588" s="28" t="n">
        <v>45493</v>
      </c>
      <c r="L588" t="inlineStr">
        <is>
          <t>Buscaba arriendo, no compra</t>
        </is>
      </c>
    </row>
    <row r="589" ht="15.75" customHeight="1" s="25">
      <c r="A589" t="inlineStr">
        <is>
          <t>CLI-0587</t>
        </is>
      </c>
      <c r="B589" t="inlineStr">
        <is>
          <t>María Gómez Henao</t>
        </is>
      </c>
      <c r="C589" t="inlineStr">
        <is>
          <t>3202782828</t>
        </is>
      </c>
      <c r="D589" t="inlineStr">
        <is>
          <t>maria.gomez6@yahoo.com</t>
        </is>
      </c>
      <c r="E589" t="inlineStr">
        <is>
          <t>Medellín</t>
        </is>
      </c>
      <c r="F589" t="inlineStr">
        <is>
          <t>PRY-001</t>
        </is>
      </c>
      <c r="G589" t="inlineStr">
        <is>
          <t>Instagram</t>
        </is>
      </c>
      <c r="H589" t="inlineStr">
        <is>
          <t>Santiago Muñoz</t>
        </is>
      </c>
      <c r="I589" t="inlineStr">
        <is>
          <t>Perdido</t>
        </is>
      </c>
      <c r="J589" s="28" t="n">
        <v>45473</v>
      </c>
      <c r="K589" s="28" t="n">
        <v>45494</v>
      </c>
      <c r="L589" t="inlineStr">
        <is>
          <t>Sin respuesta tras 3 contactos</t>
        </is>
      </c>
    </row>
    <row r="590" ht="15.75" customHeight="1" s="25">
      <c r="A590" t="inlineStr">
        <is>
          <t>CLI-0588</t>
        </is>
      </c>
      <c r="B590" t="inlineStr">
        <is>
          <t>Verónica Giraldo Salcedo</t>
        </is>
      </c>
      <c r="C590" t="inlineStr">
        <is>
          <t>3154383592</t>
        </is>
      </c>
      <c r="D590" t="inlineStr">
        <is>
          <t>veronica.giraldo49@yahoo.com</t>
        </is>
      </c>
      <c r="E590" t="inlineStr">
        <is>
          <t>Medellín</t>
        </is>
      </c>
      <c r="F590" t="inlineStr">
        <is>
          <t>PRY-004</t>
        </is>
      </c>
      <c r="G590" t="inlineStr">
        <is>
          <t>Facebook</t>
        </is>
      </c>
      <c r="H590" t="inlineStr">
        <is>
          <t>Miguel Salazar</t>
        </is>
      </c>
      <c r="I590" t="inlineStr">
        <is>
          <t>Perdido</t>
        </is>
      </c>
      <c r="J590" s="28" t="n">
        <v>45473</v>
      </c>
      <c r="K590" s="28" t="n">
        <v>45483</v>
      </c>
      <c r="L590" t="inlineStr">
        <is>
          <t>Sin respuesta tras 3 contactos</t>
        </is>
      </c>
    </row>
    <row r="591" ht="15.75" customHeight="1" s="25">
      <c r="A591" t="inlineStr">
        <is>
          <t>CLI-0589</t>
        </is>
      </c>
      <c r="B591" t="inlineStr">
        <is>
          <t>Isabel Zapata Uribe</t>
        </is>
      </c>
      <c r="C591" t="inlineStr">
        <is>
          <t>3172998597</t>
        </is>
      </c>
      <c r="D591" t="inlineStr">
        <is>
          <t>isabel.zapata36@yahoo.com</t>
        </is>
      </c>
      <c r="E591" t="inlineStr">
        <is>
          <t>Medellín</t>
        </is>
      </c>
      <c r="F591" t="inlineStr">
        <is>
          <t>PRY-005</t>
        </is>
      </c>
      <c r="G591" t="inlineStr">
        <is>
          <t>Feria Inmobiliaria</t>
        </is>
      </c>
      <c r="H591" t="inlineStr">
        <is>
          <t>Luis Bedoya</t>
        </is>
      </c>
      <c r="I591" t="inlineStr">
        <is>
          <t>Perdido</t>
        </is>
      </c>
      <c r="J591" s="28" t="n">
        <v>45473</v>
      </c>
      <c r="K591" s="28" t="n">
        <v>45481</v>
      </c>
      <c r="L591" t="inlineStr">
        <is>
          <t>Presupuesto insuficiente</t>
        </is>
      </c>
    </row>
    <row r="592" ht="15.75" customHeight="1" s="25">
      <c r="A592" t="inlineStr">
        <is>
          <t>CLI-0590</t>
        </is>
      </c>
      <c r="B592" t="inlineStr">
        <is>
          <t>Daniela Álvarez Rojas</t>
        </is>
      </c>
      <c r="C592" t="inlineStr">
        <is>
          <t>3014882386</t>
        </is>
      </c>
      <c r="D592" t="inlineStr">
        <is>
          <t>daniela.alvarez68@gmail.com</t>
        </is>
      </c>
      <c r="E592" t="inlineStr">
        <is>
          <t>Sabaneta</t>
        </is>
      </c>
      <c r="F592" t="inlineStr">
        <is>
          <t>PRY-003</t>
        </is>
      </c>
      <c r="G592" t="inlineStr">
        <is>
          <t>Instagram</t>
        </is>
      </c>
      <c r="H592" t="inlineStr">
        <is>
          <t>Sofía Prada</t>
        </is>
      </c>
      <c r="I592" t="inlineStr">
        <is>
          <t>Ganado</t>
        </is>
      </c>
      <c r="J592" s="28" t="n">
        <v>45474</v>
      </c>
      <c r="K592" s="28" t="n">
        <v>45544</v>
      </c>
      <c r="L592" t="inlineStr">
        <is>
          <t>Compró Apto 1004 en Conecta Laureles</t>
        </is>
      </c>
    </row>
    <row r="593" ht="15.75" customHeight="1" s="25">
      <c r="A593" t="inlineStr">
        <is>
          <t>CLI-0591</t>
        </is>
      </c>
      <c r="B593" t="inlineStr">
        <is>
          <t>Camila Cifuentes Ramírez</t>
        </is>
      </c>
      <c r="C593" t="inlineStr">
        <is>
          <t>3157604391</t>
        </is>
      </c>
      <c r="D593" t="inlineStr">
        <is>
          <t>camila.cifuentes81@gmail.com</t>
        </is>
      </c>
      <c r="E593" t="inlineStr">
        <is>
          <t>Medellín</t>
        </is>
      </c>
      <c r="F593" t="inlineStr">
        <is>
          <t>PRY-001</t>
        </is>
      </c>
      <c r="G593" t="inlineStr">
        <is>
          <t>Referido</t>
        </is>
      </c>
      <c r="H593" t="inlineStr">
        <is>
          <t>Paula Arenas</t>
        </is>
      </c>
      <c r="I593" t="inlineStr">
        <is>
          <t>Perdido</t>
        </is>
      </c>
      <c r="J593" s="28" t="n">
        <v>45474</v>
      </c>
      <c r="K593" s="28" t="n">
        <v>45603</v>
      </c>
      <c r="L593" t="inlineStr">
        <is>
          <t>Crédito no aprobado</t>
        </is>
      </c>
    </row>
    <row r="594" ht="15.75" customHeight="1" s="25">
      <c r="A594" t="inlineStr">
        <is>
          <t>CLI-0592</t>
        </is>
      </c>
      <c r="B594" t="inlineStr">
        <is>
          <t>Verónica Muñoz Betancur</t>
        </is>
      </c>
      <c r="C594" t="inlineStr">
        <is>
          <t>3207776422</t>
        </is>
      </c>
      <c r="D594" t="inlineStr">
        <is>
          <t>veronica.munoz36@gmail.com</t>
        </is>
      </c>
      <c r="E594" t="inlineStr">
        <is>
          <t>Rionegro</t>
        </is>
      </c>
      <c r="F594" t="inlineStr">
        <is>
          <t>PRY-005</t>
        </is>
      </c>
      <c r="G594" t="inlineStr">
        <is>
          <t>Portal Web</t>
        </is>
      </c>
      <c r="H594" t="inlineStr">
        <is>
          <t>Sofía Prada</t>
        </is>
      </c>
      <c r="I594" t="inlineStr">
        <is>
          <t>Perdido</t>
        </is>
      </c>
      <c r="J594" s="28" t="n">
        <v>45474</v>
      </c>
      <c r="K594" s="28" t="n">
        <v>45490</v>
      </c>
      <c r="L594" t="inlineStr">
        <is>
          <t>Sin respuesta tras 3 contactos</t>
        </is>
      </c>
    </row>
    <row r="595" ht="15.75" customHeight="1" s="25">
      <c r="A595" t="inlineStr">
        <is>
          <t>CLI-0593</t>
        </is>
      </c>
      <c r="B595" t="inlineStr">
        <is>
          <t>Emilio Uribe Álvarez</t>
        </is>
      </c>
      <c r="C595" t="inlineStr">
        <is>
          <t>3105775811</t>
        </is>
      </c>
      <c r="D595" t="inlineStr">
        <is>
          <t>emilio.uribe59@yahoo.com</t>
        </is>
      </c>
      <c r="E595" t="inlineStr">
        <is>
          <t>Medellín</t>
        </is>
      </c>
      <c r="F595" t="inlineStr">
        <is>
          <t>PRY-008</t>
        </is>
      </c>
      <c r="G595" t="inlineStr">
        <is>
          <t>Facebook</t>
        </is>
      </c>
      <c r="H595" t="inlineStr">
        <is>
          <t>Miguel Salazar</t>
        </is>
      </c>
      <c r="I595" t="inlineStr">
        <is>
          <t>Perdido</t>
        </is>
      </c>
      <c r="J595" s="28" t="n">
        <v>45474</v>
      </c>
      <c r="K595" s="28" t="n">
        <v>45499</v>
      </c>
      <c r="L595" t="inlineStr">
        <is>
          <t>Sin respuesta tras 3 contactos</t>
        </is>
      </c>
    </row>
    <row r="596" ht="15.75" customHeight="1" s="25">
      <c r="A596" t="inlineStr">
        <is>
          <t>CLI-0594</t>
        </is>
      </c>
      <c r="B596" t="inlineStr">
        <is>
          <t>Sara Betancur Uribe</t>
        </is>
      </c>
      <c r="C596" t="inlineStr">
        <is>
          <t>3151934951</t>
        </is>
      </c>
      <c r="D596" t="inlineStr">
        <is>
          <t>sara.betancur52@yahoo.com</t>
        </is>
      </c>
      <c r="E596" t="inlineStr">
        <is>
          <t>La Estrella</t>
        </is>
      </c>
      <c r="F596" t="inlineStr">
        <is>
          <t>PRY-002</t>
        </is>
      </c>
      <c r="G596" t="inlineStr">
        <is>
          <t>Feria Inmobiliaria</t>
        </is>
      </c>
      <c r="H596" t="inlineStr">
        <is>
          <t>Paula Arenas</t>
        </is>
      </c>
      <c r="I596" t="inlineStr">
        <is>
          <t>Perdido</t>
        </is>
      </c>
      <c r="J596" s="28" t="n">
        <v>45474</v>
      </c>
      <c r="K596" s="28" t="n">
        <v>45482</v>
      </c>
      <c r="L596" t="inlineStr">
        <is>
          <t>Buscaba arriendo, no compra</t>
        </is>
      </c>
    </row>
    <row r="597" ht="15.75" customHeight="1" s="25">
      <c r="A597" t="inlineStr">
        <is>
          <t>CLI-0595</t>
        </is>
      </c>
      <c r="B597" t="inlineStr">
        <is>
          <t>Laura Franco Arango</t>
        </is>
      </c>
      <c r="C597" t="inlineStr">
        <is>
          <t>3176326624</t>
        </is>
      </c>
      <c r="D597" t="inlineStr">
        <is>
          <t>laura.franco8@outlook.com</t>
        </is>
      </c>
      <c r="E597" t="inlineStr">
        <is>
          <t>Medellín</t>
        </is>
      </c>
      <c r="F597" t="inlineStr">
        <is>
          <t>PRY-001</t>
        </is>
      </c>
      <c r="G597" t="inlineStr">
        <is>
          <t>Facebook</t>
        </is>
      </c>
      <c r="H597" t="inlineStr">
        <is>
          <t>Juliana Vélez</t>
        </is>
      </c>
      <c r="I597" t="inlineStr">
        <is>
          <t>Ganado</t>
        </is>
      </c>
      <c r="J597" s="28" t="n">
        <v>45475</v>
      </c>
      <c r="K597" s="28" t="n">
        <v>45639</v>
      </c>
      <c r="L597" t="inlineStr">
        <is>
          <t>Compró Apto 401 en Torres del Poblado</t>
        </is>
      </c>
    </row>
    <row r="598" ht="15.75" customHeight="1" s="25">
      <c r="A598" t="inlineStr">
        <is>
          <t>CLI-0596</t>
        </is>
      </c>
      <c r="B598" t="inlineStr">
        <is>
          <t>Felipe Pérez Ríos</t>
        </is>
      </c>
      <c r="C598" t="inlineStr">
        <is>
          <t>3159476473</t>
        </is>
      </c>
      <c r="D598" t="inlineStr">
        <is>
          <t>felipe.perez94@yahoo.com</t>
        </is>
      </c>
      <c r="E598" t="inlineStr">
        <is>
          <t>Medellín</t>
        </is>
      </c>
      <c r="F598" t="inlineStr">
        <is>
          <t>PRY-002</t>
        </is>
      </c>
      <c r="G598" t="inlineStr">
        <is>
          <t>Portal Web</t>
        </is>
      </c>
      <c r="H598" t="inlineStr">
        <is>
          <t>Juliana Vélez</t>
        </is>
      </c>
      <c r="I598" t="inlineStr">
        <is>
          <t>Perdido</t>
        </is>
      </c>
      <c r="J598" s="28" t="n">
        <v>45475</v>
      </c>
      <c r="K598" s="28" t="n">
        <v>45501</v>
      </c>
      <c r="L598" t="inlineStr">
        <is>
          <t>Sin respuesta tras 3 contactos</t>
        </is>
      </c>
    </row>
    <row r="599" ht="15.75" customHeight="1" s="25">
      <c r="A599" t="inlineStr">
        <is>
          <t>CLI-0597</t>
        </is>
      </c>
      <c r="B599" t="inlineStr">
        <is>
          <t>Hernán Ochoa Mejía</t>
        </is>
      </c>
      <c r="C599" t="inlineStr">
        <is>
          <t>3103050976</t>
        </is>
      </c>
      <c r="D599" t="inlineStr">
        <is>
          <t>hernan.ochoa46@gmail.com</t>
        </is>
      </c>
      <c r="E599" t="inlineStr">
        <is>
          <t>Medellín</t>
        </is>
      </c>
      <c r="F599" t="inlineStr">
        <is>
          <t>PRY-003</t>
        </is>
      </c>
      <c r="G599" t="inlineStr">
        <is>
          <t>Portal Web</t>
        </is>
      </c>
      <c r="H599" t="inlineStr">
        <is>
          <t>Santiago Muñoz</t>
        </is>
      </c>
      <c r="I599" t="inlineStr">
        <is>
          <t>Perdido</t>
        </is>
      </c>
      <c r="J599" s="28" t="n">
        <v>45475</v>
      </c>
      <c r="K599" s="28" t="n">
        <v>45501</v>
      </c>
      <c r="L599" t="inlineStr">
        <is>
          <t>Sin respuesta tras 3 contactos</t>
        </is>
      </c>
    </row>
    <row r="600" ht="15.75" customHeight="1" s="25">
      <c r="A600" t="inlineStr">
        <is>
          <t>CLI-0598</t>
        </is>
      </c>
      <c r="B600" t="inlineStr">
        <is>
          <t>José Mejía Cardona</t>
        </is>
      </c>
      <c r="C600" t="inlineStr">
        <is>
          <t>3156476046</t>
        </is>
      </c>
      <c r="D600" t="inlineStr">
        <is>
          <t>jose.mejia98@outlook.com</t>
        </is>
      </c>
      <c r="E600" t="inlineStr">
        <is>
          <t>Medellín</t>
        </is>
      </c>
      <c r="F600" t="inlineStr">
        <is>
          <t>PRY-002</t>
        </is>
      </c>
      <c r="G600" t="inlineStr">
        <is>
          <t>Instagram</t>
        </is>
      </c>
      <c r="H600" t="inlineStr">
        <is>
          <t>Luis Bedoya</t>
        </is>
      </c>
      <c r="I600" t="inlineStr">
        <is>
          <t>Perdido</t>
        </is>
      </c>
      <c r="J600" s="28" t="n">
        <v>45475</v>
      </c>
      <c r="K600" s="28" t="n">
        <v>45491</v>
      </c>
      <c r="L600" t="inlineStr">
        <is>
          <t>Presupuesto insuficiente</t>
        </is>
      </c>
    </row>
    <row r="601" ht="15.75" customHeight="1" s="25">
      <c r="A601" t="inlineStr">
        <is>
          <t>CLI-0599</t>
        </is>
      </c>
      <c r="B601" t="inlineStr">
        <is>
          <t>Laura Quintero Londoño</t>
        </is>
      </c>
      <c r="C601" t="inlineStr">
        <is>
          <t>3204813066</t>
        </is>
      </c>
      <c r="D601" t="inlineStr">
        <is>
          <t>laura.quintero95@yahoo.com</t>
        </is>
      </c>
      <c r="E601" t="inlineStr">
        <is>
          <t>Rionegro</t>
        </is>
      </c>
      <c r="F601" t="inlineStr">
        <is>
          <t>PRY-008</t>
        </is>
      </c>
      <c r="G601" t="inlineStr">
        <is>
          <t>Feria Inmobiliaria</t>
        </is>
      </c>
      <c r="H601" t="inlineStr">
        <is>
          <t>Sofía Prada</t>
        </is>
      </c>
      <c r="I601" t="inlineStr">
        <is>
          <t>Perdido</t>
        </is>
      </c>
      <c r="J601" s="28" t="n">
        <v>45475</v>
      </c>
      <c r="K601" s="28" t="n">
        <v>45482</v>
      </c>
      <c r="L601" t="inlineStr">
        <is>
          <t>Presupuesto insuficiente</t>
        </is>
      </c>
    </row>
    <row r="602" ht="15.75" customHeight="1" s="25">
      <c r="A602" t="inlineStr">
        <is>
          <t>CLI-0600</t>
        </is>
      </c>
      <c r="B602" t="inlineStr">
        <is>
          <t>Mariana Vásquez Betancur</t>
        </is>
      </c>
      <c r="C602" t="inlineStr">
        <is>
          <t>3152110968</t>
        </is>
      </c>
      <c r="D602" t="inlineStr">
        <is>
          <t>mariana.vasquez13@gmail.com</t>
        </is>
      </c>
      <c r="E602" t="inlineStr">
        <is>
          <t>Rionegro</t>
        </is>
      </c>
      <c r="F602" t="inlineStr">
        <is>
          <t>PRY-005</t>
        </is>
      </c>
      <c r="G602" t="inlineStr">
        <is>
          <t>Instagram</t>
        </is>
      </c>
      <c r="H602" t="inlineStr">
        <is>
          <t>Juliana Vélez</t>
        </is>
      </c>
      <c r="I602" t="inlineStr">
        <is>
          <t>Ganado</t>
        </is>
      </c>
      <c r="J602" s="28" t="n">
        <v>45476</v>
      </c>
      <c r="K602" s="28" t="n">
        <v>45624</v>
      </c>
      <c r="L602" t="inlineStr">
        <is>
          <t>Compró Apto 805 en Ciudadela Rionegro</t>
        </is>
      </c>
    </row>
    <row r="603" ht="15.75" customHeight="1" s="25">
      <c r="A603" t="inlineStr">
        <is>
          <t>CLI-0601</t>
        </is>
      </c>
      <c r="B603" t="inlineStr">
        <is>
          <t>Valeria Muñoz Salazar</t>
        </is>
      </c>
      <c r="C603" t="inlineStr">
        <is>
          <t>3203092204</t>
        </is>
      </c>
      <c r="D603" t="inlineStr">
        <is>
          <t>valeria.munoz13@outlook.com</t>
        </is>
      </c>
      <c r="E603" t="inlineStr">
        <is>
          <t>Rionegro</t>
        </is>
      </c>
      <c r="F603" t="inlineStr">
        <is>
          <t>PRY-005</t>
        </is>
      </c>
      <c r="G603" t="inlineStr">
        <is>
          <t>Portal Web</t>
        </is>
      </c>
      <c r="H603" t="inlineStr">
        <is>
          <t>Santiago Muñoz</t>
        </is>
      </c>
      <c r="I603" t="inlineStr">
        <is>
          <t>Perdido</t>
        </is>
      </c>
      <c r="J603" s="28" t="n">
        <v>45476</v>
      </c>
      <c r="K603" s="28" t="n">
        <v>45578</v>
      </c>
      <c r="L603" t="inlineStr">
        <is>
          <t>Eligió otro proyecto</t>
        </is>
      </c>
    </row>
    <row r="604" ht="15.75" customHeight="1" s="25">
      <c r="A604" t="inlineStr">
        <is>
          <t>CLI-0602</t>
        </is>
      </c>
      <c r="B604" t="inlineStr">
        <is>
          <t>Alejandra Rojas Cifuentes</t>
        </is>
      </c>
      <c r="C604" t="inlineStr">
        <is>
          <t>3012130065</t>
        </is>
      </c>
      <c r="D604" t="inlineStr">
        <is>
          <t>alejandra.rojas5@gmail.com</t>
        </is>
      </c>
      <c r="E604" t="inlineStr">
        <is>
          <t>Envigado</t>
        </is>
      </c>
      <c r="F604" t="inlineStr">
        <is>
          <t>PRY-007</t>
        </is>
      </c>
      <c r="G604" t="inlineStr">
        <is>
          <t>Facebook</t>
        </is>
      </c>
      <c r="H604" t="inlineStr">
        <is>
          <t>Luis Bedoya</t>
        </is>
      </c>
      <c r="I604" t="inlineStr">
        <is>
          <t>Perdido</t>
        </is>
      </c>
      <c r="J604" s="28" t="n">
        <v>45477</v>
      </c>
      <c r="K604" s="28" t="n">
        <v>45538</v>
      </c>
      <c r="L604" t="inlineStr">
        <is>
          <t>Crédito no aprobado</t>
        </is>
      </c>
    </row>
    <row r="605" ht="15.75" customHeight="1" s="25">
      <c r="A605" t="inlineStr">
        <is>
          <t>CLI-0603</t>
        </is>
      </c>
      <c r="B605" t="inlineStr">
        <is>
          <t>Iván Arango Gaviria</t>
        </is>
      </c>
      <c r="C605" t="inlineStr">
        <is>
          <t>3201400617</t>
        </is>
      </c>
      <c r="D605" t="inlineStr">
        <is>
          <t>ivan.arango76@outlook.com</t>
        </is>
      </c>
      <c r="E605" t="inlineStr">
        <is>
          <t>Rionegro</t>
        </is>
      </c>
      <c r="F605" t="inlineStr">
        <is>
          <t>PRY-004</t>
        </is>
      </c>
      <c r="G605" t="inlineStr">
        <is>
          <t>Portal Web</t>
        </is>
      </c>
      <c r="H605" t="inlineStr">
        <is>
          <t>Sofía Prada</t>
        </is>
      </c>
      <c r="I605" t="inlineStr">
        <is>
          <t>Ganado</t>
        </is>
      </c>
      <c r="J605" s="28" t="n">
        <v>45477</v>
      </c>
      <c r="K605" s="28" t="n">
        <v>45596</v>
      </c>
      <c r="L605" t="inlineStr">
        <is>
          <t>Compró Casa 16 en Altavista Park</t>
        </is>
      </c>
    </row>
    <row r="606" ht="15.75" customHeight="1" s="25">
      <c r="A606" t="inlineStr">
        <is>
          <t>CLI-0604</t>
        </is>
      </c>
      <c r="B606" t="inlineStr">
        <is>
          <t>Wilson Ramírez Marín</t>
        </is>
      </c>
      <c r="C606" t="inlineStr">
        <is>
          <t>3231836299</t>
        </is>
      </c>
      <c r="D606" t="inlineStr">
        <is>
          <t>wilson.ramirez33@outlook.com</t>
        </is>
      </c>
      <c r="E606" t="inlineStr">
        <is>
          <t>Itagüí</t>
        </is>
      </c>
      <c r="F606" t="inlineStr">
        <is>
          <t>PRY-008</t>
        </is>
      </c>
      <c r="G606" t="inlineStr">
        <is>
          <t>Portal Web</t>
        </is>
      </c>
      <c r="H606" t="inlineStr">
        <is>
          <t>Juliana Vélez</t>
        </is>
      </c>
      <c r="I606" t="inlineStr">
        <is>
          <t>Perdido</t>
        </is>
      </c>
      <c r="J606" s="28" t="n">
        <v>45477</v>
      </c>
      <c r="K606" s="28" t="n">
        <v>45500</v>
      </c>
      <c r="L606" t="inlineStr">
        <is>
          <t>Sin respuesta tras 3 contactos</t>
        </is>
      </c>
    </row>
    <row r="607" ht="15.75" customHeight="1" s="25">
      <c r="A607" t="inlineStr">
        <is>
          <t>CLI-0605</t>
        </is>
      </c>
      <c r="B607" t="inlineStr">
        <is>
          <t>Juliana Peláez Jaramillo</t>
        </is>
      </c>
      <c r="C607" t="inlineStr">
        <is>
          <t>3224479660</t>
        </is>
      </c>
      <c r="D607" t="inlineStr">
        <is>
          <t>juliana.pelaez93@outlook.com</t>
        </is>
      </c>
      <c r="E607" t="inlineStr">
        <is>
          <t>Envigado</t>
        </is>
      </c>
      <c r="F607" t="inlineStr">
        <is>
          <t>PRY-005</t>
        </is>
      </c>
      <c r="G607" t="inlineStr">
        <is>
          <t>Feria Inmobiliaria</t>
        </is>
      </c>
      <c r="H607" t="inlineStr">
        <is>
          <t>Andrés Torres</t>
        </is>
      </c>
      <c r="I607" t="inlineStr">
        <is>
          <t>Perdido</t>
        </is>
      </c>
      <c r="J607" s="28" t="n">
        <v>45477</v>
      </c>
      <c r="K607" s="28" t="n">
        <v>45505</v>
      </c>
      <c r="L607" t="inlineStr">
        <is>
          <t>Buscaba arriendo, no compra</t>
        </is>
      </c>
    </row>
    <row r="608" ht="15.75" customHeight="1" s="25">
      <c r="A608" t="inlineStr">
        <is>
          <t>CLI-0606</t>
        </is>
      </c>
      <c r="B608" t="inlineStr">
        <is>
          <t>Hernán Zuluaga Bedoya</t>
        </is>
      </c>
      <c r="C608" t="inlineStr">
        <is>
          <t>3158966051</t>
        </is>
      </c>
      <c r="D608" t="inlineStr">
        <is>
          <t>hernan.zuluaga22@hotmail.com</t>
        </is>
      </c>
      <c r="E608" t="inlineStr">
        <is>
          <t>Envigado</t>
        </is>
      </c>
      <c r="F608" t="inlineStr">
        <is>
          <t>PRY-001</t>
        </is>
      </c>
      <c r="G608" t="inlineStr">
        <is>
          <t>Instagram</t>
        </is>
      </c>
      <c r="H608" t="inlineStr">
        <is>
          <t>Andrés Torres</t>
        </is>
      </c>
      <c r="I608" t="inlineStr">
        <is>
          <t>Perdido</t>
        </is>
      </c>
      <c r="J608" s="28" t="n">
        <v>45477</v>
      </c>
      <c r="K608" s="28" t="n">
        <v>45496</v>
      </c>
      <c r="L608" t="inlineStr">
        <is>
          <t>Sin respuesta tras 3 contactos</t>
        </is>
      </c>
    </row>
    <row r="609" ht="15.75" customHeight="1" s="25">
      <c r="A609" t="inlineStr">
        <is>
          <t>CLI-0607</t>
        </is>
      </c>
      <c r="B609" t="inlineStr">
        <is>
          <t>Natalia Montoya Sánchez</t>
        </is>
      </c>
      <c r="C609" t="inlineStr">
        <is>
          <t>3243572406</t>
        </is>
      </c>
      <c r="D609" t="inlineStr">
        <is>
          <t>natalia.montoya36@gmail.com</t>
        </is>
      </c>
      <c r="E609" t="inlineStr">
        <is>
          <t>Medellín</t>
        </is>
      </c>
      <c r="F609" t="inlineStr">
        <is>
          <t>PRY-001</t>
        </is>
      </c>
      <c r="G609" t="inlineStr">
        <is>
          <t>Portal Web</t>
        </is>
      </c>
      <c r="H609" t="inlineStr">
        <is>
          <t>Miguel Salazar</t>
        </is>
      </c>
      <c r="I609" t="inlineStr">
        <is>
          <t>Perdido</t>
        </is>
      </c>
      <c r="J609" s="28" t="n">
        <v>45477</v>
      </c>
      <c r="K609" s="28" t="n">
        <v>45489</v>
      </c>
      <c r="L609" t="inlineStr">
        <is>
          <t>No calificó para crédito</t>
        </is>
      </c>
    </row>
    <row r="610" ht="15.75" customHeight="1" s="25">
      <c r="A610" t="inlineStr">
        <is>
          <t>CLI-0608</t>
        </is>
      </c>
      <c r="B610" t="inlineStr">
        <is>
          <t>Tomás Vargas Jaramillo</t>
        </is>
      </c>
      <c r="C610" t="inlineStr">
        <is>
          <t>3205629050</t>
        </is>
      </c>
      <c r="D610" t="inlineStr">
        <is>
          <t>tomas.vargas30@hotmail.com</t>
        </is>
      </c>
      <c r="E610" t="inlineStr">
        <is>
          <t>Bello</t>
        </is>
      </c>
      <c r="F610" t="inlineStr">
        <is>
          <t>PRY-008</t>
        </is>
      </c>
      <c r="G610" t="inlineStr">
        <is>
          <t>Portal Web</t>
        </is>
      </c>
      <c r="H610" t="inlineStr">
        <is>
          <t>Juliana Vélez</t>
        </is>
      </c>
      <c r="I610" t="inlineStr">
        <is>
          <t>Perdido</t>
        </is>
      </c>
      <c r="J610" s="28" t="n">
        <v>45478</v>
      </c>
      <c r="K610" s="28" t="n">
        <v>45499</v>
      </c>
      <c r="L610" t="inlineStr">
        <is>
          <t>No calificó para crédito</t>
        </is>
      </c>
    </row>
    <row r="611" ht="15.75" customHeight="1" s="25">
      <c r="A611" t="inlineStr">
        <is>
          <t>CLI-0609</t>
        </is>
      </c>
      <c r="B611" t="inlineStr">
        <is>
          <t>David Toro Ríos</t>
        </is>
      </c>
      <c r="C611" t="inlineStr">
        <is>
          <t>3144426833</t>
        </is>
      </c>
      <c r="D611" t="inlineStr">
        <is>
          <t>david.toro89@outlook.com</t>
        </is>
      </c>
      <c r="E611" t="inlineStr">
        <is>
          <t>Bello</t>
        </is>
      </c>
      <c r="F611" t="inlineStr">
        <is>
          <t>PRY-004</t>
        </is>
      </c>
      <c r="G611" t="inlineStr">
        <is>
          <t>Llamada directa</t>
        </is>
      </c>
      <c r="H611" t="inlineStr">
        <is>
          <t>Juliana Vélez</t>
        </is>
      </c>
      <c r="I611" t="inlineStr">
        <is>
          <t>Ganado</t>
        </is>
      </c>
      <c r="J611" s="28" t="n">
        <v>45479</v>
      </c>
      <c r="K611" s="28" t="n">
        <v>45637</v>
      </c>
      <c r="L611" t="inlineStr">
        <is>
          <t>Compró Casa 23 en Altavista Park</t>
        </is>
      </c>
    </row>
    <row r="612" ht="15.75" customHeight="1" s="25">
      <c r="A612" t="inlineStr">
        <is>
          <t>CLI-0610</t>
        </is>
      </c>
      <c r="B612" t="inlineStr">
        <is>
          <t>Luisa Arango Palacio</t>
        </is>
      </c>
      <c r="C612" t="inlineStr">
        <is>
          <t>3242902207</t>
        </is>
      </c>
      <c r="D612" t="inlineStr">
        <is>
          <t>luisa.arango94@gmail.com</t>
        </is>
      </c>
      <c r="E612" t="inlineStr">
        <is>
          <t>Rionegro</t>
        </is>
      </c>
      <c r="F612" t="inlineStr">
        <is>
          <t>PRY-002</t>
        </is>
      </c>
      <c r="G612" t="inlineStr">
        <is>
          <t>Portal Web</t>
        </is>
      </c>
      <c r="H612" t="inlineStr">
        <is>
          <t>Sofía Prada</t>
        </is>
      </c>
      <c r="I612" t="inlineStr">
        <is>
          <t>Perdido</t>
        </is>
      </c>
      <c r="J612" s="28" t="n">
        <v>45479</v>
      </c>
      <c r="K612" s="28" t="n">
        <v>45487</v>
      </c>
      <c r="L612" t="inlineStr">
        <is>
          <t>Buscaba arriendo, no compra</t>
        </is>
      </c>
    </row>
    <row r="613" ht="15.75" customHeight="1" s="25">
      <c r="A613" t="inlineStr">
        <is>
          <t>CLI-0611</t>
        </is>
      </c>
      <c r="B613" t="inlineStr">
        <is>
          <t>Daniela Hernández Osorio</t>
        </is>
      </c>
      <c r="C613" t="inlineStr">
        <is>
          <t>3237374233</t>
        </is>
      </c>
      <c r="D613" t="inlineStr">
        <is>
          <t>daniela.hernandez32@gmail.com</t>
        </is>
      </c>
      <c r="E613" t="inlineStr">
        <is>
          <t>Itagüí</t>
        </is>
      </c>
      <c r="F613" t="inlineStr">
        <is>
          <t>PRY-002</t>
        </is>
      </c>
      <c r="G613" t="inlineStr">
        <is>
          <t>Instagram</t>
        </is>
      </c>
      <c r="H613" t="inlineStr">
        <is>
          <t>Miguel Salazar</t>
        </is>
      </c>
      <c r="I613" t="inlineStr">
        <is>
          <t>Perdido</t>
        </is>
      </c>
      <c r="J613" s="28" t="n">
        <v>45480</v>
      </c>
      <c r="K613" s="28" t="n">
        <v>45485</v>
      </c>
      <c r="L613" t="inlineStr">
        <is>
          <t>Sin respuesta tras 3 contactos</t>
        </is>
      </c>
    </row>
    <row r="614" ht="15.75" customHeight="1" s="25">
      <c r="A614" t="inlineStr">
        <is>
          <t>CLI-0612</t>
        </is>
      </c>
      <c r="B614" t="inlineStr">
        <is>
          <t>Nicolás Marín Álvarez</t>
        </is>
      </c>
      <c r="C614" t="inlineStr">
        <is>
          <t>3246121918</t>
        </is>
      </c>
      <c r="D614" t="inlineStr">
        <is>
          <t>nicolas.marin92@yahoo.com</t>
        </is>
      </c>
      <c r="E614" t="inlineStr">
        <is>
          <t>Medellín</t>
        </is>
      </c>
      <c r="F614" t="inlineStr">
        <is>
          <t>PRY-001</t>
        </is>
      </c>
      <c r="G614" t="inlineStr">
        <is>
          <t>Referido</t>
        </is>
      </c>
      <c r="H614" t="inlineStr">
        <is>
          <t>Miguel Salazar</t>
        </is>
      </c>
      <c r="I614" t="inlineStr">
        <is>
          <t>Perdido</t>
        </is>
      </c>
      <c r="J614" s="28" t="n">
        <v>45481</v>
      </c>
      <c r="K614" s="28" t="n">
        <v>45505</v>
      </c>
      <c r="L614" t="inlineStr">
        <is>
          <t>Buscaba arriendo, no compra</t>
        </is>
      </c>
    </row>
    <row r="615" ht="15.75" customHeight="1" s="25">
      <c r="A615" t="inlineStr">
        <is>
          <t>CLI-0613</t>
        </is>
      </c>
      <c r="B615" t="inlineStr">
        <is>
          <t>Rodrigo Salazar Vargas</t>
        </is>
      </c>
      <c r="C615" t="inlineStr">
        <is>
          <t>3238417023</t>
        </is>
      </c>
      <c r="D615" t="inlineStr">
        <is>
          <t>rodrigo.salazar66@hotmail.com</t>
        </is>
      </c>
      <c r="E615" t="inlineStr">
        <is>
          <t>Medellín</t>
        </is>
      </c>
      <c r="F615" t="inlineStr">
        <is>
          <t>PRY-002</t>
        </is>
      </c>
      <c r="G615" t="inlineStr">
        <is>
          <t>Referido</t>
        </is>
      </c>
      <c r="H615" t="inlineStr">
        <is>
          <t>Juliana Vélez</t>
        </is>
      </c>
      <c r="I615" t="inlineStr">
        <is>
          <t>Ganado</t>
        </is>
      </c>
      <c r="J615" s="28" t="n">
        <v>45482</v>
      </c>
      <c r="K615" s="28" t="n">
        <v>45641</v>
      </c>
      <c r="L615" t="inlineStr">
        <is>
          <t>Compró Casa 8 en Reserva Santa Elena</t>
        </is>
      </c>
    </row>
    <row r="616" ht="15.75" customHeight="1" s="25">
      <c r="A616" t="inlineStr">
        <is>
          <t>CLI-0614</t>
        </is>
      </c>
      <c r="B616" t="inlineStr">
        <is>
          <t>Cristian Mejía Castaño</t>
        </is>
      </c>
      <c r="C616" t="inlineStr">
        <is>
          <t>3007608693</t>
        </is>
      </c>
      <c r="D616" t="inlineStr">
        <is>
          <t>cristian.mejia76@outlook.com</t>
        </is>
      </c>
      <c r="E616" t="inlineStr">
        <is>
          <t>Medellín</t>
        </is>
      </c>
      <c r="F616" t="inlineStr">
        <is>
          <t>PRY-004</t>
        </is>
      </c>
      <c r="G616" t="inlineStr">
        <is>
          <t>Facebook</t>
        </is>
      </c>
      <c r="H616" t="inlineStr">
        <is>
          <t>Paula Arenas</t>
        </is>
      </c>
      <c r="I616" t="inlineStr">
        <is>
          <t>Ganado</t>
        </is>
      </c>
      <c r="J616" s="28" t="n">
        <v>45482</v>
      </c>
      <c r="K616" s="28" t="n">
        <v>45567</v>
      </c>
      <c r="L616" t="inlineStr">
        <is>
          <t>Compró Casa 32 en Altavista Park</t>
        </is>
      </c>
    </row>
    <row r="617" ht="15.75" customHeight="1" s="25">
      <c r="A617" t="inlineStr">
        <is>
          <t>CLI-0615</t>
        </is>
      </c>
      <c r="B617" t="inlineStr">
        <is>
          <t>Tomás Vásquez Hernández</t>
        </is>
      </c>
      <c r="C617" t="inlineStr">
        <is>
          <t>3148477972</t>
        </is>
      </c>
      <c r="D617" t="inlineStr">
        <is>
          <t>tomas.vasquez42@gmail.com</t>
        </is>
      </c>
      <c r="E617" t="inlineStr">
        <is>
          <t>Rionegro</t>
        </is>
      </c>
      <c r="F617" t="inlineStr">
        <is>
          <t>PRY-005</t>
        </is>
      </c>
      <c r="G617" t="inlineStr">
        <is>
          <t>Referido</t>
        </is>
      </c>
      <c r="H617" t="inlineStr">
        <is>
          <t>Juliana Vélez</t>
        </is>
      </c>
      <c r="I617" t="inlineStr">
        <is>
          <t>Ganado</t>
        </is>
      </c>
      <c r="J617" s="28" t="n">
        <v>45482</v>
      </c>
      <c r="K617" s="28" t="n">
        <v>45629</v>
      </c>
      <c r="L617" t="inlineStr">
        <is>
          <t>Compró Casa 1 en Ciudadela Rionegro</t>
        </is>
      </c>
    </row>
    <row r="618" ht="15.75" customHeight="1" s="25">
      <c r="A618" t="inlineStr">
        <is>
          <t>CLI-0616</t>
        </is>
      </c>
      <c r="B618" t="inlineStr">
        <is>
          <t>José Bedoya Gaviria</t>
        </is>
      </c>
      <c r="C618" t="inlineStr">
        <is>
          <t>3016120678</t>
        </is>
      </c>
      <c r="D618" t="inlineStr">
        <is>
          <t>jose.bedoya27@yahoo.com</t>
        </is>
      </c>
      <c r="E618" t="inlineStr">
        <is>
          <t>Medellín</t>
        </is>
      </c>
      <c r="F618" t="inlineStr">
        <is>
          <t>PRY-001</t>
        </is>
      </c>
      <c r="G618" t="inlineStr">
        <is>
          <t>Feria Inmobiliaria</t>
        </is>
      </c>
      <c r="H618" t="inlineStr">
        <is>
          <t>Sofía Prada</t>
        </is>
      </c>
      <c r="I618" t="inlineStr">
        <is>
          <t>Perdido</t>
        </is>
      </c>
      <c r="J618" s="28" t="n">
        <v>45482</v>
      </c>
      <c r="K618" s="28" t="n">
        <v>45498</v>
      </c>
      <c r="L618" t="inlineStr">
        <is>
          <t>No calificó para crédito</t>
        </is>
      </c>
    </row>
    <row r="619" ht="15.75" customHeight="1" s="25">
      <c r="A619" t="inlineStr">
        <is>
          <t>CLI-0617</t>
        </is>
      </c>
      <c r="B619" t="inlineStr">
        <is>
          <t>Ricardo Montoya Muñoz</t>
        </is>
      </c>
      <c r="C619" t="inlineStr">
        <is>
          <t>3138235817</t>
        </is>
      </c>
      <c r="D619" t="inlineStr">
        <is>
          <t>ricardo.montoya27@hotmail.com</t>
        </is>
      </c>
      <c r="E619" t="inlineStr">
        <is>
          <t>Itagüí</t>
        </is>
      </c>
      <c r="F619" t="inlineStr">
        <is>
          <t>PRY-003</t>
        </is>
      </c>
      <c r="G619" t="inlineStr">
        <is>
          <t>Facebook</t>
        </is>
      </c>
      <c r="H619" t="inlineStr">
        <is>
          <t>Ana Quintero</t>
        </is>
      </c>
      <c r="I619" t="inlineStr">
        <is>
          <t>Perdido</t>
        </is>
      </c>
      <c r="J619" s="28" t="n">
        <v>45482</v>
      </c>
      <c r="K619" s="28" t="n">
        <v>45491</v>
      </c>
      <c r="L619" t="inlineStr">
        <is>
          <t>No calificó para crédito</t>
        </is>
      </c>
    </row>
    <row r="620" ht="15.75" customHeight="1" s="25">
      <c r="A620" t="inlineStr">
        <is>
          <t>CLI-0618</t>
        </is>
      </c>
      <c r="B620" t="inlineStr">
        <is>
          <t>Lorena Sánchez Arango</t>
        </is>
      </c>
      <c r="C620" t="inlineStr">
        <is>
          <t>3048905073</t>
        </is>
      </c>
      <c r="D620" t="inlineStr">
        <is>
          <t>lorena.sanchez17@hotmail.com</t>
        </is>
      </c>
      <c r="E620" t="inlineStr">
        <is>
          <t>La Estrella</t>
        </is>
      </c>
      <c r="F620" t="inlineStr">
        <is>
          <t>PRY-002</t>
        </is>
      </c>
      <c r="G620" t="inlineStr">
        <is>
          <t>Facebook</t>
        </is>
      </c>
      <c r="H620" t="inlineStr">
        <is>
          <t>Luis Bedoya</t>
        </is>
      </c>
      <c r="I620" t="inlineStr">
        <is>
          <t>Perdido</t>
        </is>
      </c>
      <c r="J620" s="28" t="n">
        <v>45482</v>
      </c>
      <c r="K620" s="28" t="n">
        <v>45512</v>
      </c>
      <c r="L620" t="inlineStr">
        <is>
          <t>No calificó para crédito</t>
        </is>
      </c>
    </row>
    <row r="621" ht="15.75" customHeight="1" s="25">
      <c r="A621" t="inlineStr">
        <is>
          <t>CLI-0619</t>
        </is>
      </c>
      <c r="B621" t="inlineStr">
        <is>
          <t>Sofía Cifuentes Londoño</t>
        </is>
      </c>
      <c r="C621" t="inlineStr">
        <is>
          <t>3172890732</t>
        </is>
      </c>
      <c r="D621" t="inlineStr">
        <is>
          <t>sofia.cifuentes28@hotmail.com</t>
        </is>
      </c>
      <c r="E621" t="inlineStr">
        <is>
          <t>Medellín</t>
        </is>
      </c>
      <c r="F621" t="inlineStr">
        <is>
          <t>PRY-002</t>
        </is>
      </c>
      <c r="G621" t="inlineStr">
        <is>
          <t>Feria Inmobiliaria</t>
        </is>
      </c>
      <c r="H621" t="inlineStr">
        <is>
          <t>Luis Bedoya</t>
        </is>
      </c>
      <c r="I621" t="inlineStr">
        <is>
          <t>Ganado</t>
        </is>
      </c>
      <c r="J621" s="28" t="n">
        <v>45483</v>
      </c>
      <c r="K621" s="28" t="n">
        <v>45617</v>
      </c>
      <c r="L621" t="inlineStr">
        <is>
          <t>Compró Casa 17 en Reserva Santa Elena</t>
        </is>
      </c>
    </row>
    <row r="622" ht="15.75" customHeight="1" s="25">
      <c r="A622" t="inlineStr">
        <is>
          <t>CLI-0620</t>
        </is>
      </c>
      <c r="B622" t="inlineStr">
        <is>
          <t>Manuela Mejía Correa</t>
        </is>
      </c>
      <c r="C622" t="inlineStr">
        <is>
          <t>3177840516</t>
        </is>
      </c>
      <c r="D622" t="inlineStr">
        <is>
          <t>manuela.mejia46@outlook.com</t>
        </is>
      </c>
      <c r="E622" t="inlineStr">
        <is>
          <t>Rionegro</t>
        </is>
      </c>
      <c r="F622" t="inlineStr">
        <is>
          <t>PRY-001</t>
        </is>
      </c>
      <c r="G622" t="inlineStr">
        <is>
          <t>Facebook</t>
        </is>
      </c>
      <c r="H622" t="inlineStr">
        <is>
          <t>Sofía Prada</t>
        </is>
      </c>
      <c r="I622" t="inlineStr">
        <is>
          <t>Perdido</t>
        </is>
      </c>
      <c r="J622" s="28" t="n">
        <v>45483</v>
      </c>
      <c r="K622" s="28" t="n">
        <v>45490</v>
      </c>
      <c r="L622" t="inlineStr">
        <is>
          <t>No calificó para crédito</t>
        </is>
      </c>
    </row>
    <row r="623" ht="15.75" customHeight="1" s="25">
      <c r="A623" t="inlineStr">
        <is>
          <t>CLI-0621</t>
        </is>
      </c>
      <c r="B623" t="inlineStr">
        <is>
          <t>Felipe Palacio Montoya</t>
        </is>
      </c>
      <c r="C623" t="inlineStr">
        <is>
          <t>3143029927</t>
        </is>
      </c>
      <c r="D623" t="inlineStr">
        <is>
          <t>felipe.palacio25@yahoo.com</t>
        </is>
      </c>
      <c r="E623" t="inlineStr">
        <is>
          <t>Sabaneta</t>
        </is>
      </c>
      <c r="F623" t="inlineStr">
        <is>
          <t>PRY-008</t>
        </is>
      </c>
      <c r="G623" t="inlineStr">
        <is>
          <t>Instagram</t>
        </is>
      </c>
      <c r="H623" t="inlineStr">
        <is>
          <t>Ana Quintero</t>
        </is>
      </c>
      <c r="I623" t="inlineStr">
        <is>
          <t>Perdido</t>
        </is>
      </c>
      <c r="J623" s="28" t="n">
        <v>45483</v>
      </c>
      <c r="K623" s="28" t="n">
        <v>45488</v>
      </c>
      <c r="L623" t="inlineStr">
        <is>
          <t>Sin respuesta tras 3 contactos</t>
        </is>
      </c>
    </row>
    <row r="624" ht="15.75" customHeight="1" s="25">
      <c r="A624" t="inlineStr">
        <is>
          <t>CLI-0622</t>
        </is>
      </c>
      <c r="B624" t="inlineStr">
        <is>
          <t>Mariana Franco Franco</t>
        </is>
      </c>
      <c r="C624" t="inlineStr">
        <is>
          <t>3239121348</t>
        </is>
      </c>
      <c r="D624" t="inlineStr">
        <is>
          <t>mariana.franco82@gmail.com</t>
        </is>
      </c>
      <c r="E624" t="inlineStr">
        <is>
          <t>Medellín</t>
        </is>
      </c>
      <c r="F624" t="inlineStr">
        <is>
          <t>PRY-008</t>
        </is>
      </c>
      <c r="G624" t="inlineStr">
        <is>
          <t>Portal Web</t>
        </is>
      </c>
      <c r="H624" t="inlineStr">
        <is>
          <t>Ana Quintero</t>
        </is>
      </c>
      <c r="I624" t="inlineStr">
        <is>
          <t>Ganado</t>
        </is>
      </c>
      <c r="J624" s="28" t="n">
        <v>45484</v>
      </c>
      <c r="K624" s="28" t="n">
        <v>45546</v>
      </c>
      <c r="L624" t="inlineStr">
        <is>
          <t>Compró Casa 65 en Valle Verde Itagüí</t>
        </is>
      </c>
    </row>
    <row r="625" ht="15.75" customHeight="1" s="25">
      <c r="A625" t="inlineStr">
        <is>
          <t>CLI-0623</t>
        </is>
      </c>
      <c r="B625" t="inlineStr">
        <is>
          <t>Katherine Ramírez Marín</t>
        </is>
      </c>
      <c r="C625" t="inlineStr">
        <is>
          <t>3131465572</t>
        </is>
      </c>
      <c r="D625" t="inlineStr">
        <is>
          <t>katherine.ramirez12@gmail.com</t>
        </is>
      </c>
      <c r="E625" t="inlineStr">
        <is>
          <t>La Estrella</t>
        </is>
      </c>
      <c r="F625" t="inlineStr">
        <is>
          <t>PRY-002</t>
        </is>
      </c>
      <c r="G625" t="inlineStr">
        <is>
          <t>Facebook</t>
        </is>
      </c>
      <c r="H625" t="inlineStr">
        <is>
          <t>Ana Quintero</t>
        </is>
      </c>
      <c r="I625" t="inlineStr">
        <is>
          <t>Perdido</t>
        </is>
      </c>
      <c r="J625" s="28" t="n">
        <v>45484</v>
      </c>
      <c r="K625" s="28" t="n">
        <v>45499</v>
      </c>
      <c r="L625" t="inlineStr">
        <is>
          <t>Datos de contacto errados</t>
        </is>
      </c>
    </row>
    <row r="626" ht="15.75" customHeight="1" s="25">
      <c r="A626" t="inlineStr">
        <is>
          <t>CLI-0624</t>
        </is>
      </c>
      <c r="B626" t="inlineStr">
        <is>
          <t>Andrés Cano Osorio</t>
        </is>
      </c>
      <c r="C626" t="inlineStr">
        <is>
          <t>3171055365</t>
        </is>
      </c>
      <c r="D626" t="inlineStr">
        <is>
          <t>andres.cano53@yahoo.com</t>
        </is>
      </c>
      <c r="E626" t="inlineStr">
        <is>
          <t>Itagüí</t>
        </is>
      </c>
      <c r="F626" t="inlineStr">
        <is>
          <t>PRY-008</t>
        </is>
      </c>
      <c r="G626" t="inlineStr">
        <is>
          <t>Instagram</t>
        </is>
      </c>
      <c r="H626" t="inlineStr">
        <is>
          <t>Ana Quintero</t>
        </is>
      </c>
      <c r="I626" t="inlineStr">
        <is>
          <t>Perdido</t>
        </is>
      </c>
      <c r="J626" s="28" t="n">
        <v>45485</v>
      </c>
      <c r="K626" s="28" t="n">
        <v>45537</v>
      </c>
      <c r="L626" t="inlineStr">
        <is>
          <t>No volvió a responder</t>
        </is>
      </c>
    </row>
    <row r="627" ht="15.75" customHeight="1" s="25">
      <c r="A627" t="inlineStr">
        <is>
          <t>CLI-0625</t>
        </is>
      </c>
      <c r="B627" t="inlineStr">
        <is>
          <t>Simón Agudelo Bedoya</t>
        </is>
      </c>
      <c r="C627" t="inlineStr">
        <is>
          <t>3203085648</t>
        </is>
      </c>
      <c r="D627" t="inlineStr">
        <is>
          <t>simon.agudelo46@gmail.com</t>
        </is>
      </c>
      <c r="E627" t="inlineStr">
        <is>
          <t>Medellín</t>
        </is>
      </c>
      <c r="F627" t="inlineStr">
        <is>
          <t>PRY-004</t>
        </is>
      </c>
      <c r="G627" t="inlineStr">
        <is>
          <t>Facebook</t>
        </is>
      </c>
      <c r="H627" t="inlineStr">
        <is>
          <t>Juliana Vélez</t>
        </is>
      </c>
      <c r="I627" t="inlineStr">
        <is>
          <t>Perdido</t>
        </is>
      </c>
      <c r="J627" s="28" t="n">
        <v>45485</v>
      </c>
      <c r="K627" s="28" t="n">
        <v>45577</v>
      </c>
      <c r="L627" t="inlineStr">
        <is>
          <t>Crédito no aprobado</t>
        </is>
      </c>
    </row>
    <row r="628" ht="15.75" customHeight="1" s="25">
      <c r="A628" t="inlineStr">
        <is>
          <t>CLI-0626</t>
        </is>
      </c>
      <c r="B628" t="inlineStr">
        <is>
          <t>María Montoya Quintero</t>
        </is>
      </c>
      <c r="C628" t="inlineStr">
        <is>
          <t>3226307417</t>
        </is>
      </c>
      <c r="D628" t="inlineStr">
        <is>
          <t>maria.montoya6@yahoo.com</t>
        </is>
      </c>
      <c r="E628" t="inlineStr">
        <is>
          <t>Medellín</t>
        </is>
      </c>
      <c r="F628" t="inlineStr">
        <is>
          <t>PRY-003</t>
        </is>
      </c>
      <c r="G628" t="inlineStr">
        <is>
          <t>Instagram</t>
        </is>
      </c>
      <c r="H628" t="inlineStr">
        <is>
          <t>Paula Arenas</t>
        </is>
      </c>
      <c r="I628" t="inlineStr">
        <is>
          <t>Ganado</t>
        </is>
      </c>
      <c r="J628" s="28" t="n">
        <v>45485</v>
      </c>
      <c r="K628" s="28" t="n">
        <v>45586</v>
      </c>
      <c r="L628" t="inlineStr">
        <is>
          <t>Compró Apto 603 en Conecta Laureles</t>
        </is>
      </c>
    </row>
    <row r="629" ht="15.75" customHeight="1" s="25">
      <c r="A629" t="inlineStr">
        <is>
          <t>CLI-0627</t>
        </is>
      </c>
      <c r="B629" t="inlineStr">
        <is>
          <t>José Ramírez Giraldo</t>
        </is>
      </c>
      <c r="C629" t="inlineStr">
        <is>
          <t>3236512042</t>
        </is>
      </c>
      <c r="D629" t="inlineStr">
        <is>
          <t>jose.ramirez32@gmail.com</t>
        </is>
      </c>
      <c r="E629" t="inlineStr">
        <is>
          <t>Medellín</t>
        </is>
      </c>
      <c r="F629" t="inlineStr">
        <is>
          <t>PRY-003</t>
        </is>
      </c>
      <c r="G629" t="inlineStr">
        <is>
          <t>Referido</t>
        </is>
      </c>
      <c r="H629" t="inlineStr">
        <is>
          <t>Paula Arenas</t>
        </is>
      </c>
      <c r="I629" t="inlineStr">
        <is>
          <t>Perdido</t>
        </is>
      </c>
      <c r="J629" s="28" t="n">
        <v>45485</v>
      </c>
      <c r="K629" s="28" t="n">
        <v>45506</v>
      </c>
      <c r="L629" t="inlineStr">
        <is>
          <t>Datos de contacto errados</t>
        </is>
      </c>
    </row>
    <row r="630" ht="15.75" customHeight="1" s="25">
      <c r="A630" t="inlineStr">
        <is>
          <t>CLI-0628</t>
        </is>
      </c>
      <c r="B630" t="inlineStr">
        <is>
          <t>Tomás Vargas Gaviria</t>
        </is>
      </c>
      <c r="C630" t="inlineStr">
        <is>
          <t>3131805604</t>
        </is>
      </c>
      <c r="D630" t="inlineStr">
        <is>
          <t>tomas.vargas68@gmail.com</t>
        </is>
      </c>
      <c r="E630" t="inlineStr">
        <is>
          <t>Envigado</t>
        </is>
      </c>
      <c r="F630" t="inlineStr">
        <is>
          <t>PRY-008</t>
        </is>
      </c>
      <c r="G630" t="inlineStr">
        <is>
          <t>Llamada directa</t>
        </is>
      </c>
      <c r="H630" t="inlineStr">
        <is>
          <t>Miguel Salazar</t>
        </is>
      </c>
      <c r="I630" t="inlineStr">
        <is>
          <t>Perdido</t>
        </is>
      </c>
      <c r="J630" s="28" t="n">
        <v>45486</v>
      </c>
      <c r="K630" s="28" t="n">
        <v>45523</v>
      </c>
      <c r="L630" t="inlineStr">
        <is>
          <t>Crédito no aprobado</t>
        </is>
      </c>
    </row>
    <row r="631" ht="15.75" customHeight="1" s="25">
      <c r="A631" t="inlineStr">
        <is>
          <t>CLI-0629</t>
        </is>
      </c>
      <c r="B631" t="inlineStr">
        <is>
          <t>Valeria Agudelo Restrepo</t>
        </is>
      </c>
      <c r="C631" t="inlineStr">
        <is>
          <t>3144792681</t>
        </is>
      </c>
      <c r="D631" t="inlineStr">
        <is>
          <t>valeria.agudelo26@outlook.com</t>
        </is>
      </c>
      <c r="E631" t="inlineStr">
        <is>
          <t>Bello</t>
        </is>
      </c>
      <c r="F631" t="inlineStr">
        <is>
          <t>PRY-005</t>
        </is>
      </c>
      <c r="G631" t="inlineStr">
        <is>
          <t>Instagram</t>
        </is>
      </c>
      <c r="H631" t="inlineStr">
        <is>
          <t>Paula Arenas</t>
        </is>
      </c>
      <c r="I631" t="inlineStr">
        <is>
          <t>Perdido</t>
        </is>
      </c>
      <c r="J631" s="28" t="n">
        <v>45486</v>
      </c>
      <c r="K631" s="28" t="n">
        <v>45505</v>
      </c>
      <c r="L631" t="inlineStr">
        <is>
          <t>Buscaba arriendo, no compra</t>
        </is>
      </c>
    </row>
    <row r="632" ht="15.75" customHeight="1" s="25">
      <c r="A632" t="inlineStr">
        <is>
          <t>CLI-0630</t>
        </is>
      </c>
      <c r="B632" t="inlineStr">
        <is>
          <t>Diana Montes Restrepo</t>
        </is>
      </c>
      <c r="C632" t="inlineStr">
        <is>
          <t>3203242871</t>
        </is>
      </c>
      <c r="D632" t="inlineStr">
        <is>
          <t>diana.montes47@outlook.com</t>
        </is>
      </c>
      <c r="E632" t="inlineStr">
        <is>
          <t>Medellín</t>
        </is>
      </c>
      <c r="F632" t="inlineStr">
        <is>
          <t>PRY-003</t>
        </is>
      </c>
      <c r="G632" t="inlineStr">
        <is>
          <t>Facebook</t>
        </is>
      </c>
      <c r="H632" t="inlineStr">
        <is>
          <t>Ana Quintero</t>
        </is>
      </c>
      <c r="I632" t="inlineStr">
        <is>
          <t>Perdido</t>
        </is>
      </c>
      <c r="J632" s="28" t="n">
        <v>45486</v>
      </c>
      <c r="K632" s="28" t="n">
        <v>45506</v>
      </c>
      <c r="L632" t="inlineStr">
        <is>
          <t>No calificó para crédito</t>
        </is>
      </c>
    </row>
    <row r="633" ht="15.75" customHeight="1" s="25">
      <c r="A633" t="inlineStr">
        <is>
          <t>CLI-0631</t>
        </is>
      </c>
      <c r="B633" t="inlineStr">
        <is>
          <t>Jorge Henao Álvarez</t>
        </is>
      </c>
      <c r="C633" t="inlineStr">
        <is>
          <t>3133418229</t>
        </is>
      </c>
      <c r="D633" t="inlineStr">
        <is>
          <t>jorge.henao30@gmail.com</t>
        </is>
      </c>
      <c r="E633" t="inlineStr">
        <is>
          <t>Medellín</t>
        </is>
      </c>
      <c r="F633" t="inlineStr">
        <is>
          <t>PRY-003</t>
        </is>
      </c>
      <c r="G633" t="inlineStr">
        <is>
          <t>Instagram</t>
        </is>
      </c>
      <c r="H633" t="inlineStr">
        <is>
          <t>Miguel Salazar</t>
        </is>
      </c>
      <c r="I633" t="inlineStr">
        <is>
          <t>Perdido</t>
        </is>
      </c>
      <c r="J633" s="28" t="n">
        <v>45486</v>
      </c>
      <c r="K633" s="28" t="n">
        <v>45500</v>
      </c>
      <c r="L633" t="inlineStr">
        <is>
          <t>Buscaba arriendo, no compra</t>
        </is>
      </c>
    </row>
    <row r="634" ht="15.75" customHeight="1" s="25">
      <c r="A634" t="inlineStr">
        <is>
          <t>CLI-0632</t>
        </is>
      </c>
      <c r="B634" t="inlineStr">
        <is>
          <t>Valentina Agudelo Hernández</t>
        </is>
      </c>
      <c r="C634" t="inlineStr">
        <is>
          <t>3136777800</t>
        </is>
      </c>
      <c r="D634" t="inlineStr">
        <is>
          <t>valentina.agudelo89@gmail.com</t>
        </is>
      </c>
      <c r="E634" t="inlineStr">
        <is>
          <t>Medellín</t>
        </is>
      </c>
      <c r="F634" t="inlineStr">
        <is>
          <t>PRY-004</t>
        </is>
      </c>
      <c r="G634" t="inlineStr">
        <is>
          <t>Facebook</t>
        </is>
      </c>
      <c r="H634" t="inlineStr">
        <is>
          <t>Luis Bedoya</t>
        </is>
      </c>
      <c r="I634" t="inlineStr">
        <is>
          <t>Perdido</t>
        </is>
      </c>
      <c r="J634" s="28" t="n">
        <v>45487</v>
      </c>
      <c r="K634" s="28" t="n">
        <v>45562</v>
      </c>
      <c r="L634" t="inlineStr">
        <is>
          <t>Precio fuera de presupuesto</t>
        </is>
      </c>
    </row>
    <row r="635" ht="15.75" customHeight="1" s="25">
      <c r="A635" t="inlineStr">
        <is>
          <t>CLI-0633</t>
        </is>
      </c>
      <c r="B635" t="inlineStr">
        <is>
          <t>Hernán Higuita Agudelo</t>
        </is>
      </c>
      <c r="C635" t="inlineStr">
        <is>
          <t>3236064946</t>
        </is>
      </c>
      <c r="D635" t="inlineStr">
        <is>
          <t>hernan.higuita90@hotmail.com</t>
        </is>
      </c>
      <c r="E635" t="inlineStr">
        <is>
          <t>Medellín</t>
        </is>
      </c>
      <c r="F635" t="inlineStr">
        <is>
          <t>PRY-001</t>
        </is>
      </c>
      <c r="G635" t="inlineStr">
        <is>
          <t>Instagram</t>
        </is>
      </c>
      <c r="H635" t="inlineStr">
        <is>
          <t>Sofía Prada</t>
        </is>
      </c>
      <c r="I635" t="inlineStr">
        <is>
          <t>Perdido</t>
        </is>
      </c>
      <c r="J635" s="28" t="n">
        <v>45487</v>
      </c>
      <c r="K635" s="28" t="n">
        <v>45514</v>
      </c>
      <c r="L635" t="inlineStr">
        <is>
          <t>Sin respuesta tras 3 contactos</t>
        </is>
      </c>
    </row>
    <row r="636" ht="15.75" customHeight="1" s="25">
      <c r="A636" t="inlineStr">
        <is>
          <t>CLI-0634</t>
        </is>
      </c>
      <c r="B636" t="inlineStr">
        <is>
          <t>Valeria Franco Ríos</t>
        </is>
      </c>
      <c r="C636" t="inlineStr">
        <is>
          <t>3238841770</t>
        </is>
      </c>
      <c r="D636" t="inlineStr">
        <is>
          <t>valeria.franco33@gmail.com</t>
        </is>
      </c>
      <c r="E636" t="inlineStr">
        <is>
          <t>Medellín</t>
        </is>
      </c>
      <c r="F636" t="inlineStr">
        <is>
          <t>PRY-004</t>
        </is>
      </c>
      <c r="G636" t="inlineStr">
        <is>
          <t>Portal Web</t>
        </is>
      </c>
      <c r="H636" t="inlineStr">
        <is>
          <t>Miguel Salazar</t>
        </is>
      </c>
      <c r="I636" t="inlineStr">
        <is>
          <t>Perdido</t>
        </is>
      </c>
      <c r="J636" s="28" t="n">
        <v>45487</v>
      </c>
      <c r="K636" s="28" t="n">
        <v>45493</v>
      </c>
      <c r="L636" t="inlineStr">
        <is>
          <t>Presupuesto insuficiente</t>
        </is>
      </c>
    </row>
    <row r="637" ht="15.75" customHeight="1" s="25">
      <c r="A637" t="inlineStr">
        <is>
          <t>CLI-0635</t>
        </is>
      </c>
      <c r="B637" t="inlineStr">
        <is>
          <t>Laura Espinosa Vélez</t>
        </is>
      </c>
      <c r="C637" t="inlineStr">
        <is>
          <t>3001812648</t>
        </is>
      </c>
      <c r="D637" t="inlineStr">
        <is>
          <t>laura.espinosa10@yahoo.com</t>
        </is>
      </c>
      <c r="E637" t="inlineStr">
        <is>
          <t>Medellín</t>
        </is>
      </c>
      <c r="F637" t="inlineStr">
        <is>
          <t>PRY-002</t>
        </is>
      </c>
      <c r="G637" t="inlineStr">
        <is>
          <t>Feria Inmobiliaria</t>
        </is>
      </c>
      <c r="H637" t="inlineStr">
        <is>
          <t>Paula Arenas</t>
        </is>
      </c>
      <c r="I637" t="inlineStr">
        <is>
          <t>Ganado</t>
        </is>
      </c>
      <c r="J637" s="28" t="n">
        <v>45488</v>
      </c>
      <c r="K637" s="28" t="n">
        <v>45580</v>
      </c>
      <c r="L637" t="inlineStr">
        <is>
          <t>Compró Casa 49 en Reserva Santa Elena</t>
        </is>
      </c>
    </row>
    <row r="638" ht="15.75" customHeight="1" s="25">
      <c r="A638" t="inlineStr">
        <is>
          <t>CLI-0636</t>
        </is>
      </c>
      <c r="B638" t="inlineStr">
        <is>
          <t>Felipe Valencia Restrepo</t>
        </is>
      </c>
      <c r="C638" t="inlineStr">
        <is>
          <t>3147567853</t>
        </is>
      </c>
      <c r="D638" t="inlineStr">
        <is>
          <t>felipe.valencia78@outlook.com</t>
        </is>
      </c>
      <c r="E638" t="inlineStr">
        <is>
          <t>Envigado</t>
        </is>
      </c>
      <c r="F638" t="inlineStr">
        <is>
          <t>PRY-001</t>
        </is>
      </c>
      <c r="G638" t="inlineStr">
        <is>
          <t>Llamada directa</t>
        </is>
      </c>
      <c r="H638" t="inlineStr">
        <is>
          <t>Miguel Salazar</t>
        </is>
      </c>
      <c r="I638" t="inlineStr">
        <is>
          <t>Perdido</t>
        </is>
      </c>
      <c r="J638" s="28" t="n">
        <v>45488</v>
      </c>
      <c r="K638" s="28" t="n">
        <v>45536</v>
      </c>
      <c r="L638" t="inlineStr">
        <is>
          <t>No volvió a responder</t>
        </is>
      </c>
    </row>
    <row r="639" ht="15.75" customHeight="1" s="25">
      <c r="A639" t="inlineStr">
        <is>
          <t>CLI-0637</t>
        </is>
      </c>
      <c r="B639" t="inlineStr">
        <is>
          <t>Fernando Espinosa Cano</t>
        </is>
      </c>
      <c r="C639" t="inlineStr">
        <is>
          <t>3221688097</t>
        </is>
      </c>
      <c r="D639" t="inlineStr">
        <is>
          <t>fernando.espinosa49@outlook.com</t>
        </is>
      </c>
      <c r="E639" t="inlineStr">
        <is>
          <t>Medellín</t>
        </is>
      </c>
      <c r="F639" t="inlineStr">
        <is>
          <t>PRY-002</t>
        </is>
      </c>
      <c r="G639" t="inlineStr">
        <is>
          <t>Referido</t>
        </is>
      </c>
      <c r="H639" t="inlineStr">
        <is>
          <t>Santiago Muñoz</t>
        </is>
      </c>
      <c r="I639" t="inlineStr">
        <is>
          <t>Ganado</t>
        </is>
      </c>
      <c r="J639" s="28" t="n">
        <v>45488</v>
      </c>
      <c r="K639" s="28" t="n">
        <v>45633</v>
      </c>
      <c r="L639" t="inlineStr">
        <is>
          <t>Compró Casa 51 en Reserva Santa Elena</t>
        </is>
      </c>
    </row>
    <row r="640" ht="15.75" customHeight="1" s="25">
      <c r="A640" t="inlineStr">
        <is>
          <t>CLI-0638</t>
        </is>
      </c>
      <c r="B640" t="inlineStr">
        <is>
          <t>Nicolás Vélez Agudelo</t>
        </is>
      </c>
      <c r="C640" t="inlineStr">
        <is>
          <t>3006257098</t>
        </is>
      </c>
      <c r="D640" t="inlineStr">
        <is>
          <t>nicolas.velez44@yahoo.com</t>
        </is>
      </c>
      <c r="E640" t="inlineStr">
        <is>
          <t>Medellín</t>
        </is>
      </c>
      <c r="F640" t="inlineStr">
        <is>
          <t>PRY-003</t>
        </is>
      </c>
      <c r="G640" t="inlineStr">
        <is>
          <t>Facebook</t>
        </is>
      </c>
      <c r="H640" t="inlineStr">
        <is>
          <t>Andrés Torres</t>
        </is>
      </c>
      <c r="I640" t="inlineStr">
        <is>
          <t>Perdido</t>
        </is>
      </c>
      <c r="J640" s="28" t="n">
        <v>45489</v>
      </c>
      <c r="K640" s="28" t="n">
        <v>45558</v>
      </c>
      <c r="L640" t="inlineStr">
        <is>
          <t>No volvió a responder</t>
        </is>
      </c>
    </row>
    <row r="641" ht="15.75" customHeight="1" s="25">
      <c r="A641" t="inlineStr">
        <is>
          <t>CLI-0639</t>
        </is>
      </c>
      <c r="B641" t="inlineStr">
        <is>
          <t>Laura Correa Duque</t>
        </is>
      </c>
      <c r="C641" t="inlineStr">
        <is>
          <t>3179797659</t>
        </is>
      </c>
      <c r="D641" t="inlineStr">
        <is>
          <t>laura.correa33@yahoo.com</t>
        </is>
      </c>
      <c r="E641" t="inlineStr">
        <is>
          <t>Rionegro</t>
        </is>
      </c>
      <c r="F641" t="inlineStr">
        <is>
          <t>PRY-003</t>
        </is>
      </c>
      <c r="G641" t="inlineStr">
        <is>
          <t>Facebook</t>
        </is>
      </c>
      <c r="H641" t="inlineStr">
        <is>
          <t>Sofía Prada</t>
        </is>
      </c>
      <c r="I641" t="inlineStr">
        <is>
          <t>Ganado</t>
        </is>
      </c>
      <c r="J641" s="28" t="n">
        <v>45489</v>
      </c>
      <c r="K641" s="28" t="n">
        <v>45565</v>
      </c>
      <c r="L641" t="inlineStr">
        <is>
          <t>Compró Apto 2504 en Conecta Laureles</t>
        </is>
      </c>
    </row>
    <row r="642" ht="15.75" customHeight="1" s="25">
      <c r="A642" t="inlineStr">
        <is>
          <t>CLI-0640</t>
        </is>
      </c>
      <c r="B642" t="inlineStr">
        <is>
          <t>Marcela Toro Álvarez</t>
        </is>
      </c>
      <c r="C642" t="inlineStr">
        <is>
          <t>3001559571</t>
        </is>
      </c>
      <c r="D642" t="inlineStr">
        <is>
          <t>marcela.toro18@hotmail.com</t>
        </is>
      </c>
      <c r="E642" t="inlineStr">
        <is>
          <t>Medellín</t>
        </is>
      </c>
      <c r="F642" t="inlineStr">
        <is>
          <t>PRY-005</t>
        </is>
      </c>
      <c r="G642" t="inlineStr">
        <is>
          <t>Facebook</t>
        </is>
      </c>
      <c r="H642" t="inlineStr">
        <is>
          <t>Miguel Salazar</t>
        </is>
      </c>
      <c r="I642" t="inlineStr">
        <is>
          <t>Perdido</t>
        </is>
      </c>
      <c r="J642" s="28" t="n">
        <v>45489</v>
      </c>
      <c r="K642" s="28" t="n">
        <v>45574</v>
      </c>
      <c r="L642" t="inlineStr">
        <is>
          <t>Crédito no aprobado</t>
        </is>
      </c>
    </row>
    <row r="643" ht="15.75" customHeight="1" s="25">
      <c r="A643" t="inlineStr">
        <is>
          <t>CLI-0641</t>
        </is>
      </c>
      <c r="B643" t="inlineStr">
        <is>
          <t>Valentina Peláez Castaño</t>
        </is>
      </c>
      <c r="C643" t="inlineStr">
        <is>
          <t>3049259784</t>
        </is>
      </c>
      <c r="D643" t="inlineStr">
        <is>
          <t>valentina.pelaez35@gmail.com</t>
        </is>
      </c>
      <c r="E643" t="inlineStr">
        <is>
          <t>Medellín</t>
        </is>
      </c>
      <c r="F643" t="inlineStr">
        <is>
          <t>PRY-003</t>
        </is>
      </c>
      <c r="G643" t="inlineStr">
        <is>
          <t>Facebook</t>
        </is>
      </c>
      <c r="H643" t="inlineStr">
        <is>
          <t>Miguel Salazar</t>
        </is>
      </c>
      <c r="I643" t="inlineStr">
        <is>
          <t>Perdido</t>
        </is>
      </c>
      <c r="J643" s="28" t="n">
        <v>45489</v>
      </c>
      <c r="K643" s="28" t="n">
        <v>45518</v>
      </c>
      <c r="L643" t="inlineStr">
        <is>
          <t>No calificó para crédito</t>
        </is>
      </c>
    </row>
    <row r="644" ht="15.75" customHeight="1" s="25">
      <c r="A644" t="inlineStr">
        <is>
          <t>CLI-0642</t>
        </is>
      </c>
      <c r="B644" t="inlineStr">
        <is>
          <t>Esteban Gaviria Restrepo</t>
        </is>
      </c>
      <c r="C644" t="inlineStr">
        <is>
          <t>3133405419</t>
        </is>
      </c>
      <c r="D644" t="inlineStr">
        <is>
          <t>esteban.gaviria15@yahoo.com</t>
        </is>
      </c>
      <c r="E644" t="inlineStr">
        <is>
          <t>Medellín</t>
        </is>
      </c>
      <c r="F644" t="inlineStr">
        <is>
          <t>PRY-004</t>
        </is>
      </c>
      <c r="G644" t="inlineStr">
        <is>
          <t>Instagram</t>
        </is>
      </c>
      <c r="H644" t="inlineStr">
        <is>
          <t>Luis Bedoya</t>
        </is>
      </c>
      <c r="I644" t="inlineStr">
        <is>
          <t>Perdido</t>
        </is>
      </c>
      <c r="J644" s="28" t="n">
        <v>45490</v>
      </c>
      <c r="K644" s="28" t="n">
        <v>45509</v>
      </c>
      <c r="L644" t="inlineStr">
        <is>
          <t>No calificó para crédito</t>
        </is>
      </c>
    </row>
    <row r="645" ht="15.75" customHeight="1" s="25">
      <c r="A645" t="inlineStr">
        <is>
          <t>CLI-0643</t>
        </is>
      </c>
      <c r="B645" t="inlineStr">
        <is>
          <t>Katherine Vélez Restrepo</t>
        </is>
      </c>
      <c r="C645" t="inlineStr">
        <is>
          <t>3134735629</t>
        </is>
      </c>
      <c r="D645" t="inlineStr">
        <is>
          <t>katherine.velez66@yahoo.com</t>
        </is>
      </c>
      <c r="E645" t="inlineStr">
        <is>
          <t>Envigado</t>
        </is>
      </c>
      <c r="F645" t="inlineStr">
        <is>
          <t>PRY-007</t>
        </is>
      </c>
      <c r="G645" t="inlineStr">
        <is>
          <t>Feria Inmobiliaria</t>
        </is>
      </c>
      <c r="H645" t="inlineStr">
        <is>
          <t>Santiago Muñoz</t>
        </is>
      </c>
      <c r="I645" t="inlineStr">
        <is>
          <t>Perdido</t>
        </is>
      </c>
      <c r="J645" s="28" t="n">
        <v>45491</v>
      </c>
      <c r="K645" s="28" t="n">
        <v>45580</v>
      </c>
      <c r="L645" t="inlineStr">
        <is>
          <t>Crédito no aprobado</t>
        </is>
      </c>
    </row>
    <row r="646" ht="15.75" customHeight="1" s="25">
      <c r="A646" t="inlineStr">
        <is>
          <t>CLI-0644</t>
        </is>
      </c>
      <c r="B646" t="inlineStr">
        <is>
          <t>David Jaramillo Muñoz</t>
        </is>
      </c>
      <c r="C646" t="inlineStr">
        <is>
          <t>3014634843</t>
        </is>
      </c>
      <c r="D646" t="inlineStr">
        <is>
          <t>david.jaramillo69@yahoo.com</t>
        </is>
      </c>
      <c r="E646" t="inlineStr">
        <is>
          <t>Medellín</t>
        </is>
      </c>
      <c r="F646" t="inlineStr">
        <is>
          <t>PRY-003</t>
        </is>
      </c>
      <c r="G646" t="inlineStr">
        <is>
          <t>Referido</t>
        </is>
      </c>
      <c r="H646" t="inlineStr">
        <is>
          <t>Ana Quintero</t>
        </is>
      </c>
      <c r="I646" t="inlineStr">
        <is>
          <t>Perdido</t>
        </is>
      </c>
      <c r="J646" s="28" t="n">
        <v>45491</v>
      </c>
      <c r="K646" s="28" t="n">
        <v>45502</v>
      </c>
      <c r="L646" t="inlineStr">
        <is>
          <t>No calificó para crédito</t>
        </is>
      </c>
    </row>
    <row r="647" ht="15.75" customHeight="1" s="25">
      <c r="A647" t="inlineStr">
        <is>
          <t>CLI-0645</t>
        </is>
      </c>
      <c r="B647" t="inlineStr">
        <is>
          <t>Iván López Higuita</t>
        </is>
      </c>
      <c r="C647" t="inlineStr">
        <is>
          <t>3043431568</t>
        </is>
      </c>
      <c r="D647" t="inlineStr">
        <is>
          <t>ivan.lopez82@gmail.com</t>
        </is>
      </c>
      <c r="E647" t="inlineStr">
        <is>
          <t>Medellín</t>
        </is>
      </c>
      <c r="F647" t="inlineStr">
        <is>
          <t>PRY-008</t>
        </is>
      </c>
      <c r="G647" t="inlineStr">
        <is>
          <t>Portal Web</t>
        </is>
      </c>
      <c r="H647" t="inlineStr">
        <is>
          <t>Ana Quintero</t>
        </is>
      </c>
      <c r="I647" t="inlineStr">
        <is>
          <t>Perdido</t>
        </is>
      </c>
      <c r="J647" s="28" t="n">
        <v>45491</v>
      </c>
      <c r="K647" s="28" t="n">
        <v>45519</v>
      </c>
      <c r="L647" t="inlineStr">
        <is>
          <t>Sin respuesta tras 3 contactos</t>
        </is>
      </c>
    </row>
    <row r="648" ht="15.75" customHeight="1" s="25">
      <c r="A648" t="inlineStr">
        <is>
          <t>CLI-0646</t>
        </is>
      </c>
      <c r="B648" t="inlineStr">
        <is>
          <t>Mónica Toro Cardona</t>
        </is>
      </c>
      <c r="C648" t="inlineStr">
        <is>
          <t>3175396999</t>
        </is>
      </c>
      <c r="D648" t="inlineStr">
        <is>
          <t>monica.toro26@gmail.com</t>
        </is>
      </c>
      <c r="E648" t="inlineStr">
        <is>
          <t>Envigado</t>
        </is>
      </c>
      <c r="F648" t="inlineStr">
        <is>
          <t>PRY-007</t>
        </is>
      </c>
      <c r="G648" t="inlineStr">
        <is>
          <t>Instagram</t>
        </is>
      </c>
      <c r="H648" t="inlineStr">
        <is>
          <t>Ana Quintero</t>
        </is>
      </c>
      <c r="I648" t="inlineStr">
        <is>
          <t>Perdido</t>
        </is>
      </c>
      <c r="J648" s="28" t="n">
        <v>45492</v>
      </c>
      <c r="K648" s="28" t="n">
        <v>45613</v>
      </c>
      <c r="L648" t="inlineStr">
        <is>
          <t>Crédito no aprobado</t>
        </is>
      </c>
    </row>
    <row r="649" ht="15.75" customHeight="1" s="25">
      <c r="A649" t="inlineStr">
        <is>
          <t>CLI-0647</t>
        </is>
      </c>
      <c r="B649" t="inlineStr">
        <is>
          <t>Alejandro Arango Jaramillo</t>
        </is>
      </c>
      <c r="C649" t="inlineStr">
        <is>
          <t>3226122589</t>
        </is>
      </c>
      <c r="D649" t="inlineStr">
        <is>
          <t>alejandro.arango50@yahoo.com</t>
        </is>
      </c>
      <c r="E649" t="inlineStr">
        <is>
          <t>Envigado</t>
        </is>
      </c>
      <c r="F649" t="inlineStr">
        <is>
          <t>PRY-001</t>
        </is>
      </c>
      <c r="G649" t="inlineStr">
        <is>
          <t>Instagram</t>
        </is>
      </c>
      <c r="H649" t="inlineStr">
        <is>
          <t>Sofía Prada</t>
        </is>
      </c>
      <c r="I649" t="inlineStr">
        <is>
          <t>Perdido</t>
        </is>
      </c>
      <c r="J649" s="28" t="n">
        <v>45493</v>
      </c>
      <c r="K649" s="28" t="n">
        <v>45508</v>
      </c>
      <c r="L649" t="inlineStr">
        <is>
          <t>No calificó para crédito</t>
        </is>
      </c>
    </row>
    <row r="650" ht="15.75" customHeight="1" s="25">
      <c r="A650" t="inlineStr">
        <is>
          <t>CLI-0648</t>
        </is>
      </c>
      <c r="B650" t="inlineStr">
        <is>
          <t>Paola Gaviria Osorio</t>
        </is>
      </c>
      <c r="C650" t="inlineStr">
        <is>
          <t>3017554626</t>
        </is>
      </c>
      <c r="D650" t="inlineStr">
        <is>
          <t>paola.gaviria66@hotmail.com</t>
        </is>
      </c>
      <c r="E650" t="inlineStr">
        <is>
          <t>Medellín</t>
        </is>
      </c>
      <c r="F650" t="inlineStr">
        <is>
          <t>PRY-004</t>
        </is>
      </c>
      <c r="G650" t="inlineStr">
        <is>
          <t>Llamada directa</t>
        </is>
      </c>
      <c r="H650" t="inlineStr">
        <is>
          <t>Luis Bedoya</t>
        </is>
      </c>
      <c r="I650" t="inlineStr">
        <is>
          <t>Perdido</t>
        </is>
      </c>
      <c r="J650" s="28" t="n">
        <v>45494</v>
      </c>
      <c r="K650" s="28" t="n">
        <v>45603</v>
      </c>
      <c r="L650" t="inlineStr">
        <is>
          <t>Eligió otro proyecto</t>
        </is>
      </c>
    </row>
    <row r="651" ht="15.75" customHeight="1" s="25">
      <c r="A651" t="inlineStr">
        <is>
          <t>CLI-0649</t>
        </is>
      </c>
      <c r="B651" t="inlineStr">
        <is>
          <t>Mauricio Higuita Gaviria</t>
        </is>
      </c>
      <c r="C651" t="inlineStr">
        <is>
          <t>3232409975</t>
        </is>
      </c>
      <c r="D651" t="inlineStr">
        <is>
          <t>mauricio.higuita93@yahoo.com</t>
        </is>
      </c>
      <c r="E651" t="inlineStr">
        <is>
          <t>Envigado</t>
        </is>
      </c>
      <c r="F651" t="inlineStr">
        <is>
          <t>PRY-005</t>
        </is>
      </c>
      <c r="G651" t="inlineStr">
        <is>
          <t>Referido</t>
        </is>
      </c>
      <c r="H651" t="inlineStr">
        <is>
          <t>Miguel Salazar</t>
        </is>
      </c>
      <c r="I651" t="inlineStr">
        <is>
          <t>Perdido</t>
        </is>
      </c>
      <c r="J651" s="28" t="n">
        <v>45494</v>
      </c>
      <c r="K651" s="28" t="n">
        <v>45622</v>
      </c>
      <c r="L651" t="inlineStr">
        <is>
          <t>Crédito no aprobado</t>
        </is>
      </c>
    </row>
    <row r="652" ht="15.75" customHeight="1" s="25">
      <c r="A652" t="inlineStr">
        <is>
          <t>CLI-0650</t>
        </is>
      </c>
      <c r="B652" t="inlineStr">
        <is>
          <t>Natalia Ríos Escobar</t>
        </is>
      </c>
      <c r="C652" t="inlineStr">
        <is>
          <t>3131910792</t>
        </is>
      </c>
      <c r="D652" t="inlineStr">
        <is>
          <t>natalia.rios62@hotmail.com</t>
        </is>
      </c>
      <c r="E652" t="inlineStr">
        <is>
          <t>Medellín</t>
        </is>
      </c>
      <c r="F652" t="inlineStr">
        <is>
          <t>PRY-004</t>
        </is>
      </c>
      <c r="G652" t="inlineStr">
        <is>
          <t>Llamada directa</t>
        </is>
      </c>
      <c r="H652" t="inlineStr">
        <is>
          <t>Sofía Prada</t>
        </is>
      </c>
      <c r="I652" t="inlineStr">
        <is>
          <t>Ganado</t>
        </is>
      </c>
      <c r="J652" s="28" t="n">
        <v>45494</v>
      </c>
      <c r="K652" s="28" t="n">
        <v>45631</v>
      </c>
      <c r="L652" t="inlineStr">
        <is>
          <t>Compró Casa 69 en Altavista Park</t>
        </is>
      </c>
    </row>
    <row r="653" ht="15.75" customHeight="1" s="25">
      <c r="A653" t="inlineStr">
        <is>
          <t>CLI-0651</t>
        </is>
      </c>
      <c r="B653" t="inlineStr">
        <is>
          <t>Nicolás Betancur Marín</t>
        </is>
      </c>
      <c r="C653" t="inlineStr">
        <is>
          <t>3243633462</t>
        </is>
      </c>
      <c r="D653" t="inlineStr">
        <is>
          <t>nicolas.betancur2@outlook.com</t>
        </is>
      </c>
      <c r="E653" t="inlineStr">
        <is>
          <t>Sabaneta</t>
        </is>
      </c>
      <c r="F653" t="inlineStr">
        <is>
          <t>PRY-004</t>
        </is>
      </c>
      <c r="G653" t="inlineStr">
        <is>
          <t>Portal Web</t>
        </is>
      </c>
      <c r="H653" t="inlineStr">
        <is>
          <t>Sofía Prada</t>
        </is>
      </c>
      <c r="I653" t="inlineStr">
        <is>
          <t>Perdido</t>
        </is>
      </c>
      <c r="J653" s="28" t="n">
        <v>45494</v>
      </c>
      <c r="K653" s="28" t="n">
        <v>45523</v>
      </c>
      <c r="L653" t="inlineStr">
        <is>
          <t>Buscaba arriendo, no compra</t>
        </is>
      </c>
    </row>
    <row r="654" ht="15.75" customHeight="1" s="25">
      <c r="A654" t="inlineStr">
        <is>
          <t>CLI-0652</t>
        </is>
      </c>
      <c r="B654" t="inlineStr">
        <is>
          <t>Valentina Ríos Vargas</t>
        </is>
      </c>
      <c r="C654" t="inlineStr">
        <is>
          <t>3202539232</t>
        </is>
      </c>
      <c r="D654" t="inlineStr">
        <is>
          <t>valentina.rios59@hotmail.com</t>
        </is>
      </c>
      <c r="E654" t="inlineStr">
        <is>
          <t>Itagüí</t>
        </is>
      </c>
      <c r="F654" t="inlineStr">
        <is>
          <t>PRY-008</t>
        </is>
      </c>
      <c r="G654" t="inlineStr">
        <is>
          <t>Portal Web</t>
        </is>
      </c>
      <c r="H654" t="inlineStr">
        <is>
          <t>Luis Bedoya</t>
        </is>
      </c>
      <c r="I654" t="inlineStr">
        <is>
          <t>Perdido</t>
        </is>
      </c>
      <c r="J654" s="28" t="n">
        <v>45494</v>
      </c>
      <c r="K654" s="28" t="n">
        <v>45521</v>
      </c>
      <c r="L654" t="inlineStr">
        <is>
          <t>Sin respuesta tras 3 contactos</t>
        </is>
      </c>
    </row>
    <row r="655" ht="15.75" customHeight="1" s="25">
      <c r="A655" t="inlineStr">
        <is>
          <t>CLI-0653</t>
        </is>
      </c>
      <c r="B655" t="inlineStr">
        <is>
          <t>Mónica Henao Henao</t>
        </is>
      </c>
      <c r="C655" t="inlineStr">
        <is>
          <t>3223710441</t>
        </is>
      </c>
      <c r="D655" t="inlineStr">
        <is>
          <t>monica.henao49@outlook.com</t>
        </is>
      </c>
      <c r="E655" t="inlineStr">
        <is>
          <t>Medellín</t>
        </is>
      </c>
      <c r="F655" t="inlineStr">
        <is>
          <t>PRY-002</t>
        </is>
      </c>
      <c r="G655" t="inlineStr">
        <is>
          <t>Facebook</t>
        </is>
      </c>
      <c r="H655" t="inlineStr">
        <is>
          <t>Sofía Prada</t>
        </is>
      </c>
      <c r="I655" t="inlineStr">
        <is>
          <t>Perdido</t>
        </is>
      </c>
      <c r="J655" s="28" t="n">
        <v>45494</v>
      </c>
      <c r="K655" s="28" t="n">
        <v>45506</v>
      </c>
      <c r="L655" t="inlineStr">
        <is>
          <t>Sin respuesta tras 3 contactos</t>
        </is>
      </c>
    </row>
    <row r="656" ht="15.75" customHeight="1" s="25">
      <c r="A656" t="inlineStr">
        <is>
          <t>CLI-0654</t>
        </is>
      </c>
      <c r="B656" t="inlineStr">
        <is>
          <t>Wilson Ochoa Uribe</t>
        </is>
      </c>
      <c r="C656" t="inlineStr">
        <is>
          <t>3247516139</t>
        </is>
      </c>
      <c r="D656" t="inlineStr">
        <is>
          <t>wilson.ochoa90@hotmail.com</t>
        </is>
      </c>
      <c r="E656" t="inlineStr">
        <is>
          <t>La Estrella</t>
        </is>
      </c>
      <c r="F656" t="inlineStr">
        <is>
          <t>PRY-005</t>
        </is>
      </c>
      <c r="G656" t="inlineStr">
        <is>
          <t>Facebook</t>
        </is>
      </c>
      <c r="H656" t="inlineStr">
        <is>
          <t>Miguel Salazar</t>
        </is>
      </c>
      <c r="I656" t="inlineStr">
        <is>
          <t>Perdido</t>
        </is>
      </c>
      <c r="J656" s="28" t="n">
        <v>45494</v>
      </c>
      <c r="K656" s="28" t="n">
        <v>45522</v>
      </c>
      <c r="L656" t="inlineStr">
        <is>
          <t>Buscaba arriendo, no compra</t>
        </is>
      </c>
    </row>
    <row r="657" ht="15.75" customHeight="1" s="25">
      <c r="A657" t="inlineStr">
        <is>
          <t>CLI-0655</t>
        </is>
      </c>
      <c r="B657" t="inlineStr">
        <is>
          <t>Sofía Henao Vélez</t>
        </is>
      </c>
      <c r="C657" t="inlineStr">
        <is>
          <t>3002191881</t>
        </is>
      </c>
      <c r="D657" t="inlineStr">
        <is>
          <t>sofia.henao16@outlook.com</t>
        </is>
      </c>
      <c r="E657" t="inlineStr">
        <is>
          <t>Medellín</t>
        </is>
      </c>
      <c r="F657" t="inlineStr">
        <is>
          <t>PRY-004</t>
        </is>
      </c>
      <c r="G657" t="inlineStr">
        <is>
          <t>Feria Inmobiliaria</t>
        </is>
      </c>
      <c r="H657" t="inlineStr">
        <is>
          <t>Ana Quintero</t>
        </is>
      </c>
      <c r="I657" t="inlineStr">
        <is>
          <t>Ganado</t>
        </is>
      </c>
      <c r="J657" s="28" t="n">
        <v>45496</v>
      </c>
      <c r="K657" s="28" t="n">
        <v>45600</v>
      </c>
      <c r="L657" t="inlineStr">
        <is>
          <t>Compró Casa 59 en Altavista Park</t>
        </is>
      </c>
    </row>
    <row r="658" ht="15.75" customHeight="1" s="25">
      <c r="A658" t="inlineStr">
        <is>
          <t>CLI-0656</t>
        </is>
      </c>
      <c r="B658" t="inlineStr">
        <is>
          <t>Tomás Pérez Quintero</t>
        </is>
      </c>
      <c r="C658" t="inlineStr">
        <is>
          <t>3232022410</t>
        </is>
      </c>
      <c r="D658" t="inlineStr">
        <is>
          <t>tomas.perez87@outlook.com</t>
        </is>
      </c>
      <c r="E658" t="inlineStr">
        <is>
          <t>Rionegro</t>
        </is>
      </c>
      <c r="F658" t="inlineStr">
        <is>
          <t>PRY-005</t>
        </is>
      </c>
      <c r="G658" t="inlineStr">
        <is>
          <t>Portal Web</t>
        </is>
      </c>
      <c r="H658" t="inlineStr">
        <is>
          <t>Andrés Torres</t>
        </is>
      </c>
      <c r="I658" t="inlineStr">
        <is>
          <t>Ganado</t>
        </is>
      </c>
      <c r="J658" s="28" t="n">
        <v>45496</v>
      </c>
      <c r="K658" s="28" t="n">
        <v>45650</v>
      </c>
      <c r="L658" t="inlineStr">
        <is>
          <t>Compró Apto 904 en Ciudadela Rionegro</t>
        </is>
      </c>
    </row>
    <row r="659" ht="15.75" customHeight="1" s="25">
      <c r="A659" t="inlineStr">
        <is>
          <t>CLI-0657</t>
        </is>
      </c>
      <c r="B659" t="inlineStr">
        <is>
          <t>Jhon Valencia Valencia</t>
        </is>
      </c>
      <c r="C659" t="inlineStr">
        <is>
          <t>3045740158</t>
        </is>
      </c>
      <c r="D659" t="inlineStr">
        <is>
          <t>jhon.valencia55@hotmail.com</t>
        </is>
      </c>
      <c r="E659" t="inlineStr">
        <is>
          <t>Itagüí</t>
        </is>
      </c>
      <c r="F659" t="inlineStr">
        <is>
          <t>PRY-002</t>
        </is>
      </c>
      <c r="G659" t="inlineStr">
        <is>
          <t>Llamada directa</t>
        </is>
      </c>
      <c r="H659" t="inlineStr">
        <is>
          <t>Sofía Prada</t>
        </is>
      </c>
      <c r="I659" t="inlineStr">
        <is>
          <t>Perdido</t>
        </is>
      </c>
      <c r="J659" s="28" t="n">
        <v>45496</v>
      </c>
      <c r="K659" s="28" t="n">
        <v>45515</v>
      </c>
      <c r="L659" t="inlineStr">
        <is>
          <t>Sin respuesta tras 3 contactos</t>
        </is>
      </c>
    </row>
    <row r="660" ht="15.75" customHeight="1" s="25">
      <c r="A660" t="inlineStr">
        <is>
          <t>CLI-0658</t>
        </is>
      </c>
      <c r="B660" t="inlineStr">
        <is>
          <t>Carlos Álvarez Cifuentes</t>
        </is>
      </c>
      <c r="C660" t="inlineStr">
        <is>
          <t>3141857972</t>
        </is>
      </c>
      <c r="D660" t="inlineStr">
        <is>
          <t>carlos.alvarez27@outlook.com</t>
        </is>
      </c>
      <c r="E660" t="inlineStr">
        <is>
          <t>Rionegro</t>
        </is>
      </c>
      <c r="F660" t="inlineStr">
        <is>
          <t>PRY-002</t>
        </is>
      </c>
      <c r="G660" t="inlineStr">
        <is>
          <t>Feria Inmobiliaria</t>
        </is>
      </c>
      <c r="H660" t="inlineStr">
        <is>
          <t>Miguel Salazar</t>
        </is>
      </c>
      <c r="I660" t="inlineStr">
        <is>
          <t>Perdido</t>
        </is>
      </c>
      <c r="J660" s="28" t="n">
        <v>45496</v>
      </c>
      <c r="K660" s="28" t="n">
        <v>45511</v>
      </c>
      <c r="L660" t="inlineStr">
        <is>
          <t>No calificó para crédito</t>
        </is>
      </c>
    </row>
    <row r="661" ht="15.75" customHeight="1" s="25">
      <c r="A661" t="inlineStr">
        <is>
          <t>CLI-0659</t>
        </is>
      </c>
      <c r="B661" t="inlineStr">
        <is>
          <t>Diana Restrepo Zuluaga</t>
        </is>
      </c>
      <c r="C661" t="inlineStr">
        <is>
          <t>3155536168</t>
        </is>
      </c>
      <c r="D661" t="inlineStr">
        <is>
          <t>diana.restrepo93@yahoo.com</t>
        </is>
      </c>
      <c r="E661" t="inlineStr">
        <is>
          <t>Itagüí</t>
        </is>
      </c>
      <c r="F661" t="inlineStr">
        <is>
          <t>PRY-008</t>
        </is>
      </c>
      <c r="G661" t="inlineStr">
        <is>
          <t>Feria Inmobiliaria</t>
        </is>
      </c>
      <c r="H661" t="inlineStr">
        <is>
          <t>Paula Arenas</t>
        </is>
      </c>
      <c r="I661" t="inlineStr">
        <is>
          <t>Perdido</t>
        </is>
      </c>
      <c r="J661" s="28" t="n">
        <v>45496</v>
      </c>
      <c r="K661" s="28" t="n">
        <v>45523</v>
      </c>
      <c r="L661" t="inlineStr">
        <is>
          <t>No calificó para crédito</t>
        </is>
      </c>
    </row>
    <row r="662" ht="15.75" customHeight="1" s="25">
      <c r="A662" t="inlineStr">
        <is>
          <t>CLI-0660</t>
        </is>
      </c>
      <c r="B662" t="inlineStr">
        <is>
          <t>Wilson Echeverri Escobar</t>
        </is>
      </c>
      <c r="C662" t="inlineStr">
        <is>
          <t>3244934104</t>
        </is>
      </c>
      <c r="D662" t="inlineStr">
        <is>
          <t>wilson.echeverri67@hotmail.com</t>
        </is>
      </c>
      <c r="E662" t="inlineStr">
        <is>
          <t>Envigado</t>
        </is>
      </c>
      <c r="F662" t="inlineStr">
        <is>
          <t>PRY-004</t>
        </is>
      </c>
      <c r="G662" t="inlineStr">
        <is>
          <t>Feria Inmobiliaria</t>
        </is>
      </c>
      <c r="H662" t="inlineStr">
        <is>
          <t>Andrés Torres</t>
        </is>
      </c>
      <c r="I662" t="inlineStr">
        <is>
          <t>Perdido</t>
        </is>
      </c>
      <c r="J662" s="28" t="n">
        <v>45496</v>
      </c>
      <c r="K662" s="28" t="n">
        <v>45509</v>
      </c>
      <c r="L662" t="inlineStr">
        <is>
          <t>Buscaba arriendo, no compra</t>
        </is>
      </c>
    </row>
    <row r="663" ht="15.75" customHeight="1" s="25">
      <c r="A663" t="inlineStr">
        <is>
          <t>CLI-0661</t>
        </is>
      </c>
      <c r="B663" t="inlineStr">
        <is>
          <t>Emilio Montoya Cardona</t>
        </is>
      </c>
      <c r="C663" t="inlineStr">
        <is>
          <t>3137514071</t>
        </is>
      </c>
      <c r="D663" t="inlineStr">
        <is>
          <t>emilio.montoya65@outlook.com</t>
        </is>
      </c>
      <c r="E663" t="inlineStr">
        <is>
          <t>Medellín</t>
        </is>
      </c>
      <c r="F663" t="inlineStr">
        <is>
          <t>PRY-007</t>
        </is>
      </c>
      <c r="G663" t="inlineStr">
        <is>
          <t>Feria Inmobiliaria</t>
        </is>
      </c>
      <c r="H663" t="inlineStr">
        <is>
          <t>Juliana Vélez</t>
        </is>
      </c>
      <c r="I663" t="inlineStr">
        <is>
          <t>Perdido</t>
        </is>
      </c>
      <c r="J663" s="28" t="n">
        <v>45497</v>
      </c>
      <c r="K663" s="28" t="n">
        <v>45584</v>
      </c>
      <c r="L663" t="inlineStr">
        <is>
          <t>Crédito no aprobado</t>
        </is>
      </c>
    </row>
    <row r="664" ht="15.75" customHeight="1" s="25">
      <c r="A664" t="inlineStr">
        <is>
          <t>CLI-0662</t>
        </is>
      </c>
      <c r="B664" t="inlineStr">
        <is>
          <t>Katherine Betancur Valencia</t>
        </is>
      </c>
      <c r="C664" t="inlineStr">
        <is>
          <t>3208800488</t>
        </is>
      </c>
      <c r="D664" t="inlineStr">
        <is>
          <t>katherine.betancur97@outlook.com</t>
        </is>
      </c>
      <c r="E664" t="inlineStr">
        <is>
          <t>Medellín</t>
        </is>
      </c>
      <c r="F664" t="inlineStr">
        <is>
          <t>PRY-003</t>
        </is>
      </c>
      <c r="G664" t="inlineStr">
        <is>
          <t>Instagram</t>
        </is>
      </c>
      <c r="H664" t="inlineStr">
        <is>
          <t>Luis Bedoya</t>
        </is>
      </c>
      <c r="I664" t="inlineStr">
        <is>
          <t>Perdido</t>
        </is>
      </c>
      <c r="J664" s="28" t="n">
        <v>45497</v>
      </c>
      <c r="K664" s="28" t="n">
        <v>45518</v>
      </c>
      <c r="L664" t="inlineStr">
        <is>
          <t>Buscaba arriendo, no compra</t>
        </is>
      </c>
    </row>
    <row r="665" ht="15.75" customHeight="1" s="25">
      <c r="A665" t="inlineStr">
        <is>
          <t>CLI-0663</t>
        </is>
      </c>
      <c r="B665" t="inlineStr">
        <is>
          <t>Diana Uribe Castaño</t>
        </is>
      </c>
      <c r="C665" t="inlineStr">
        <is>
          <t>3149069816</t>
        </is>
      </c>
      <c r="D665" t="inlineStr">
        <is>
          <t>diana.uribe15@yahoo.com</t>
        </is>
      </c>
      <c r="E665" t="inlineStr">
        <is>
          <t>Medellín</t>
        </is>
      </c>
      <c r="F665" t="inlineStr">
        <is>
          <t>PRY-004</t>
        </is>
      </c>
      <c r="G665" t="inlineStr">
        <is>
          <t>Referido</t>
        </is>
      </c>
      <c r="H665" t="inlineStr">
        <is>
          <t>Luis Bedoya</t>
        </is>
      </c>
      <c r="I665" t="inlineStr">
        <is>
          <t>Perdido</t>
        </is>
      </c>
      <c r="J665" s="28" t="n">
        <v>45497</v>
      </c>
      <c r="K665" s="28" t="n">
        <v>45513</v>
      </c>
      <c r="L665" t="inlineStr">
        <is>
          <t>Buscaba arriendo, no compra</t>
        </is>
      </c>
    </row>
    <row r="666" ht="15.75" customHeight="1" s="25">
      <c r="A666" t="inlineStr">
        <is>
          <t>CLI-0664</t>
        </is>
      </c>
      <c r="B666" t="inlineStr">
        <is>
          <t>Julián Giraldo Vélez</t>
        </is>
      </c>
      <c r="C666" t="inlineStr">
        <is>
          <t>3003942416</t>
        </is>
      </c>
      <c r="D666" t="inlineStr">
        <is>
          <t>julian.giraldo95@yahoo.com</t>
        </is>
      </c>
      <c r="E666" t="inlineStr">
        <is>
          <t>Medellín</t>
        </is>
      </c>
      <c r="F666" t="inlineStr">
        <is>
          <t>PRY-005</t>
        </is>
      </c>
      <c r="G666" t="inlineStr">
        <is>
          <t>Llamada directa</t>
        </is>
      </c>
      <c r="H666" t="inlineStr">
        <is>
          <t>Santiago Muñoz</t>
        </is>
      </c>
      <c r="I666" t="inlineStr">
        <is>
          <t>Ganado</t>
        </is>
      </c>
      <c r="J666" s="28" t="n">
        <v>45498</v>
      </c>
      <c r="K666" s="28" t="n">
        <v>45575</v>
      </c>
      <c r="L666" t="inlineStr">
        <is>
          <t>Compró Apto 408 en Ciudadela Rionegro</t>
        </is>
      </c>
    </row>
    <row r="667" ht="15.75" customHeight="1" s="25">
      <c r="A667" t="inlineStr">
        <is>
          <t>CLI-0665</t>
        </is>
      </c>
      <c r="B667" t="inlineStr">
        <is>
          <t>Mónica Cifuentes Vargas</t>
        </is>
      </c>
      <c r="C667" t="inlineStr">
        <is>
          <t>3154424174</t>
        </is>
      </c>
      <c r="D667" t="inlineStr">
        <is>
          <t>monica.cifuentes99@gmail.com</t>
        </is>
      </c>
      <c r="E667" t="inlineStr">
        <is>
          <t>Rionegro</t>
        </is>
      </c>
      <c r="F667" t="inlineStr">
        <is>
          <t>PRY-004</t>
        </is>
      </c>
      <c r="G667" t="inlineStr">
        <is>
          <t>Referido</t>
        </is>
      </c>
      <c r="H667" t="inlineStr">
        <is>
          <t>Sofía Prada</t>
        </is>
      </c>
      <c r="I667" t="inlineStr">
        <is>
          <t>Ganado</t>
        </is>
      </c>
      <c r="J667" s="28" t="n">
        <v>45498</v>
      </c>
      <c r="K667" s="28" t="n">
        <v>45633</v>
      </c>
      <c r="L667" t="inlineStr">
        <is>
          <t>Compró Casa 3 en Altavista Park</t>
        </is>
      </c>
    </row>
    <row r="668" ht="15.75" customHeight="1" s="25">
      <c r="A668" t="inlineStr">
        <is>
          <t>CLI-0666</t>
        </is>
      </c>
      <c r="B668" t="inlineStr">
        <is>
          <t>Cristian Ríos Ramírez</t>
        </is>
      </c>
      <c r="C668" t="inlineStr">
        <is>
          <t>3242683423</t>
        </is>
      </c>
      <c r="D668" t="inlineStr">
        <is>
          <t>cristian.rios46@gmail.com</t>
        </is>
      </c>
      <c r="E668" t="inlineStr">
        <is>
          <t>Envigado</t>
        </is>
      </c>
      <c r="F668" t="inlineStr">
        <is>
          <t>PRY-004</t>
        </is>
      </c>
      <c r="G668" t="inlineStr">
        <is>
          <t>Instagram</t>
        </is>
      </c>
      <c r="H668" t="inlineStr">
        <is>
          <t>Ana Quintero</t>
        </is>
      </c>
      <c r="I668" t="inlineStr">
        <is>
          <t>Perdido</t>
        </is>
      </c>
      <c r="J668" s="28" t="n">
        <v>45498</v>
      </c>
      <c r="K668" s="28" t="n">
        <v>45519</v>
      </c>
      <c r="L668" t="inlineStr">
        <is>
          <t>Presupuesto insuficiente</t>
        </is>
      </c>
    </row>
    <row r="669" ht="15.75" customHeight="1" s="25">
      <c r="A669" t="inlineStr">
        <is>
          <t>CLI-0667</t>
        </is>
      </c>
      <c r="B669" t="inlineStr">
        <is>
          <t>Luisa Pérez Gaviria</t>
        </is>
      </c>
      <c r="C669" t="inlineStr">
        <is>
          <t>3232877727</t>
        </is>
      </c>
      <c r="D669" t="inlineStr">
        <is>
          <t>luisa.perez11@yahoo.com</t>
        </is>
      </c>
      <c r="E669" t="inlineStr">
        <is>
          <t>Medellín</t>
        </is>
      </c>
      <c r="F669" t="inlineStr">
        <is>
          <t>PRY-004</t>
        </is>
      </c>
      <c r="G669" t="inlineStr">
        <is>
          <t>Instagram</t>
        </is>
      </c>
      <c r="H669" t="inlineStr">
        <is>
          <t>Sofía Prada</t>
        </is>
      </c>
      <c r="I669" t="inlineStr">
        <is>
          <t>Perdido</t>
        </is>
      </c>
      <c r="J669" s="28" t="n">
        <v>45498</v>
      </c>
      <c r="K669" s="28" t="n">
        <v>45510</v>
      </c>
      <c r="L669" t="inlineStr">
        <is>
          <t>Buscaba arriendo, no compra</t>
        </is>
      </c>
    </row>
    <row r="670" ht="15.75" customHeight="1" s="25">
      <c r="A670" t="inlineStr">
        <is>
          <t>CLI-0668</t>
        </is>
      </c>
      <c r="B670" t="inlineStr">
        <is>
          <t>Gabriel Ramírez Franco</t>
        </is>
      </c>
      <c r="C670" t="inlineStr">
        <is>
          <t>3235271134</t>
        </is>
      </c>
      <c r="D670" t="inlineStr">
        <is>
          <t>gabriel.ramirez69@yahoo.com</t>
        </is>
      </c>
      <c r="E670" t="inlineStr">
        <is>
          <t>Itagüí</t>
        </is>
      </c>
      <c r="F670" t="inlineStr">
        <is>
          <t>PRY-008</t>
        </is>
      </c>
      <c r="G670" t="inlineStr">
        <is>
          <t>Feria Inmobiliaria</t>
        </is>
      </c>
      <c r="H670" t="inlineStr">
        <is>
          <t>Luis Bedoya</t>
        </is>
      </c>
      <c r="I670" t="inlineStr">
        <is>
          <t>Ganado</t>
        </is>
      </c>
      <c r="J670" s="28" t="n">
        <v>45499</v>
      </c>
      <c r="K670" s="28" t="n">
        <v>45583</v>
      </c>
      <c r="L670" t="inlineStr">
        <is>
          <t>Compró Casa 103 en Valle Verde Itagüí</t>
        </is>
      </c>
    </row>
    <row r="671" ht="15.75" customHeight="1" s="25">
      <c r="A671" t="inlineStr">
        <is>
          <t>CLI-0669</t>
        </is>
      </c>
      <c r="B671" t="inlineStr">
        <is>
          <t>Iván Giraldo Correa</t>
        </is>
      </c>
      <c r="C671" t="inlineStr">
        <is>
          <t>3236509724</t>
        </is>
      </c>
      <c r="D671" t="inlineStr">
        <is>
          <t>ivan.giraldo32@outlook.com</t>
        </is>
      </c>
      <c r="E671" t="inlineStr">
        <is>
          <t>Itagüí</t>
        </is>
      </c>
      <c r="F671" t="inlineStr">
        <is>
          <t>PRY-008</t>
        </is>
      </c>
      <c r="G671" t="inlineStr">
        <is>
          <t>Feria Inmobiliaria</t>
        </is>
      </c>
      <c r="H671" t="inlineStr">
        <is>
          <t>Luis Bedoya</t>
        </is>
      </c>
      <c r="I671" t="inlineStr">
        <is>
          <t>Perdido</t>
        </is>
      </c>
      <c r="J671" s="28" t="n">
        <v>45499</v>
      </c>
      <c r="K671" s="28" t="n">
        <v>45528</v>
      </c>
      <c r="L671" t="inlineStr">
        <is>
          <t>Presupuesto insuficiente</t>
        </is>
      </c>
    </row>
    <row r="672" ht="15.75" customHeight="1" s="25">
      <c r="A672" t="inlineStr">
        <is>
          <t>CLI-0670</t>
        </is>
      </c>
      <c r="B672" t="inlineStr">
        <is>
          <t>Diana Salcedo Jaramillo</t>
        </is>
      </c>
      <c r="C672" t="inlineStr">
        <is>
          <t>3233080481</t>
        </is>
      </c>
      <c r="D672" t="inlineStr">
        <is>
          <t>diana.salcedo44@outlook.com</t>
        </is>
      </c>
      <c r="E672" t="inlineStr">
        <is>
          <t>Sabaneta</t>
        </is>
      </c>
      <c r="F672" t="inlineStr">
        <is>
          <t>PRY-004</t>
        </is>
      </c>
      <c r="G672" t="inlineStr">
        <is>
          <t>Referido</t>
        </is>
      </c>
      <c r="H672" t="inlineStr">
        <is>
          <t>Luis Bedoya</t>
        </is>
      </c>
      <c r="I672" t="inlineStr">
        <is>
          <t>Ganado</t>
        </is>
      </c>
      <c r="J672" s="28" t="n">
        <v>45500</v>
      </c>
      <c r="K672" s="28" t="n">
        <v>45587</v>
      </c>
      <c r="L672" t="inlineStr">
        <is>
          <t>Compró Casa 71 en Altavista Park</t>
        </is>
      </c>
    </row>
    <row r="673" ht="15.75" customHeight="1" s="25">
      <c r="A673" t="inlineStr">
        <is>
          <t>CLI-0671</t>
        </is>
      </c>
      <c r="B673" t="inlineStr">
        <is>
          <t>Ricardo Gaviria Cifuentes</t>
        </is>
      </c>
      <c r="C673" t="inlineStr">
        <is>
          <t>3102981485</t>
        </is>
      </c>
      <c r="D673" t="inlineStr">
        <is>
          <t>ricardo.gaviria84@hotmail.com</t>
        </is>
      </c>
      <c r="E673" t="inlineStr">
        <is>
          <t>Medellín</t>
        </is>
      </c>
      <c r="F673" t="inlineStr">
        <is>
          <t>PRY-001</t>
        </is>
      </c>
      <c r="G673" t="inlineStr">
        <is>
          <t>Referido</t>
        </is>
      </c>
      <c r="H673" t="inlineStr">
        <is>
          <t>Sofía Prada</t>
        </is>
      </c>
      <c r="I673" t="inlineStr">
        <is>
          <t>Ganado</t>
        </is>
      </c>
      <c r="J673" s="28" t="n">
        <v>45500</v>
      </c>
      <c r="K673" s="28" t="n">
        <v>45597</v>
      </c>
      <c r="L673" t="inlineStr">
        <is>
          <t>Compró Apto 1805 en Torres del Poblado</t>
        </is>
      </c>
    </row>
    <row r="674" ht="15.75" customHeight="1" s="25">
      <c r="A674" t="inlineStr">
        <is>
          <t>CLI-0672</t>
        </is>
      </c>
      <c r="B674" t="inlineStr">
        <is>
          <t>María Correa Londoño</t>
        </is>
      </c>
      <c r="C674" t="inlineStr">
        <is>
          <t>3223427100</t>
        </is>
      </c>
      <c r="D674" t="inlineStr">
        <is>
          <t>maria.correa55@hotmail.com</t>
        </is>
      </c>
      <c r="E674" t="inlineStr">
        <is>
          <t>Medellín</t>
        </is>
      </c>
      <c r="F674" t="inlineStr">
        <is>
          <t>PRY-003</t>
        </is>
      </c>
      <c r="G674" t="inlineStr">
        <is>
          <t>Portal Web</t>
        </is>
      </c>
      <c r="H674" t="inlineStr">
        <is>
          <t>Ana Quintero</t>
        </is>
      </c>
      <c r="I674" t="inlineStr">
        <is>
          <t>Ganado</t>
        </is>
      </c>
      <c r="J674" s="28" t="n">
        <v>45500</v>
      </c>
      <c r="K674" s="28" t="n">
        <v>45636</v>
      </c>
      <c r="L674" t="inlineStr">
        <is>
          <t>Compró Apto 2305 en Conecta Laureles</t>
        </is>
      </c>
    </row>
    <row r="675" ht="15.75" customHeight="1" s="25">
      <c r="A675" t="inlineStr">
        <is>
          <t>CLI-0673</t>
        </is>
      </c>
      <c r="B675" t="inlineStr">
        <is>
          <t>Valentina Henao Cifuentes</t>
        </is>
      </c>
      <c r="C675" t="inlineStr">
        <is>
          <t>3043313263</t>
        </is>
      </c>
      <c r="D675" t="inlineStr">
        <is>
          <t>valentina.henao18@yahoo.com</t>
        </is>
      </c>
      <c r="E675" t="inlineStr">
        <is>
          <t>Bello</t>
        </is>
      </c>
      <c r="F675" t="inlineStr">
        <is>
          <t>PRY-005</t>
        </is>
      </c>
      <c r="G675" t="inlineStr">
        <is>
          <t>Referido</t>
        </is>
      </c>
      <c r="H675" t="inlineStr">
        <is>
          <t>Andrés Torres</t>
        </is>
      </c>
      <c r="I675" t="inlineStr">
        <is>
          <t>Perdido</t>
        </is>
      </c>
      <c r="J675" s="28" t="n">
        <v>45500</v>
      </c>
      <c r="K675" s="28" t="n">
        <v>45507</v>
      </c>
      <c r="L675" t="inlineStr">
        <is>
          <t>Presupuesto insuficiente</t>
        </is>
      </c>
    </row>
    <row r="676" ht="15.75" customHeight="1" s="25">
      <c r="A676" t="inlineStr">
        <is>
          <t>CLI-0674</t>
        </is>
      </c>
      <c r="B676" t="inlineStr">
        <is>
          <t>Natalia Montes Arango</t>
        </is>
      </c>
      <c r="C676" t="inlineStr">
        <is>
          <t>3208380777</t>
        </is>
      </c>
      <c r="D676" t="inlineStr">
        <is>
          <t>natalia.montes96@outlook.com</t>
        </is>
      </c>
      <c r="E676" t="inlineStr">
        <is>
          <t>Rionegro</t>
        </is>
      </c>
      <c r="F676" t="inlineStr">
        <is>
          <t>PRY-005</t>
        </is>
      </c>
      <c r="G676" t="inlineStr">
        <is>
          <t>Portal Web</t>
        </is>
      </c>
      <c r="H676" t="inlineStr">
        <is>
          <t>Luis Bedoya</t>
        </is>
      </c>
      <c r="I676" t="inlineStr">
        <is>
          <t>Perdido</t>
        </is>
      </c>
      <c r="J676" s="28" t="n">
        <v>45500</v>
      </c>
      <c r="K676" s="28" t="n">
        <v>45521</v>
      </c>
      <c r="L676" t="inlineStr">
        <is>
          <t>No calificó para crédito</t>
        </is>
      </c>
    </row>
    <row r="677" ht="15.75" customHeight="1" s="25">
      <c r="A677" t="inlineStr">
        <is>
          <t>CLI-0675</t>
        </is>
      </c>
      <c r="B677" t="inlineStr">
        <is>
          <t>Marcela Gaviria Ochoa</t>
        </is>
      </c>
      <c r="C677" t="inlineStr">
        <is>
          <t>3206836615</t>
        </is>
      </c>
      <c r="D677" t="inlineStr">
        <is>
          <t>marcela.gaviria41@outlook.com</t>
        </is>
      </c>
      <c r="E677" t="inlineStr">
        <is>
          <t>Medellín</t>
        </is>
      </c>
      <c r="F677" t="inlineStr">
        <is>
          <t>PRY-002</t>
        </is>
      </c>
      <c r="G677" t="inlineStr">
        <is>
          <t>Instagram</t>
        </is>
      </c>
      <c r="H677" t="inlineStr">
        <is>
          <t>Luis Bedoya</t>
        </is>
      </c>
      <c r="I677" t="inlineStr">
        <is>
          <t>Perdido</t>
        </is>
      </c>
      <c r="J677" s="28" t="n">
        <v>45500</v>
      </c>
      <c r="K677" s="28" t="n">
        <v>45507</v>
      </c>
      <c r="L677" t="inlineStr">
        <is>
          <t>Presupuesto insuficiente</t>
        </is>
      </c>
    </row>
    <row r="678" ht="15.75" customHeight="1" s="25">
      <c r="A678" t="inlineStr">
        <is>
          <t>CLI-0676</t>
        </is>
      </c>
      <c r="B678" t="inlineStr">
        <is>
          <t>David Gaviria Salcedo</t>
        </is>
      </c>
      <c r="C678" t="inlineStr">
        <is>
          <t>3205444570</t>
        </is>
      </c>
      <c r="D678" t="inlineStr">
        <is>
          <t>david.gaviria60@outlook.com</t>
        </is>
      </c>
      <c r="E678" t="inlineStr">
        <is>
          <t>Envigado</t>
        </is>
      </c>
      <c r="F678" t="inlineStr">
        <is>
          <t>PRY-004</t>
        </is>
      </c>
      <c r="G678" t="inlineStr">
        <is>
          <t>Portal Web</t>
        </is>
      </c>
      <c r="H678" t="inlineStr">
        <is>
          <t>Paula Arenas</t>
        </is>
      </c>
      <c r="I678" t="inlineStr">
        <is>
          <t>Perdido</t>
        </is>
      </c>
      <c r="J678" s="28" t="n">
        <v>45500</v>
      </c>
      <c r="K678" s="28" t="n">
        <v>45517</v>
      </c>
      <c r="L678" t="inlineStr">
        <is>
          <t>Buscaba arriendo, no compra</t>
        </is>
      </c>
    </row>
    <row r="679" ht="15.75" customHeight="1" s="25">
      <c r="A679" t="inlineStr">
        <is>
          <t>CLI-0677</t>
        </is>
      </c>
      <c r="B679" t="inlineStr">
        <is>
          <t>Iván Hernández Cifuentes</t>
        </is>
      </c>
      <c r="C679" t="inlineStr">
        <is>
          <t>3247411321</t>
        </is>
      </c>
      <c r="D679" t="inlineStr">
        <is>
          <t>ivan.hernandez97@outlook.com</t>
        </is>
      </c>
      <c r="E679" t="inlineStr">
        <is>
          <t>Sabaneta</t>
        </is>
      </c>
      <c r="F679" t="inlineStr">
        <is>
          <t>PRY-008</t>
        </is>
      </c>
      <c r="G679" t="inlineStr">
        <is>
          <t>Portal Web</t>
        </is>
      </c>
      <c r="H679" t="inlineStr">
        <is>
          <t>Sofía Prada</t>
        </is>
      </c>
      <c r="I679" t="inlineStr">
        <is>
          <t>Perdido</t>
        </is>
      </c>
      <c r="J679" s="28" t="n">
        <v>45502</v>
      </c>
      <c r="K679" s="28" t="n">
        <v>45520</v>
      </c>
      <c r="L679" t="inlineStr">
        <is>
          <t>Buscaba arriendo, no compra</t>
        </is>
      </c>
    </row>
    <row r="680" ht="15.75" customHeight="1" s="25">
      <c r="A680" t="inlineStr">
        <is>
          <t>CLI-0678</t>
        </is>
      </c>
      <c r="B680" t="inlineStr">
        <is>
          <t>Carlos Rojas Cardona</t>
        </is>
      </c>
      <c r="C680" t="inlineStr">
        <is>
          <t>3223501567</t>
        </is>
      </c>
      <c r="D680" t="inlineStr">
        <is>
          <t>carlos.rojas16@yahoo.com</t>
        </is>
      </c>
      <c r="E680" t="inlineStr">
        <is>
          <t>Itagüí</t>
        </is>
      </c>
      <c r="F680" t="inlineStr">
        <is>
          <t>PRY-001</t>
        </is>
      </c>
      <c r="G680" t="inlineStr">
        <is>
          <t>Portal Web</t>
        </is>
      </c>
      <c r="H680" t="inlineStr">
        <is>
          <t>Sofía Prada</t>
        </is>
      </c>
      <c r="I680" t="inlineStr">
        <is>
          <t>Ganado</t>
        </is>
      </c>
      <c r="J680" s="28" t="n">
        <v>45503</v>
      </c>
      <c r="K680" s="28" t="n">
        <v>45595</v>
      </c>
      <c r="L680" t="inlineStr">
        <is>
          <t>Compró Apto 1702 en Torres del Poblado</t>
        </is>
      </c>
    </row>
    <row r="681" ht="15.75" customHeight="1" s="25">
      <c r="A681" t="inlineStr">
        <is>
          <t>CLI-0679</t>
        </is>
      </c>
      <c r="B681" t="inlineStr">
        <is>
          <t>Sandra Agudelo Gaviria</t>
        </is>
      </c>
      <c r="C681" t="inlineStr">
        <is>
          <t>3226234267</t>
        </is>
      </c>
      <c r="D681" t="inlineStr">
        <is>
          <t>sandra.agudelo87@yahoo.com</t>
        </is>
      </c>
      <c r="E681" t="inlineStr">
        <is>
          <t>Medellín</t>
        </is>
      </c>
      <c r="F681" t="inlineStr">
        <is>
          <t>PRY-003</t>
        </is>
      </c>
      <c r="G681" t="inlineStr">
        <is>
          <t>Portal Web</t>
        </is>
      </c>
      <c r="H681" t="inlineStr">
        <is>
          <t>Sofía Prada</t>
        </is>
      </c>
      <c r="I681" t="inlineStr">
        <is>
          <t>Perdido</t>
        </is>
      </c>
      <c r="J681" s="28" t="n">
        <v>45503</v>
      </c>
      <c r="K681" s="28" t="n">
        <v>45518</v>
      </c>
      <c r="L681" t="inlineStr">
        <is>
          <t>No calificó para crédito</t>
        </is>
      </c>
    </row>
    <row r="682" ht="15.75" customHeight="1" s="25">
      <c r="A682" t="inlineStr">
        <is>
          <t>CLI-0680</t>
        </is>
      </c>
      <c r="B682" t="inlineStr">
        <is>
          <t>Alejandro Arango Quintero</t>
        </is>
      </c>
      <c r="C682" t="inlineStr">
        <is>
          <t>3224503109</t>
        </is>
      </c>
      <c r="D682" t="inlineStr">
        <is>
          <t>alejandro.arango23@outlook.com</t>
        </is>
      </c>
      <c r="E682" t="inlineStr">
        <is>
          <t>Sabaneta</t>
        </is>
      </c>
      <c r="F682" t="inlineStr">
        <is>
          <t>PRY-003</t>
        </is>
      </c>
      <c r="G682" t="inlineStr">
        <is>
          <t>Portal Web</t>
        </is>
      </c>
      <c r="H682" t="inlineStr">
        <is>
          <t>Sofía Prada</t>
        </is>
      </c>
      <c r="I682" t="inlineStr">
        <is>
          <t>Ganado</t>
        </is>
      </c>
      <c r="J682" s="28" t="n">
        <v>45504</v>
      </c>
      <c r="K682" s="28" t="n">
        <v>45611</v>
      </c>
      <c r="L682" t="inlineStr">
        <is>
          <t>Compró Apto 2403 en Conecta Laureles</t>
        </is>
      </c>
    </row>
    <row r="683" ht="15.75" customHeight="1" s="25">
      <c r="A683" t="inlineStr">
        <is>
          <t>CLI-0681</t>
        </is>
      </c>
      <c r="B683" t="inlineStr">
        <is>
          <t>Mónica Gaviria Gaviria</t>
        </is>
      </c>
      <c r="C683" t="inlineStr">
        <is>
          <t>3232520843</t>
        </is>
      </c>
      <c r="D683" t="inlineStr">
        <is>
          <t>monica.gaviria79@hotmail.com</t>
        </is>
      </c>
      <c r="E683" t="inlineStr">
        <is>
          <t>Rionegro</t>
        </is>
      </c>
      <c r="F683" t="inlineStr">
        <is>
          <t>PRY-004</t>
        </is>
      </c>
      <c r="G683" t="inlineStr">
        <is>
          <t>Feria Inmobiliaria</t>
        </is>
      </c>
      <c r="H683" t="inlineStr">
        <is>
          <t>Juliana Vélez</t>
        </is>
      </c>
      <c r="I683" t="inlineStr">
        <is>
          <t>Ganado</t>
        </is>
      </c>
      <c r="J683" s="28" t="n">
        <v>45504</v>
      </c>
      <c r="K683" s="28" t="n">
        <v>45593</v>
      </c>
      <c r="L683" t="inlineStr">
        <is>
          <t>Compró Casa 63 en Altavista Park</t>
        </is>
      </c>
    </row>
    <row r="684" ht="15.75" customHeight="1" s="25">
      <c r="A684" t="inlineStr">
        <is>
          <t>CLI-0682</t>
        </is>
      </c>
      <c r="B684" t="inlineStr">
        <is>
          <t>Sandra Quintero Vargas</t>
        </is>
      </c>
      <c r="C684" t="inlineStr">
        <is>
          <t>3016462366</t>
        </is>
      </c>
      <c r="D684" t="inlineStr">
        <is>
          <t>sandra.quintero45@outlook.com</t>
        </is>
      </c>
      <c r="E684" t="inlineStr">
        <is>
          <t>Medellín</t>
        </is>
      </c>
      <c r="F684" t="inlineStr">
        <is>
          <t>PRY-003</t>
        </is>
      </c>
      <c r="G684" t="inlineStr">
        <is>
          <t>Feria Inmobiliaria</t>
        </is>
      </c>
      <c r="H684" t="inlineStr">
        <is>
          <t>Ana Quintero</t>
        </is>
      </c>
      <c r="I684" t="inlineStr">
        <is>
          <t>Perdido</t>
        </is>
      </c>
      <c r="J684" s="28" t="n">
        <v>45504</v>
      </c>
      <c r="K684" s="28" t="n">
        <v>45591</v>
      </c>
      <c r="L684" t="inlineStr">
        <is>
          <t>Precio fuera de presupuesto</t>
        </is>
      </c>
    </row>
    <row r="685" ht="15.75" customHeight="1" s="25">
      <c r="A685" t="inlineStr">
        <is>
          <t>CLI-0683</t>
        </is>
      </c>
      <c r="B685" t="inlineStr">
        <is>
          <t>Sandra Gómez Escobar</t>
        </is>
      </c>
      <c r="C685" t="inlineStr">
        <is>
          <t>3239429108</t>
        </is>
      </c>
      <c r="D685" t="inlineStr">
        <is>
          <t>sandra.gomez89@outlook.com</t>
        </is>
      </c>
      <c r="E685" t="inlineStr">
        <is>
          <t>La Estrella</t>
        </is>
      </c>
      <c r="F685" t="inlineStr">
        <is>
          <t>PRY-002</t>
        </is>
      </c>
      <c r="G685" t="inlineStr">
        <is>
          <t>Instagram</t>
        </is>
      </c>
      <c r="H685" t="inlineStr">
        <is>
          <t>Ana Quintero</t>
        </is>
      </c>
      <c r="I685" t="inlineStr">
        <is>
          <t>Perdido</t>
        </is>
      </c>
      <c r="J685" s="28" t="n">
        <v>45504</v>
      </c>
      <c r="K685" s="28" t="n">
        <v>45534</v>
      </c>
      <c r="L685" t="inlineStr">
        <is>
          <t>Sin respuesta tras 3 contactos</t>
        </is>
      </c>
    </row>
    <row r="686" ht="15.75" customHeight="1" s="25">
      <c r="A686" t="inlineStr">
        <is>
          <t>CLI-0684</t>
        </is>
      </c>
      <c r="B686" t="inlineStr">
        <is>
          <t>David Álvarez Pérez</t>
        </is>
      </c>
      <c r="C686" t="inlineStr">
        <is>
          <t>3241566304</t>
        </is>
      </c>
      <c r="D686" t="inlineStr">
        <is>
          <t>david.alvarez71@hotmail.com</t>
        </is>
      </c>
      <c r="E686" t="inlineStr">
        <is>
          <t>Rionegro</t>
        </is>
      </c>
      <c r="F686" t="inlineStr">
        <is>
          <t>PRY-005</t>
        </is>
      </c>
      <c r="G686" t="inlineStr">
        <is>
          <t>Instagram</t>
        </is>
      </c>
      <c r="H686" t="inlineStr">
        <is>
          <t>Sofía Prada</t>
        </is>
      </c>
      <c r="I686" t="inlineStr">
        <is>
          <t>Perdido</t>
        </is>
      </c>
      <c r="J686" s="28" t="n">
        <v>45504</v>
      </c>
      <c r="K686" s="28" t="n">
        <v>45533</v>
      </c>
      <c r="L686" t="inlineStr">
        <is>
          <t>No calificó para crédito</t>
        </is>
      </c>
    </row>
    <row r="687" ht="15.75" customHeight="1" s="25">
      <c r="A687" t="inlineStr">
        <is>
          <t>CLI-0685</t>
        </is>
      </c>
      <c r="B687" t="inlineStr">
        <is>
          <t>Diana Agudelo Cifuentes</t>
        </is>
      </c>
      <c r="C687" t="inlineStr">
        <is>
          <t>3006363720</t>
        </is>
      </c>
      <c r="D687" t="inlineStr">
        <is>
          <t>diana.agudelo9@outlook.com</t>
        </is>
      </c>
      <c r="E687" t="inlineStr">
        <is>
          <t>Rionegro</t>
        </is>
      </c>
      <c r="F687" t="inlineStr">
        <is>
          <t>PRY-004</t>
        </is>
      </c>
      <c r="G687" t="inlineStr">
        <is>
          <t>Portal Web</t>
        </is>
      </c>
      <c r="H687" t="inlineStr">
        <is>
          <t>Luis Bedoya</t>
        </is>
      </c>
      <c r="I687" t="inlineStr">
        <is>
          <t>Perdido</t>
        </is>
      </c>
      <c r="J687" s="28" t="n">
        <v>45505</v>
      </c>
      <c r="K687" s="28" t="n">
        <v>45556</v>
      </c>
      <c r="L687" t="inlineStr">
        <is>
          <t>Crédito no aprobado</t>
        </is>
      </c>
    </row>
    <row r="688" ht="15.75" customHeight="1" s="25">
      <c r="A688" t="inlineStr">
        <is>
          <t>CLI-0686</t>
        </is>
      </c>
      <c r="B688" t="inlineStr">
        <is>
          <t>Esteban Franco Álvarez</t>
        </is>
      </c>
      <c r="C688" t="inlineStr">
        <is>
          <t>3247098570</t>
        </is>
      </c>
      <c r="D688" t="inlineStr">
        <is>
          <t>esteban.franco96@outlook.com</t>
        </is>
      </c>
      <c r="E688" t="inlineStr">
        <is>
          <t>Itagüí</t>
        </is>
      </c>
      <c r="F688" t="inlineStr">
        <is>
          <t>PRY-003</t>
        </is>
      </c>
      <c r="G688" t="inlineStr">
        <is>
          <t>Referido</t>
        </is>
      </c>
      <c r="H688" t="inlineStr">
        <is>
          <t>Paula Arenas</t>
        </is>
      </c>
      <c r="I688" t="inlineStr">
        <is>
          <t>Ganado</t>
        </is>
      </c>
      <c r="J688" s="28" t="n">
        <v>45505</v>
      </c>
      <c r="K688" s="28" t="n">
        <v>45636</v>
      </c>
      <c r="L688" t="inlineStr">
        <is>
          <t>Compró Apto 408 en Conecta Laureles</t>
        </is>
      </c>
    </row>
    <row r="689" ht="15.75" customHeight="1" s="25">
      <c r="A689" t="inlineStr">
        <is>
          <t>CLI-0687</t>
        </is>
      </c>
      <c r="B689" t="inlineStr">
        <is>
          <t>Sandra Zuluaga Montes</t>
        </is>
      </c>
      <c r="C689" t="inlineStr">
        <is>
          <t>3172904704</t>
        </is>
      </c>
      <c r="D689" t="inlineStr">
        <is>
          <t>sandra.zuluaga97@hotmail.com</t>
        </is>
      </c>
      <c r="E689" t="inlineStr">
        <is>
          <t>Medellín</t>
        </is>
      </c>
      <c r="F689" t="inlineStr">
        <is>
          <t>PRY-003</t>
        </is>
      </c>
      <c r="G689" t="inlineStr">
        <is>
          <t>Portal Web</t>
        </is>
      </c>
      <c r="H689" t="inlineStr">
        <is>
          <t>Sofía Prada</t>
        </is>
      </c>
      <c r="I689" t="inlineStr">
        <is>
          <t>Perdido</t>
        </is>
      </c>
      <c r="J689" s="28" t="n">
        <v>45505</v>
      </c>
      <c r="K689" s="28" t="n">
        <v>45535</v>
      </c>
      <c r="L689" t="inlineStr">
        <is>
          <t>Presupuesto insuficiente</t>
        </is>
      </c>
    </row>
    <row r="690" ht="15.75" customHeight="1" s="25">
      <c r="A690" t="inlineStr">
        <is>
          <t>CLI-0688</t>
        </is>
      </c>
      <c r="B690" t="inlineStr">
        <is>
          <t>Andrés Agudelo Gaviria</t>
        </is>
      </c>
      <c r="C690" t="inlineStr">
        <is>
          <t>3015961986</t>
        </is>
      </c>
      <c r="D690" t="inlineStr">
        <is>
          <t>andres.agudelo37@hotmail.com</t>
        </is>
      </c>
      <c r="E690" t="inlineStr">
        <is>
          <t>Rionegro</t>
        </is>
      </c>
      <c r="F690" t="inlineStr">
        <is>
          <t>PRY-005</t>
        </is>
      </c>
      <c r="G690" t="inlineStr">
        <is>
          <t>Referido</t>
        </is>
      </c>
      <c r="H690" t="inlineStr">
        <is>
          <t>Miguel Salazar</t>
        </is>
      </c>
      <c r="I690" t="inlineStr">
        <is>
          <t>Perdido</t>
        </is>
      </c>
      <c r="J690" s="28" t="n">
        <v>45505</v>
      </c>
      <c r="K690" s="28" t="n">
        <v>45532</v>
      </c>
      <c r="L690" t="inlineStr">
        <is>
          <t>No calificó para crédito</t>
        </is>
      </c>
    </row>
    <row r="691" ht="15.75" customHeight="1" s="25">
      <c r="A691" t="inlineStr">
        <is>
          <t>CLI-0689</t>
        </is>
      </c>
      <c r="B691" t="inlineStr">
        <is>
          <t>Sandra Mejía Londoño</t>
        </is>
      </c>
      <c r="C691" t="inlineStr">
        <is>
          <t>3221357358</t>
        </is>
      </c>
      <c r="D691" t="inlineStr">
        <is>
          <t>sandra.mejia29@outlook.com</t>
        </is>
      </c>
      <c r="E691" t="inlineStr">
        <is>
          <t>Sabaneta</t>
        </is>
      </c>
      <c r="F691" t="inlineStr">
        <is>
          <t>PRY-003</t>
        </is>
      </c>
      <c r="G691" t="inlineStr">
        <is>
          <t>Portal Web</t>
        </is>
      </c>
      <c r="H691" t="inlineStr">
        <is>
          <t>Luis Bedoya</t>
        </is>
      </c>
      <c r="I691" t="inlineStr">
        <is>
          <t>Perdido</t>
        </is>
      </c>
      <c r="J691" s="28" t="n">
        <v>45505</v>
      </c>
      <c r="K691" s="28" t="n">
        <v>45530</v>
      </c>
      <c r="L691" t="inlineStr">
        <is>
          <t>Sin respuesta tras 3 contactos</t>
        </is>
      </c>
    </row>
    <row r="692" ht="15.75" customHeight="1" s="25">
      <c r="A692" t="inlineStr">
        <is>
          <t>CLI-0690</t>
        </is>
      </c>
      <c r="B692" t="inlineStr">
        <is>
          <t>Wilson López López</t>
        </is>
      </c>
      <c r="C692" t="inlineStr">
        <is>
          <t>3148620901</t>
        </is>
      </c>
      <c r="D692" t="inlineStr">
        <is>
          <t>wilson.lopez37@hotmail.com</t>
        </is>
      </c>
      <c r="E692" t="inlineStr">
        <is>
          <t>Envigado</t>
        </is>
      </c>
      <c r="F692" t="inlineStr">
        <is>
          <t>PRY-007</t>
        </is>
      </c>
      <c r="G692" t="inlineStr">
        <is>
          <t>Referido</t>
        </is>
      </c>
      <c r="H692" t="inlineStr">
        <is>
          <t>Luis Bedoya</t>
        </is>
      </c>
      <c r="I692" t="inlineStr">
        <is>
          <t>Ganado</t>
        </is>
      </c>
      <c r="J692" s="28" t="n">
        <v>45506</v>
      </c>
      <c r="K692" s="28" t="n">
        <v>45588</v>
      </c>
      <c r="L692" t="inlineStr">
        <is>
          <t>Compró Apto 504 en Mirador de Envigado</t>
        </is>
      </c>
    </row>
    <row r="693" ht="15.75" customHeight="1" s="25">
      <c r="A693" t="inlineStr">
        <is>
          <t>CLI-0691</t>
        </is>
      </c>
      <c r="B693" t="inlineStr">
        <is>
          <t>Wilson Zapata Restrepo</t>
        </is>
      </c>
      <c r="C693" t="inlineStr">
        <is>
          <t>3248321752</t>
        </is>
      </c>
      <c r="D693" t="inlineStr">
        <is>
          <t>wilson.zapata65@outlook.com</t>
        </is>
      </c>
      <c r="E693" t="inlineStr">
        <is>
          <t>Medellín</t>
        </is>
      </c>
      <c r="F693" t="inlineStr">
        <is>
          <t>PRY-003</t>
        </is>
      </c>
      <c r="G693" t="inlineStr">
        <is>
          <t>Portal Web</t>
        </is>
      </c>
      <c r="H693" t="inlineStr">
        <is>
          <t>Sofía Prada</t>
        </is>
      </c>
      <c r="I693" t="inlineStr">
        <is>
          <t>Perdido</t>
        </is>
      </c>
      <c r="J693" s="28" t="n">
        <v>45506</v>
      </c>
      <c r="K693" s="28" t="n">
        <v>45570</v>
      </c>
      <c r="L693" t="inlineStr">
        <is>
          <t>No volvió a responder</t>
        </is>
      </c>
    </row>
    <row r="694" ht="15.75" customHeight="1" s="25">
      <c r="A694" t="inlineStr">
        <is>
          <t>CLI-0692</t>
        </is>
      </c>
      <c r="B694" t="inlineStr">
        <is>
          <t>Alejandro Álvarez Toro</t>
        </is>
      </c>
      <c r="C694" t="inlineStr">
        <is>
          <t>3001957577</t>
        </is>
      </c>
      <c r="D694" t="inlineStr">
        <is>
          <t>alejandro.alvarez68@hotmail.com</t>
        </is>
      </c>
      <c r="E694" t="inlineStr">
        <is>
          <t>Itagüí</t>
        </is>
      </c>
      <c r="F694" t="inlineStr">
        <is>
          <t>PRY-003</t>
        </is>
      </c>
      <c r="G694" t="inlineStr">
        <is>
          <t>Facebook</t>
        </is>
      </c>
      <c r="H694" t="inlineStr">
        <is>
          <t>Sofía Prada</t>
        </is>
      </c>
      <c r="I694" t="inlineStr">
        <is>
          <t>Perdido</t>
        </is>
      </c>
      <c r="J694" s="28" t="n">
        <v>45506</v>
      </c>
      <c r="K694" s="28" t="n">
        <v>45530</v>
      </c>
      <c r="L694" t="inlineStr">
        <is>
          <t>Presupuesto insuficiente</t>
        </is>
      </c>
    </row>
    <row r="695" ht="15.75" customHeight="1" s="25">
      <c r="A695" t="inlineStr">
        <is>
          <t>CLI-0693</t>
        </is>
      </c>
      <c r="B695" t="inlineStr">
        <is>
          <t>Diego Muñoz Arango</t>
        </is>
      </c>
      <c r="C695" t="inlineStr">
        <is>
          <t>3139112749</t>
        </is>
      </c>
      <c r="D695" t="inlineStr">
        <is>
          <t>diego.munoz5@outlook.com</t>
        </is>
      </c>
      <c r="E695" t="inlineStr">
        <is>
          <t>Medellín</t>
        </is>
      </c>
      <c r="F695" t="inlineStr">
        <is>
          <t>PRY-004</t>
        </is>
      </c>
      <c r="G695" t="inlineStr">
        <is>
          <t>Instagram</t>
        </is>
      </c>
      <c r="H695" t="inlineStr">
        <is>
          <t>Miguel Salazar</t>
        </is>
      </c>
      <c r="I695" t="inlineStr">
        <is>
          <t>Perdido</t>
        </is>
      </c>
      <c r="J695" s="28" t="n">
        <v>45506</v>
      </c>
      <c r="K695" s="28" t="n">
        <v>45514</v>
      </c>
      <c r="L695" t="inlineStr">
        <is>
          <t>Sin respuesta tras 3 contactos</t>
        </is>
      </c>
    </row>
    <row r="696" ht="15.75" customHeight="1" s="25">
      <c r="A696" t="inlineStr">
        <is>
          <t>CLI-0694</t>
        </is>
      </c>
      <c r="B696" t="inlineStr">
        <is>
          <t>Ximena Echeverri Gaviria</t>
        </is>
      </c>
      <c r="C696" t="inlineStr">
        <is>
          <t>3018032486</t>
        </is>
      </c>
      <c r="D696" t="inlineStr">
        <is>
          <t>ximena.echeverri65@hotmail.com</t>
        </is>
      </c>
      <c r="E696" t="inlineStr">
        <is>
          <t>Itagüí</t>
        </is>
      </c>
      <c r="F696" t="inlineStr">
        <is>
          <t>PRY-008</t>
        </is>
      </c>
      <c r="G696" t="inlineStr">
        <is>
          <t>Facebook</t>
        </is>
      </c>
      <c r="H696" t="inlineStr">
        <is>
          <t>Santiago Muñoz</t>
        </is>
      </c>
      <c r="I696" t="inlineStr">
        <is>
          <t>Perdido</t>
        </is>
      </c>
      <c r="J696" s="28" t="n">
        <v>45506</v>
      </c>
      <c r="K696" s="28" t="n">
        <v>45519</v>
      </c>
      <c r="L696" t="inlineStr">
        <is>
          <t>Sin respuesta tras 3 contactos</t>
        </is>
      </c>
    </row>
    <row r="697" ht="15.75" customHeight="1" s="25">
      <c r="A697" t="inlineStr">
        <is>
          <t>CLI-0695</t>
        </is>
      </c>
      <c r="B697" t="inlineStr">
        <is>
          <t>Ricardo López Londoño</t>
        </is>
      </c>
      <c r="C697" t="inlineStr">
        <is>
          <t>3147348274</t>
        </is>
      </c>
      <c r="D697" t="inlineStr">
        <is>
          <t>ricardo.lopez30@outlook.com</t>
        </is>
      </c>
      <c r="E697" t="inlineStr">
        <is>
          <t>Rionegro</t>
        </is>
      </c>
      <c r="F697" t="inlineStr">
        <is>
          <t>PRY-005</t>
        </is>
      </c>
      <c r="G697" t="inlineStr">
        <is>
          <t>Facebook</t>
        </is>
      </c>
      <c r="H697" t="inlineStr">
        <is>
          <t>Ana Quintero</t>
        </is>
      </c>
      <c r="I697" t="inlineStr">
        <is>
          <t>Perdido</t>
        </is>
      </c>
      <c r="J697" s="28" t="n">
        <v>45506</v>
      </c>
      <c r="K697" s="28" t="n">
        <v>45515</v>
      </c>
      <c r="L697" t="inlineStr">
        <is>
          <t>No calificó para crédito</t>
        </is>
      </c>
    </row>
    <row r="698" ht="15.75" customHeight="1" s="25">
      <c r="A698" t="inlineStr">
        <is>
          <t>CLI-0696</t>
        </is>
      </c>
      <c r="B698" t="inlineStr">
        <is>
          <t>Carlos Cifuentes Montoya</t>
        </is>
      </c>
      <c r="C698" t="inlineStr">
        <is>
          <t>3049111475</t>
        </is>
      </c>
      <c r="D698" t="inlineStr">
        <is>
          <t>carlos.cifuentes73@outlook.com</t>
        </is>
      </c>
      <c r="E698" t="inlineStr">
        <is>
          <t>Medellín</t>
        </is>
      </c>
      <c r="F698" t="inlineStr">
        <is>
          <t>PRY-004</t>
        </is>
      </c>
      <c r="G698" t="inlineStr">
        <is>
          <t>Facebook</t>
        </is>
      </c>
      <c r="H698" t="inlineStr">
        <is>
          <t>Andrés Torres</t>
        </is>
      </c>
      <c r="I698" t="inlineStr">
        <is>
          <t>Perdido</t>
        </is>
      </c>
      <c r="J698" s="28" t="n">
        <v>45506</v>
      </c>
      <c r="K698" s="28" t="n">
        <v>45515</v>
      </c>
      <c r="L698" t="inlineStr">
        <is>
          <t>Sin respuesta tras 3 contactos</t>
        </is>
      </c>
    </row>
    <row r="699" ht="15.75" customHeight="1" s="25">
      <c r="A699" t="inlineStr">
        <is>
          <t>CLI-0697</t>
        </is>
      </c>
      <c r="B699" t="inlineStr">
        <is>
          <t>Valentina Espinosa Ramírez</t>
        </is>
      </c>
      <c r="C699" t="inlineStr">
        <is>
          <t>3133548869</t>
        </is>
      </c>
      <c r="D699" t="inlineStr">
        <is>
          <t>valentina.espinosa66@hotmail.com</t>
        </is>
      </c>
      <c r="E699" t="inlineStr">
        <is>
          <t>Medellín</t>
        </is>
      </c>
      <c r="F699" t="inlineStr">
        <is>
          <t>PRY-002</t>
        </is>
      </c>
      <c r="G699" t="inlineStr">
        <is>
          <t>Portal Web</t>
        </is>
      </c>
      <c r="H699" t="inlineStr">
        <is>
          <t>Andrés Torres</t>
        </is>
      </c>
      <c r="I699" t="inlineStr">
        <is>
          <t>Perdido</t>
        </is>
      </c>
      <c r="J699" s="28" t="n">
        <v>45508</v>
      </c>
      <c r="K699" s="28" t="n">
        <v>45534</v>
      </c>
      <c r="L699" t="inlineStr">
        <is>
          <t>No calificó para crédito</t>
        </is>
      </c>
    </row>
    <row r="700" ht="15.75" customHeight="1" s="25">
      <c r="A700" t="inlineStr">
        <is>
          <t>CLI-0698</t>
        </is>
      </c>
      <c r="B700" t="inlineStr">
        <is>
          <t>Marcela Rojas Cano</t>
        </is>
      </c>
      <c r="C700" t="inlineStr">
        <is>
          <t>3104311531</t>
        </is>
      </c>
      <c r="D700" t="inlineStr">
        <is>
          <t>marcela.rojas70@hotmail.com</t>
        </is>
      </c>
      <c r="E700" t="inlineStr">
        <is>
          <t>Medellín</t>
        </is>
      </c>
      <c r="F700" t="inlineStr">
        <is>
          <t>PRY-002</t>
        </is>
      </c>
      <c r="G700" t="inlineStr">
        <is>
          <t>Referido</t>
        </is>
      </c>
      <c r="H700" t="inlineStr">
        <is>
          <t>Luis Bedoya</t>
        </is>
      </c>
      <c r="I700" t="inlineStr">
        <is>
          <t>Ganado</t>
        </is>
      </c>
      <c r="J700" s="28" t="n">
        <v>45509</v>
      </c>
      <c r="K700" s="28" t="n">
        <v>45670</v>
      </c>
      <c r="L700" t="inlineStr">
        <is>
          <t>Compró Casa 13 en Reserva Santa Elena</t>
        </is>
      </c>
    </row>
    <row r="701" ht="15.75" customHeight="1" s="25">
      <c r="A701" t="inlineStr">
        <is>
          <t>CLI-0699</t>
        </is>
      </c>
      <c r="B701" t="inlineStr">
        <is>
          <t>Diana Peláez Montes</t>
        </is>
      </c>
      <c r="C701" t="inlineStr">
        <is>
          <t>3173897476</t>
        </is>
      </c>
      <c r="D701" t="inlineStr">
        <is>
          <t>diana.pelaez81@hotmail.com</t>
        </is>
      </c>
      <c r="E701" t="inlineStr">
        <is>
          <t>Itagüí</t>
        </is>
      </c>
      <c r="F701" t="inlineStr">
        <is>
          <t>PRY-008</t>
        </is>
      </c>
      <c r="G701" t="inlineStr">
        <is>
          <t>Llamada directa</t>
        </is>
      </c>
      <c r="H701" t="inlineStr">
        <is>
          <t>Juliana Vélez</t>
        </is>
      </c>
      <c r="I701" t="inlineStr">
        <is>
          <t>Ganado</t>
        </is>
      </c>
      <c r="J701" s="28" t="n">
        <v>45509</v>
      </c>
      <c r="K701" s="28" t="n">
        <v>45582</v>
      </c>
      <c r="L701" t="inlineStr">
        <is>
          <t>Compró Casa 9 en Valle Verde Itagüí</t>
        </is>
      </c>
    </row>
    <row r="702" ht="15.75" customHeight="1" s="25">
      <c r="A702" t="inlineStr">
        <is>
          <t>CLI-0700</t>
        </is>
      </c>
      <c r="B702" t="inlineStr">
        <is>
          <t>Laura Agudelo Mejía</t>
        </is>
      </c>
      <c r="C702" t="inlineStr">
        <is>
          <t>3015177480</t>
        </is>
      </c>
      <c r="D702" t="inlineStr">
        <is>
          <t>laura.agudelo62@yahoo.com</t>
        </is>
      </c>
      <c r="E702" t="inlineStr">
        <is>
          <t>Envigado</t>
        </is>
      </c>
      <c r="F702" t="inlineStr">
        <is>
          <t>PRY-007</t>
        </is>
      </c>
      <c r="G702" t="inlineStr">
        <is>
          <t>Referido</t>
        </is>
      </c>
      <c r="H702" t="inlineStr">
        <is>
          <t>Juliana Vélez</t>
        </is>
      </c>
      <c r="I702" t="inlineStr">
        <is>
          <t>Ganado</t>
        </is>
      </c>
      <c r="J702" s="28" t="n">
        <v>45510</v>
      </c>
      <c r="K702" s="28" t="n">
        <v>45620</v>
      </c>
      <c r="L702" t="inlineStr">
        <is>
          <t>Compró Apto 1601 en Mirador de Envigado</t>
        </is>
      </c>
    </row>
    <row r="703" ht="15.75" customHeight="1" s="25">
      <c r="A703" t="inlineStr">
        <is>
          <t>CLI-0701</t>
        </is>
      </c>
      <c r="B703" t="inlineStr">
        <is>
          <t>Mariana Muñoz Pérez</t>
        </is>
      </c>
      <c r="C703" t="inlineStr">
        <is>
          <t>3015023385</t>
        </is>
      </c>
      <c r="D703" t="inlineStr">
        <is>
          <t>mariana.munoz40@outlook.com</t>
        </is>
      </c>
      <c r="E703" t="inlineStr">
        <is>
          <t>La Estrella</t>
        </is>
      </c>
      <c r="F703" t="inlineStr">
        <is>
          <t>PRY-002</t>
        </is>
      </c>
      <c r="G703" t="inlineStr">
        <is>
          <t>Portal Web</t>
        </is>
      </c>
      <c r="H703" t="inlineStr">
        <is>
          <t>Luis Bedoya</t>
        </is>
      </c>
      <c r="I703" t="inlineStr">
        <is>
          <t>Perdido</t>
        </is>
      </c>
      <c r="J703" s="28" t="n">
        <v>45510</v>
      </c>
      <c r="K703" s="28" t="n">
        <v>45531</v>
      </c>
      <c r="L703" t="inlineStr">
        <is>
          <t>Sin respuesta tras 3 contactos</t>
        </is>
      </c>
    </row>
    <row r="704" ht="15.75" customHeight="1" s="25">
      <c r="A704" t="inlineStr">
        <is>
          <t>CLI-0702</t>
        </is>
      </c>
      <c r="B704" t="inlineStr">
        <is>
          <t>Alejandra Vásquez Salazar</t>
        </is>
      </c>
      <c r="C704" t="inlineStr">
        <is>
          <t>3147624593</t>
        </is>
      </c>
      <c r="D704" t="inlineStr">
        <is>
          <t>alejandra.vasquez12@yahoo.com</t>
        </is>
      </c>
      <c r="E704" t="inlineStr">
        <is>
          <t>Medellín</t>
        </is>
      </c>
      <c r="F704" t="inlineStr">
        <is>
          <t>PRY-003</t>
        </is>
      </c>
      <c r="G704" t="inlineStr">
        <is>
          <t>Feria Inmobiliaria</t>
        </is>
      </c>
      <c r="H704" t="inlineStr">
        <is>
          <t>Paula Arenas</t>
        </is>
      </c>
      <c r="I704" t="inlineStr">
        <is>
          <t>Perdido</t>
        </is>
      </c>
      <c r="J704" s="28" t="n">
        <v>45510</v>
      </c>
      <c r="K704" s="28" t="n">
        <v>45519</v>
      </c>
      <c r="L704" t="inlineStr">
        <is>
          <t>Sin respuesta tras 3 contactos</t>
        </is>
      </c>
    </row>
    <row r="705" ht="15.75" customHeight="1" s="25">
      <c r="A705" t="inlineStr">
        <is>
          <t>CLI-0703</t>
        </is>
      </c>
      <c r="B705" t="inlineStr">
        <is>
          <t>Valeria Salazar Vásquez</t>
        </is>
      </c>
      <c r="C705" t="inlineStr">
        <is>
          <t>3235826676</t>
        </is>
      </c>
      <c r="D705" t="inlineStr">
        <is>
          <t>valeria.salazar43@gmail.com</t>
        </is>
      </c>
      <c r="E705" t="inlineStr">
        <is>
          <t>Medellín</t>
        </is>
      </c>
      <c r="F705" t="inlineStr">
        <is>
          <t>PRY-004</t>
        </is>
      </c>
      <c r="G705" t="inlineStr">
        <is>
          <t>Facebook</t>
        </is>
      </c>
      <c r="H705" t="inlineStr">
        <is>
          <t>Miguel Salazar</t>
        </is>
      </c>
      <c r="I705" t="inlineStr">
        <is>
          <t>Ganado</t>
        </is>
      </c>
      <c r="J705" s="28" t="n">
        <v>45511</v>
      </c>
      <c r="K705" s="28" t="n">
        <v>45599</v>
      </c>
      <c r="L705" t="inlineStr">
        <is>
          <t>Compró Casa 45 en Altavista Park</t>
        </is>
      </c>
    </row>
    <row r="706" ht="15.75" customHeight="1" s="25">
      <c r="A706" t="inlineStr">
        <is>
          <t>CLI-0704</t>
        </is>
      </c>
      <c r="B706" t="inlineStr">
        <is>
          <t>Gabriel Rojas Sánchez</t>
        </is>
      </c>
      <c r="C706" t="inlineStr">
        <is>
          <t>3004214875</t>
        </is>
      </c>
      <c r="D706" t="inlineStr">
        <is>
          <t>gabriel.rojas98@hotmail.com</t>
        </is>
      </c>
      <c r="E706" t="inlineStr">
        <is>
          <t>Medellín</t>
        </is>
      </c>
      <c r="F706" t="inlineStr">
        <is>
          <t>PRY-005</t>
        </is>
      </c>
      <c r="G706" t="inlineStr">
        <is>
          <t>Facebook</t>
        </is>
      </c>
      <c r="H706" t="inlineStr">
        <is>
          <t>Miguel Salazar</t>
        </is>
      </c>
      <c r="I706" t="inlineStr">
        <is>
          <t>Perdido</t>
        </is>
      </c>
      <c r="J706" s="28" t="n">
        <v>45511</v>
      </c>
      <c r="K706" s="28" t="n">
        <v>45625</v>
      </c>
      <c r="L706" t="inlineStr">
        <is>
          <t>Precio fuera de presupuesto</t>
        </is>
      </c>
    </row>
    <row r="707" ht="15.75" customHeight="1" s="25">
      <c r="A707" t="inlineStr">
        <is>
          <t>CLI-0705</t>
        </is>
      </c>
      <c r="B707" t="inlineStr">
        <is>
          <t>Valeria Agudelo Giraldo</t>
        </is>
      </c>
      <c r="C707" t="inlineStr">
        <is>
          <t>3245277166</t>
        </is>
      </c>
      <c r="D707" t="inlineStr">
        <is>
          <t>valeria.agudelo60@hotmail.com</t>
        </is>
      </c>
      <c r="E707" t="inlineStr">
        <is>
          <t>Rionegro</t>
        </is>
      </c>
      <c r="F707" t="inlineStr">
        <is>
          <t>PRY-008</t>
        </is>
      </c>
      <c r="G707" t="inlineStr">
        <is>
          <t>Instagram</t>
        </is>
      </c>
      <c r="H707" t="inlineStr">
        <is>
          <t>Miguel Salazar</t>
        </is>
      </c>
      <c r="I707" t="inlineStr">
        <is>
          <t>Perdido</t>
        </is>
      </c>
      <c r="J707" s="28" t="n">
        <v>45511</v>
      </c>
      <c r="K707" s="28" t="n">
        <v>45572</v>
      </c>
      <c r="L707" t="inlineStr">
        <is>
          <t>Precio fuera de presupuesto</t>
        </is>
      </c>
    </row>
    <row r="708" ht="15.75" customHeight="1" s="25">
      <c r="A708" t="inlineStr">
        <is>
          <t>CLI-0706</t>
        </is>
      </c>
      <c r="B708" t="inlineStr">
        <is>
          <t>Isabel Higuita Álvarez</t>
        </is>
      </c>
      <c r="C708" t="inlineStr">
        <is>
          <t>3044457136</t>
        </is>
      </c>
      <c r="D708" t="inlineStr">
        <is>
          <t>isabel.higuita93@gmail.com</t>
        </is>
      </c>
      <c r="E708" t="inlineStr">
        <is>
          <t>Sabaneta</t>
        </is>
      </c>
      <c r="F708" t="inlineStr">
        <is>
          <t>PRY-007</t>
        </is>
      </c>
      <c r="G708" t="inlineStr">
        <is>
          <t>Portal Web</t>
        </is>
      </c>
      <c r="H708" t="inlineStr">
        <is>
          <t>Andrés Torres</t>
        </is>
      </c>
      <c r="I708" t="inlineStr">
        <is>
          <t>Ganado</t>
        </is>
      </c>
      <c r="J708" s="28" t="n">
        <v>45511</v>
      </c>
      <c r="K708" s="28" t="n">
        <v>45656</v>
      </c>
      <c r="L708" t="inlineStr">
        <is>
          <t>Compró Apto 602 en Mirador de Envigado</t>
        </is>
      </c>
    </row>
    <row r="709" ht="15.75" customHeight="1" s="25">
      <c r="A709" t="inlineStr">
        <is>
          <t>CLI-0707</t>
        </is>
      </c>
      <c r="B709" t="inlineStr">
        <is>
          <t>Alejandra Bedoya Pérez</t>
        </is>
      </c>
      <c r="C709" t="inlineStr">
        <is>
          <t>3226763692</t>
        </is>
      </c>
      <c r="D709" t="inlineStr">
        <is>
          <t>alejandra.bedoya53@hotmail.com</t>
        </is>
      </c>
      <c r="E709" t="inlineStr">
        <is>
          <t>La Estrella</t>
        </is>
      </c>
      <c r="F709" t="inlineStr">
        <is>
          <t>PRY-001</t>
        </is>
      </c>
      <c r="G709" t="inlineStr">
        <is>
          <t>Feria Inmobiliaria</t>
        </is>
      </c>
      <c r="H709" t="inlineStr">
        <is>
          <t>Juliana Vélez</t>
        </is>
      </c>
      <c r="I709" t="inlineStr">
        <is>
          <t>Perdido</t>
        </is>
      </c>
      <c r="J709" s="28" t="n">
        <v>45511</v>
      </c>
      <c r="K709" s="28" t="n">
        <v>45517</v>
      </c>
      <c r="L709" t="inlineStr">
        <is>
          <t>Sin respuesta tras 3 contactos</t>
        </is>
      </c>
    </row>
    <row r="710" ht="15.75" customHeight="1" s="25">
      <c r="A710" t="inlineStr">
        <is>
          <t>CLI-0708</t>
        </is>
      </c>
      <c r="B710" t="inlineStr">
        <is>
          <t>Manuela Marín Giraldo</t>
        </is>
      </c>
      <c r="C710" t="inlineStr">
        <is>
          <t>3156959123</t>
        </is>
      </c>
      <c r="D710" t="inlineStr">
        <is>
          <t>manuela.marin69@gmail.com</t>
        </is>
      </c>
      <c r="E710" t="inlineStr">
        <is>
          <t>Medellín</t>
        </is>
      </c>
      <c r="F710" t="inlineStr">
        <is>
          <t>PRY-004</t>
        </is>
      </c>
      <c r="G710" t="inlineStr">
        <is>
          <t>Instagram</t>
        </is>
      </c>
      <c r="H710" t="inlineStr">
        <is>
          <t>Ana Quintero</t>
        </is>
      </c>
      <c r="I710" t="inlineStr">
        <is>
          <t>Perdido</t>
        </is>
      </c>
      <c r="J710" s="28" t="n">
        <v>45512</v>
      </c>
      <c r="K710" s="28" t="n">
        <v>45623</v>
      </c>
      <c r="L710" t="inlineStr">
        <is>
          <t>Crédito no aprobado</t>
        </is>
      </c>
    </row>
    <row r="711" ht="15.75" customHeight="1" s="25">
      <c r="A711" t="inlineStr">
        <is>
          <t>CLI-0709</t>
        </is>
      </c>
      <c r="B711" t="inlineStr">
        <is>
          <t>Gabriel Vélez Espinosa</t>
        </is>
      </c>
      <c r="C711" t="inlineStr">
        <is>
          <t>3133076954</t>
        </is>
      </c>
      <c r="D711" t="inlineStr">
        <is>
          <t>gabriel.velez50@hotmail.com</t>
        </is>
      </c>
      <c r="E711" t="inlineStr">
        <is>
          <t>Medellín</t>
        </is>
      </c>
      <c r="F711" t="inlineStr">
        <is>
          <t>PRY-002</t>
        </is>
      </c>
      <c r="G711" t="inlineStr">
        <is>
          <t>Instagram</t>
        </is>
      </c>
      <c r="H711" t="inlineStr">
        <is>
          <t>Sofía Prada</t>
        </is>
      </c>
      <c r="I711" t="inlineStr">
        <is>
          <t>Perdido</t>
        </is>
      </c>
      <c r="J711" s="28" t="n">
        <v>45512</v>
      </c>
      <c r="K711" s="28" t="n">
        <v>45536</v>
      </c>
      <c r="L711" t="inlineStr">
        <is>
          <t>Presupuesto insuficiente</t>
        </is>
      </c>
    </row>
    <row r="712" ht="15.75" customHeight="1" s="25">
      <c r="A712" t="inlineStr">
        <is>
          <t>CLI-0710</t>
        </is>
      </c>
      <c r="B712" t="inlineStr">
        <is>
          <t>Simón Marín Cano</t>
        </is>
      </c>
      <c r="C712" t="inlineStr">
        <is>
          <t>3222657725</t>
        </is>
      </c>
      <c r="D712" t="inlineStr">
        <is>
          <t>simon.marin65@gmail.com</t>
        </is>
      </c>
      <c r="E712" t="inlineStr">
        <is>
          <t>Itagüí</t>
        </is>
      </c>
      <c r="F712" t="inlineStr">
        <is>
          <t>PRY-008</t>
        </is>
      </c>
      <c r="G712" t="inlineStr">
        <is>
          <t>Feria Inmobiliaria</t>
        </is>
      </c>
      <c r="H712" t="inlineStr">
        <is>
          <t>Luis Bedoya</t>
        </is>
      </c>
      <c r="I712" t="inlineStr">
        <is>
          <t>Perdido</t>
        </is>
      </c>
      <c r="J712" s="28" t="n">
        <v>45512</v>
      </c>
      <c r="K712" s="28" t="n">
        <v>45534</v>
      </c>
      <c r="L712" t="inlineStr">
        <is>
          <t>Sin respuesta tras 3 contactos</t>
        </is>
      </c>
    </row>
    <row r="713" ht="15.75" customHeight="1" s="25">
      <c r="A713" t="inlineStr">
        <is>
          <t>CLI-0711</t>
        </is>
      </c>
      <c r="B713" t="inlineStr">
        <is>
          <t>Luisa Giraldo López</t>
        </is>
      </c>
      <c r="C713" t="inlineStr">
        <is>
          <t>3202162944</t>
        </is>
      </c>
      <c r="D713" t="inlineStr">
        <is>
          <t>luisa.giraldo60@outlook.com</t>
        </is>
      </c>
      <c r="E713" t="inlineStr">
        <is>
          <t>Rionegro</t>
        </is>
      </c>
      <c r="F713" t="inlineStr">
        <is>
          <t>PRY-001</t>
        </is>
      </c>
      <c r="G713" t="inlineStr">
        <is>
          <t>Facebook</t>
        </is>
      </c>
      <c r="H713" t="inlineStr">
        <is>
          <t>Santiago Muñoz</t>
        </is>
      </c>
      <c r="I713" t="inlineStr">
        <is>
          <t>Ganado</t>
        </is>
      </c>
      <c r="J713" s="28" t="n">
        <v>45513</v>
      </c>
      <c r="K713" s="28" t="n">
        <v>45614</v>
      </c>
      <c r="L713" t="inlineStr">
        <is>
          <t>Compró Apto 802 en Torres del Poblado</t>
        </is>
      </c>
    </row>
    <row r="714" ht="15.75" customHeight="1" s="25">
      <c r="A714" t="inlineStr">
        <is>
          <t>CLI-0712</t>
        </is>
      </c>
      <c r="B714" t="inlineStr">
        <is>
          <t>Ximena Palacio Correa</t>
        </is>
      </c>
      <c r="C714" t="inlineStr">
        <is>
          <t>3132791211</t>
        </is>
      </c>
      <c r="D714" t="inlineStr">
        <is>
          <t>ximena.palacio87@gmail.com</t>
        </is>
      </c>
      <c r="E714" t="inlineStr">
        <is>
          <t>Rionegro</t>
        </is>
      </c>
      <c r="F714" t="inlineStr">
        <is>
          <t>PRY-005</t>
        </is>
      </c>
      <c r="G714" t="inlineStr">
        <is>
          <t>Facebook</t>
        </is>
      </c>
      <c r="H714" t="inlineStr">
        <is>
          <t>Sofía Prada</t>
        </is>
      </c>
      <c r="I714" t="inlineStr">
        <is>
          <t>Perdido</t>
        </is>
      </c>
      <c r="J714" s="28" t="n">
        <v>45513</v>
      </c>
      <c r="K714" s="28" t="n">
        <v>45562</v>
      </c>
      <c r="L714" t="inlineStr">
        <is>
          <t>Precio fuera de presupuesto</t>
        </is>
      </c>
    </row>
    <row r="715" ht="15.75" customHeight="1" s="25">
      <c r="A715" t="inlineStr">
        <is>
          <t>CLI-0713</t>
        </is>
      </c>
      <c r="B715" t="inlineStr">
        <is>
          <t>Cristian Giraldo Echeverri</t>
        </is>
      </c>
      <c r="C715" t="inlineStr">
        <is>
          <t>3018129780</t>
        </is>
      </c>
      <c r="D715" t="inlineStr">
        <is>
          <t>cristian.giraldo66@hotmail.com</t>
        </is>
      </c>
      <c r="E715" t="inlineStr">
        <is>
          <t>Itagüí</t>
        </is>
      </c>
      <c r="F715" t="inlineStr">
        <is>
          <t>PRY-003</t>
        </is>
      </c>
      <c r="G715" t="inlineStr">
        <is>
          <t>Portal Web</t>
        </is>
      </c>
      <c r="H715" t="inlineStr">
        <is>
          <t>Sofía Prada</t>
        </is>
      </c>
      <c r="I715" t="inlineStr">
        <is>
          <t>Perdido</t>
        </is>
      </c>
      <c r="J715" s="28" t="n">
        <v>45513</v>
      </c>
      <c r="K715" s="28" t="n">
        <v>45541</v>
      </c>
      <c r="L715" t="inlineStr">
        <is>
          <t>Sin respuesta tras 3 contactos</t>
        </is>
      </c>
    </row>
    <row r="716" ht="15.75" customHeight="1" s="25">
      <c r="A716" t="inlineStr">
        <is>
          <t>CLI-0714</t>
        </is>
      </c>
      <c r="B716" t="inlineStr">
        <is>
          <t>Jorge Sánchez Cano</t>
        </is>
      </c>
      <c r="C716" t="inlineStr">
        <is>
          <t>3108801863</t>
        </is>
      </c>
      <c r="D716" t="inlineStr">
        <is>
          <t>jorge.sanchez18@outlook.com</t>
        </is>
      </c>
      <c r="E716" t="inlineStr">
        <is>
          <t>Medellín</t>
        </is>
      </c>
      <c r="F716" t="inlineStr">
        <is>
          <t>PRY-001</t>
        </is>
      </c>
      <c r="G716" t="inlineStr">
        <is>
          <t>Facebook</t>
        </is>
      </c>
      <c r="H716" t="inlineStr">
        <is>
          <t>Ana Quintero</t>
        </is>
      </c>
      <c r="I716" t="inlineStr">
        <is>
          <t>Perdido</t>
        </is>
      </c>
      <c r="J716" s="28" t="n">
        <v>45513</v>
      </c>
      <c r="K716" s="28" t="n">
        <v>45524</v>
      </c>
      <c r="L716" t="inlineStr">
        <is>
          <t>Sin respuesta tras 3 contactos</t>
        </is>
      </c>
    </row>
    <row r="717" ht="15.75" customHeight="1" s="25">
      <c r="A717" t="inlineStr">
        <is>
          <t>CLI-0715</t>
        </is>
      </c>
      <c r="B717" t="inlineStr">
        <is>
          <t>Catalina Franco Castaño</t>
        </is>
      </c>
      <c r="C717" t="inlineStr">
        <is>
          <t>3222897217</t>
        </is>
      </c>
      <c r="D717" t="inlineStr">
        <is>
          <t>catalina.franco4@gmail.com</t>
        </is>
      </c>
      <c r="E717" t="inlineStr">
        <is>
          <t>Medellín</t>
        </is>
      </c>
      <c r="F717" t="inlineStr">
        <is>
          <t>PRY-002</t>
        </is>
      </c>
      <c r="G717" t="inlineStr">
        <is>
          <t>Portal Web</t>
        </is>
      </c>
      <c r="H717" t="inlineStr">
        <is>
          <t>Luis Bedoya</t>
        </is>
      </c>
      <c r="I717" t="inlineStr">
        <is>
          <t>Perdido</t>
        </is>
      </c>
      <c r="J717" s="28" t="n">
        <v>45513</v>
      </c>
      <c r="K717" s="28" t="n">
        <v>45532</v>
      </c>
      <c r="L717" t="inlineStr">
        <is>
          <t>Buscaba arriendo, no compra</t>
        </is>
      </c>
    </row>
    <row r="718" ht="15.75" customHeight="1" s="25">
      <c r="A718" t="inlineStr">
        <is>
          <t>CLI-0716</t>
        </is>
      </c>
      <c r="B718" t="inlineStr">
        <is>
          <t>Wilson Quintero Correa</t>
        </is>
      </c>
      <c r="C718" t="inlineStr">
        <is>
          <t>3247010325</t>
        </is>
      </c>
      <c r="D718" t="inlineStr">
        <is>
          <t>wilson.quintero40@outlook.com</t>
        </is>
      </c>
      <c r="E718" t="inlineStr">
        <is>
          <t>Medellín</t>
        </is>
      </c>
      <c r="F718" t="inlineStr">
        <is>
          <t>PRY-003</t>
        </is>
      </c>
      <c r="G718" t="inlineStr">
        <is>
          <t>Feria Inmobiliaria</t>
        </is>
      </c>
      <c r="H718" t="inlineStr">
        <is>
          <t>Luis Bedoya</t>
        </is>
      </c>
      <c r="I718" t="inlineStr">
        <is>
          <t>Perdido</t>
        </is>
      </c>
      <c r="J718" s="28" t="n">
        <v>45514</v>
      </c>
      <c r="K718" s="28" t="n">
        <v>45543</v>
      </c>
      <c r="L718" t="inlineStr">
        <is>
          <t>Datos de contacto errados</t>
        </is>
      </c>
    </row>
    <row r="719" ht="15.75" customHeight="1" s="25">
      <c r="A719" t="inlineStr">
        <is>
          <t>CLI-0717</t>
        </is>
      </c>
      <c r="B719" t="inlineStr">
        <is>
          <t>Daniel Gómez Palacio</t>
        </is>
      </c>
      <c r="C719" t="inlineStr">
        <is>
          <t>3017924130</t>
        </is>
      </c>
      <c r="D719" t="inlineStr">
        <is>
          <t>daniel.gomez67@hotmail.com</t>
        </is>
      </c>
      <c r="E719" t="inlineStr">
        <is>
          <t>Envigado</t>
        </is>
      </c>
      <c r="F719" t="inlineStr">
        <is>
          <t>PRY-005</t>
        </is>
      </c>
      <c r="G719" t="inlineStr">
        <is>
          <t>Facebook</t>
        </is>
      </c>
      <c r="H719" t="inlineStr">
        <is>
          <t>Miguel Salazar</t>
        </is>
      </c>
      <c r="I719" t="inlineStr">
        <is>
          <t>Perdido</t>
        </is>
      </c>
      <c r="J719" s="28" t="n">
        <v>45514</v>
      </c>
      <c r="K719" s="28" t="n">
        <v>45522</v>
      </c>
      <c r="L719" t="inlineStr">
        <is>
          <t>Buscaba arriendo, no compra</t>
        </is>
      </c>
    </row>
    <row r="720" ht="15.75" customHeight="1" s="25">
      <c r="A720" t="inlineStr">
        <is>
          <t>CLI-0718</t>
        </is>
      </c>
      <c r="B720" t="inlineStr">
        <is>
          <t>Jorge Correa Duque</t>
        </is>
      </c>
      <c r="C720" t="inlineStr">
        <is>
          <t>3131048706</t>
        </is>
      </c>
      <c r="D720" t="inlineStr">
        <is>
          <t>jorge.correa28@yahoo.com</t>
        </is>
      </c>
      <c r="E720" t="inlineStr">
        <is>
          <t>La Estrella</t>
        </is>
      </c>
      <c r="F720" t="inlineStr">
        <is>
          <t>PRY-003</t>
        </is>
      </c>
      <c r="G720" t="inlineStr">
        <is>
          <t>Portal Web</t>
        </is>
      </c>
      <c r="H720" t="inlineStr">
        <is>
          <t>Luis Bedoya</t>
        </is>
      </c>
      <c r="I720" t="inlineStr">
        <is>
          <t>Perdido</t>
        </is>
      </c>
      <c r="J720" s="28" t="n">
        <v>45515</v>
      </c>
      <c r="K720" s="28" t="n">
        <v>45521</v>
      </c>
      <c r="L720" t="inlineStr">
        <is>
          <t>Presupuesto insuficiente</t>
        </is>
      </c>
    </row>
    <row r="721" ht="15.75" customHeight="1" s="25">
      <c r="A721" t="inlineStr">
        <is>
          <t>CLI-0719</t>
        </is>
      </c>
      <c r="B721" t="inlineStr">
        <is>
          <t>Santiago Higuita Duque</t>
        </is>
      </c>
      <c r="C721" t="inlineStr">
        <is>
          <t>3249723432</t>
        </is>
      </c>
      <c r="D721" t="inlineStr">
        <is>
          <t>santiago.higuita77@outlook.com</t>
        </is>
      </c>
      <c r="E721" t="inlineStr">
        <is>
          <t>Rionegro</t>
        </is>
      </c>
      <c r="F721" t="inlineStr">
        <is>
          <t>PRY-008</t>
        </is>
      </c>
      <c r="G721" t="inlineStr">
        <is>
          <t>Instagram</t>
        </is>
      </c>
      <c r="H721" t="inlineStr">
        <is>
          <t>Sofía Prada</t>
        </is>
      </c>
      <c r="I721" t="inlineStr">
        <is>
          <t>Ganado</t>
        </is>
      </c>
      <c r="J721" s="28" t="n">
        <v>45516</v>
      </c>
      <c r="K721" s="28" t="n">
        <v>45605</v>
      </c>
      <c r="L721" t="inlineStr">
        <is>
          <t>Compró Casa 54 en Valle Verde Itagüí</t>
        </is>
      </c>
    </row>
    <row r="722" ht="15.75" customHeight="1" s="25">
      <c r="A722" t="inlineStr">
        <is>
          <t>CLI-0720</t>
        </is>
      </c>
      <c r="B722" t="inlineStr">
        <is>
          <t>Santiago Cifuentes Toro</t>
        </is>
      </c>
      <c r="C722" t="inlineStr">
        <is>
          <t>3154707645</t>
        </is>
      </c>
      <c r="D722" t="inlineStr">
        <is>
          <t>santiago.cifuentes11@hotmail.com</t>
        </is>
      </c>
      <c r="E722" t="inlineStr">
        <is>
          <t>Medellín</t>
        </is>
      </c>
      <c r="F722" t="inlineStr">
        <is>
          <t>PRY-001</t>
        </is>
      </c>
      <c r="G722" t="inlineStr">
        <is>
          <t>Facebook</t>
        </is>
      </c>
      <c r="H722" t="inlineStr">
        <is>
          <t>Ana Quintero</t>
        </is>
      </c>
      <c r="I722" t="inlineStr">
        <is>
          <t>Perdido</t>
        </is>
      </c>
      <c r="J722" s="28" t="n">
        <v>45516</v>
      </c>
      <c r="K722" s="28" t="n">
        <v>45646</v>
      </c>
      <c r="L722" t="inlineStr">
        <is>
          <t>Desistió de la compra</t>
        </is>
      </c>
    </row>
    <row r="723" ht="15.75" customHeight="1" s="25">
      <c r="A723" t="inlineStr">
        <is>
          <t>CLI-0721</t>
        </is>
      </c>
      <c r="B723" t="inlineStr">
        <is>
          <t>Wilson Zapata Giraldo</t>
        </is>
      </c>
      <c r="C723" t="inlineStr">
        <is>
          <t>3232340917</t>
        </is>
      </c>
      <c r="D723" t="inlineStr">
        <is>
          <t>wilson.zapata79@outlook.com</t>
        </is>
      </c>
      <c r="E723" t="inlineStr">
        <is>
          <t>Medellín</t>
        </is>
      </c>
      <c r="F723" t="inlineStr">
        <is>
          <t>PRY-003</t>
        </is>
      </c>
      <c r="G723" t="inlineStr">
        <is>
          <t>Referido</t>
        </is>
      </c>
      <c r="H723" t="inlineStr">
        <is>
          <t>Sofía Prada</t>
        </is>
      </c>
      <c r="I723" t="inlineStr">
        <is>
          <t>Ganado</t>
        </is>
      </c>
      <c r="J723" s="28" t="n">
        <v>45516</v>
      </c>
      <c r="K723" s="28" t="n">
        <v>45611</v>
      </c>
      <c r="L723" t="inlineStr">
        <is>
          <t>Compró Apto 2602 en Conecta Laureles</t>
        </is>
      </c>
    </row>
    <row r="724" ht="15.75" customHeight="1" s="25">
      <c r="A724" t="inlineStr">
        <is>
          <t>CLI-0722</t>
        </is>
      </c>
      <c r="B724" t="inlineStr">
        <is>
          <t>Daniel Londoño Peláez</t>
        </is>
      </c>
      <c r="C724" t="inlineStr">
        <is>
          <t>3138564077</t>
        </is>
      </c>
      <c r="D724" t="inlineStr">
        <is>
          <t>daniel.londono11@yahoo.com</t>
        </is>
      </c>
      <c r="E724" t="inlineStr">
        <is>
          <t>Medellín</t>
        </is>
      </c>
      <c r="F724" t="inlineStr">
        <is>
          <t>PRY-001</t>
        </is>
      </c>
      <c r="G724" t="inlineStr">
        <is>
          <t>Referido</t>
        </is>
      </c>
      <c r="H724" t="inlineStr">
        <is>
          <t>Paula Arenas</t>
        </is>
      </c>
      <c r="I724" t="inlineStr">
        <is>
          <t>Perdido</t>
        </is>
      </c>
      <c r="J724" s="28" t="n">
        <v>45516</v>
      </c>
      <c r="K724" s="28" t="n">
        <v>45530</v>
      </c>
      <c r="L724" t="inlineStr">
        <is>
          <t>Sin respuesta tras 3 contactos</t>
        </is>
      </c>
    </row>
    <row r="725" ht="15.75" customHeight="1" s="25">
      <c r="A725" t="inlineStr">
        <is>
          <t>CLI-0723</t>
        </is>
      </c>
      <c r="B725" t="inlineStr">
        <is>
          <t>Diego Gómez Osorio</t>
        </is>
      </c>
      <c r="C725" t="inlineStr">
        <is>
          <t>3206824631</t>
        </is>
      </c>
      <c r="D725" t="inlineStr">
        <is>
          <t>diego.gomez40@gmail.com</t>
        </is>
      </c>
      <c r="E725" t="inlineStr">
        <is>
          <t>Medellín</t>
        </is>
      </c>
      <c r="F725" t="inlineStr">
        <is>
          <t>PRY-002</t>
        </is>
      </c>
      <c r="G725" t="inlineStr">
        <is>
          <t>Portal Web</t>
        </is>
      </c>
      <c r="H725" t="inlineStr">
        <is>
          <t>Ana Quintero</t>
        </is>
      </c>
      <c r="I725" t="inlineStr">
        <is>
          <t>Perdido</t>
        </is>
      </c>
      <c r="J725" s="28" t="n">
        <v>45516</v>
      </c>
      <c r="K725" s="28" t="n">
        <v>45524</v>
      </c>
      <c r="L725" t="inlineStr">
        <is>
          <t>Sin respuesta tras 3 contactos</t>
        </is>
      </c>
    </row>
    <row r="726" ht="15.75" customHeight="1" s="25">
      <c r="A726" t="inlineStr">
        <is>
          <t>CLI-0724</t>
        </is>
      </c>
      <c r="B726" t="inlineStr">
        <is>
          <t>Valeria Ramírez Ramírez</t>
        </is>
      </c>
      <c r="C726" t="inlineStr">
        <is>
          <t>3107498890</t>
        </is>
      </c>
      <c r="D726" t="inlineStr">
        <is>
          <t>valeria.ramirez25@yahoo.com</t>
        </is>
      </c>
      <c r="E726" t="inlineStr">
        <is>
          <t>Envigado</t>
        </is>
      </c>
      <c r="F726" t="inlineStr">
        <is>
          <t>PRY-001</t>
        </is>
      </c>
      <c r="G726" t="inlineStr">
        <is>
          <t>Facebook</t>
        </is>
      </c>
      <c r="H726" t="inlineStr">
        <is>
          <t>Sofía Prada</t>
        </is>
      </c>
      <c r="I726" t="inlineStr">
        <is>
          <t>Perdido</t>
        </is>
      </c>
      <c r="J726" s="28" t="n">
        <v>45516</v>
      </c>
      <c r="K726" s="28" t="n">
        <v>45533</v>
      </c>
      <c r="L726" t="inlineStr">
        <is>
          <t>No calificó para crédito</t>
        </is>
      </c>
    </row>
    <row r="727" ht="15.75" customHeight="1" s="25">
      <c r="A727" t="inlineStr">
        <is>
          <t>CLI-0725</t>
        </is>
      </c>
      <c r="B727" t="inlineStr">
        <is>
          <t>Cristian Vargas Ramírez</t>
        </is>
      </c>
      <c r="C727" t="inlineStr">
        <is>
          <t>3209046200</t>
        </is>
      </c>
      <c r="D727" t="inlineStr">
        <is>
          <t>cristian.vargas79@yahoo.com</t>
        </is>
      </c>
      <c r="E727" t="inlineStr">
        <is>
          <t>Medellín</t>
        </is>
      </c>
      <c r="F727" t="inlineStr">
        <is>
          <t>PRY-003</t>
        </is>
      </c>
      <c r="G727" t="inlineStr">
        <is>
          <t>Referido</t>
        </is>
      </c>
      <c r="H727" t="inlineStr">
        <is>
          <t>Andrés Torres</t>
        </is>
      </c>
      <c r="I727" t="inlineStr">
        <is>
          <t>Ganado</t>
        </is>
      </c>
      <c r="J727" s="28" t="n">
        <v>45517</v>
      </c>
      <c r="K727" s="28" t="n">
        <v>45636</v>
      </c>
      <c r="L727" t="inlineStr">
        <is>
          <t>Compró Apto 1501 en Conecta Laureles</t>
        </is>
      </c>
    </row>
    <row r="728" ht="15.75" customHeight="1" s="25">
      <c r="A728" t="inlineStr">
        <is>
          <t>CLI-0726</t>
        </is>
      </c>
      <c r="B728" t="inlineStr">
        <is>
          <t>Ximena Cifuentes Vélez</t>
        </is>
      </c>
      <c r="C728" t="inlineStr">
        <is>
          <t>3138026758</t>
        </is>
      </c>
      <c r="D728" t="inlineStr">
        <is>
          <t>ximena.cifuentes33@hotmail.com</t>
        </is>
      </c>
      <c r="E728" t="inlineStr">
        <is>
          <t>Itagüí</t>
        </is>
      </c>
      <c r="F728" t="inlineStr">
        <is>
          <t>PRY-007</t>
        </is>
      </c>
      <c r="G728" t="inlineStr">
        <is>
          <t>Feria Inmobiliaria</t>
        </is>
      </c>
      <c r="H728" t="inlineStr">
        <is>
          <t>Andrés Torres</t>
        </is>
      </c>
      <c r="I728" t="inlineStr">
        <is>
          <t>Perdido</t>
        </is>
      </c>
      <c r="J728" s="28" t="n">
        <v>45517</v>
      </c>
      <c r="K728" s="28" t="n">
        <v>45617</v>
      </c>
      <c r="L728" t="inlineStr">
        <is>
          <t>Crédito no aprobado</t>
        </is>
      </c>
    </row>
    <row r="729" ht="15.75" customHeight="1" s="25">
      <c r="A729" t="inlineStr">
        <is>
          <t>CLI-0727</t>
        </is>
      </c>
      <c r="B729" t="inlineStr">
        <is>
          <t>Santiago Pérez Arango</t>
        </is>
      </c>
      <c r="C729" t="inlineStr">
        <is>
          <t>3011583138</t>
        </is>
      </c>
      <c r="D729" t="inlineStr">
        <is>
          <t>santiago.perez57@gmail.com</t>
        </is>
      </c>
      <c r="E729" t="inlineStr">
        <is>
          <t>Sabaneta</t>
        </is>
      </c>
      <c r="F729" t="inlineStr">
        <is>
          <t>PRY-004</t>
        </is>
      </c>
      <c r="G729" t="inlineStr">
        <is>
          <t>Feria Inmobiliaria</t>
        </is>
      </c>
      <c r="H729" t="inlineStr">
        <is>
          <t>Juliana Vélez</t>
        </is>
      </c>
      <c r="I729" t="inlineStr">
        <is>
          <t>Perdido</t>
        </is>
      </c>
      <c r="J729" s="28" t="n">
        <v>45517</v>
      </c>
      <c r="K729" s="28" t="n">
        <v>45526</v>
      </c>
      <c r="L729" t="inlineStr">
        <is>
          <t>Presupuesto insuficiente</t>
        </is>
      </c>
    </row>
    <row r="730" ht="15.75" customHeight="1" s="25">
      <c r="A730" t="inlineStr">
        <is>
          <t>CLI-0728</t>
        </is>
      </c>
      <c r="B730" t="inlineStr">
        <is>
          <t>Lorena Agudelo Gaviria</t>
        </is>
      </c>
      <c r="C730" t="inlineStr">
        <is>
          <t>3044252587</t>
        </is>
      </c>
      <c r="D730" t="inlineStr">
        <is>
          <t>lorena.agudelo16@gmail.com</t>
        </is>
      </c>
      <c r="E730" t="inlineStr">
        <is>
          <t>Itagüí</t>
        </is>
      </c>
      <c r="F730" t="inlineStr">
        <is>
          <t>PRY-008</t>
        </is>
      </c>
      <c r="G730" t="inlineStr">
        <is>
          <t>Facebook</t>
        </is>
      </c>
      <c r="H730" t="inlineStr">
        <is>
          <t>Sofía Prada</t>
        </is>
      </c>
      <c r="I730" t="inlineStr">
        <is>
          <t>Perdido</t>
        </is>
      </c>
      <c r="J730" s="28" t="n">
        <v>45517</v>
      </c>
      <c r="K730" s="28" t="n">
        <v>45534</v>
      </c>
      <c r="L730" t="inlineStr">
        <is>
          <t>Sin respuesta tras 3 contactos</t>
        </is>
      </c>
    </row>
    <row r="731" ht="15.75" customHeight="1" s="25">
      <c r="A731" t="inlineStr">
        <is>
          <t>CLI-0729</t>
        </is>
      </c>
      <c r="B731" t="inlineStr">
        <is>
          <t>Fernando Restrepo Ochoa</t>
        </is>
      </c>
      <c r="C731" t="inlineStr">
        <is>
          <t>3148198274</t>
        </is>
      </c>
      <c r="D731" t="inlineStr">
        <is>
          <t>fernando.restrepo45@hotmail.com</t>
        </is>
      </c>
      <c r="E731" t="inlineStr">
        <is>
          <t>Rionegro</t>
        </is>
      </c>
      <c r="F731" t="inlineStr">
        <is>
          <t>PRY-003</t>
        </is>
      </c>
      <c r="G731" t="inlineStr">
        <is>
          <t>Llamada directa</t>
        </is>
      </c>
      <c r="H731" t="inlineStr">
        <is>
          <t>Andrés Torres</t>
        </is>
      </c>
      <c r="I731" t="inlineStr">
        <is>
          <t>Ganado</t>
        </is>
      </c>
      <c r="J731" s="28" t="n">
        <v>45518</v>
      </c>
      <c r="K731" s="28" t="n">
        <v>45600</v>
      </c>
      <c r="L731" t="inlineStr">
        <is>
          <t>Compró Apto 1705 en Conecta Laureles</t>
        </is>
      </c>
    </row>
    <row r="732" ht="15.75" customHeight="1" s="25">
      <c r="A732" t="inlineStr">
        <is>
          <t>CLI-0730</t>
        </is>
      </c>
      <c r="B732" t="inlineStr">
        <is>
          <t>José Bedoya Bedoya</t>
        </is>
      </c>
      <c r="C732" t="inlineStr">
        <is>
          <t>3009541494</t>
        </is>
      </c>
      <c r="D732" t="inlineStr">
        <is>
          <t>jose.bedoya84@gmail.com</t>
        </is>
      </c>
      <c r="E732" t="inlineStr">
        <is>
          <t>Rionegro</t>
        </is>
      </c>
      <c r="F732" t="inlineStr">
        <is>
          <t>PRY-001</t>
        </is>
      </c>
      <c r="G732" t="inlineStr">
        <is>
          <t>Instagram</t>
        </is>
      </c>
      <c r="H732" t="inlineStr">
        <is>
          <t>Ana Quintero</t>
        </is>
      </c>
      <c r="I732" t="inlineStr">
        <is>
          <t>Perdido</t>
        </is>
      </c>
      <c r="J732" s="28" t="n">
        <v>45518</v>
      </c>
      <c r="K732" s="28" t="n">
        <v>45530</v>
      </c>
      <c r="L732" t="inlineStr">
        <is>
          <t>Presupuesto insuficiente</t>
        </is>
      </c>
    </row>
    <row r="733" ht="15.75" customHeight="1" s="25">
      <c r="A733" t="inlineStr">
        <is>
          <t>CLI-0731</t>
        </is>
      </c>
      <c r="B733" t="inlineStr">
        <is>
          <t>Katherine Montoya Gaviria</t>
        </is>
      </c>
      <c r="C733" t="inlineStr">
        <is>
          <t>3153805603</t>
        </is>
      </c>
      <c r="D733" t="inlineStr">
        <is>
          <t>katherine.montoya80@yahoo.com</t>
        </is>
      </c>
      <c r="E733" t="inlineStr">
        <is>
          <t>Medellín</t>
        </is>
      </c>
      <c r="F733" t="inlineStr">
        <is>
          <t>PRY-007</t>
        </is>
      </c>
      <c r="G733" t="inlineStr">
        <is>
          <t>Feria Inmobiliaria</t>
        </is>
      </c>
      <c r="H733" t="inlineStr">
        <is>
          <t>Andrés Torres</t>
        </is>
      </c>
      <c r="I733" t="inlineStr">
        <is>
          <t>Ganado</t>
        </is>
      </c>
      <c r="J733" s="28" t="n">
        <v>45519</v>
      </c>
      <c r="K733" s="28" t="n">
        <v>45636</v>
      </c>
      <c r="L733" t="inlineStr">
        <is>
          <t>Compró Apto 1501 en Mirador de Envigado</t>
        </is>
      </c>
    </row>
    <row r="734" ht="15.75" customHeight="1" s="25">
      <c r="A734" t="inlineStr">
        <is>
          <t>CLI-0732</t>
        </is>
      </c>
      <c r="B734" t="inlineStr">
        <is>
          <t>Catalina López Vélez</t>
        </is>
      </c>
      <c r="C734" t="inlineStr">
        <is>
          <t>3243196740</t>
        </is>
      </c>
      <c r="D734" t="inlineStr">
        <is>
          <t>catalina.lopez18@gmail.com</t>
        </is>
      </c>
      <c r="E734" t="inlineStr">
        <is>
          <t>Sabaneta</t>
        </is>
      </c>
      <c r="F734" t="inlineStr">
        <is>
          <t>PRY-003</t>
        </is>
      </c>
      <c r="G734" t="inlineStr">
        <is>
          <t>Instagram</t>
        </is>
      </c>
      <c r="H734" t="inlineStr">
        <is>
          <t>Santiago Muñoz</t>
        </is>
      </c>
      <c r="I734" t="inlineStr">
        <is>
          <t>Perdido</t>
        </is>
      </c>
      <c r="J734" s="28" t="n">
        <v>45519</v>
      </c>
      <c r="K734" s="28" t="n">
        <v>45536</v>
      </c>
      <c r="L734" t="inlineStr">
        <is>
          <t>Presupuesto insuficiente</t>
        </is>
      </c>
    </row>
    <row r="735" ht="15.75" customHeight="1" s="25">
      <c r="A735" t="inlineStr">
        <is>
          <t>CLI-0733</t>
        </is>
      </c>
      <c r="B735" t="inlineStr">
        <is>
          <t>Jorge Palacio Cardona</t>
        </is>
      </c>
      <c r="C735" t="inlineStr">
        <is>
          <t>3044947026</t>
        </is>
      </c>
      <c r="D735" t="inlineStr">
        <is>
          <t>jorge.palacio70@gmail.com</t>
        </is>
      </c>
      <c r="E735" t="inlineStr">
        <is>
          <t>Rionegro</t>
        </is>
      </c>
      <c r="F735" t="inlineStr">
        <is>
          <t>PRY-005</t>
        </is>
      </c>
      <c r="G735" t="inlineStr">
        <is>
          <t>Feria Inmobiliaria</t>
        </is>
      </c>
      <c r="H735" t="inlineStr">
        <is>
          <t>Luis Bedoya</t>
        </is>
      </c>
      <c r="I735" t="inlineStr">
        <is>
          <t>Ganado</t>
        </is>
      </c>
      <c r="J735" s="28" t="n">
        <v>45520</v>
      </c>
      <c r="K735" s="28" t="n">
        <v>45672</v>
      </c>
      <c r="L735" t="inlineStr">
        <is>
          <t>Compró Apto 401 en Ciudadela Rionegro</t>
        </is>
      </c>
    </row>
    <row r="736" ht="15.75" customHeight="1" s="25">
      <c r="A736" t="inlineStr">
        <is>
          <t>CLI-0734</t>
        </is>
      </c>
      <c r="B736" t="inlineStr">
        <is>
          <t>Diego Betancur Ramírez</t>
        </is>
      </c>
      <c r="C736" t="inlineStr">
        <is>
          <t>3137367735</t>
        </is>
      </c>
      <c r="D736" t="inlineStr">
        <is>
          <t>diego.betancur70@gmail.com</t>
        </is>
      </c>
      <c r="E736" t="inlineStr">
        <is>
          <t>Itagüí</t>
        </is>
      </c>
      <c r="F736" t="inlineStr">
        <is>
          <t>PRY-002</t>
        </is>
      </c>
      <c r="G736" t="inlineStr">
        <is>
          <t>Portal Web</t>
        </is>
      </c>
      <c r="H736" t="inlineStr">
        <is>
          <t>Andrés Torres</t>
        </is>
      </c>
      <c r="I736" t="inlineStr">
        <is>
          <t>Perdido</t>
        </is>
      </c>
      <c r="J736" s="28" t="n">
        <v>45520</v>
      </c>
      <c r="K736" s="28" t="n">
        <v>45540</v>
      </c>
      <c r="L736" t="inlineStr">
        <is>
          <t>No calificó para crédito</t>
        </is>
      </c>
    </row>
    <row r="737" ht="15.75" customHeight="1" s="25">
      <c r="A737" t="inlineStr">
        <is>
          <t>CLI-0735</t>
        </is>
      </c>
      <c r="B737" t="inlineStr">
        <is>
          <t>David Betancur Vargas</t>
        </is>
      </c>
      <c r="C737" t="inlineStr">
        <is>
          <t>3049810467</t>
        </is>
      </c>
      <c r="D737" t="inlineStr">
        <is>
          <t>david.betancur11@hotmail.com</t>
        </is>
      </c>
      <c r="E737" t="inlineStr">
        <is>
          <t>Rionegro</t>
        </is>
      </c>
      <c r="F737" t="inlineStr">
        <is>
          <t>PRY-005</t>
        </is>
      </c>
      <c r="G737" t="inlineStr">
        <is>
          <t>Facebook</t>
        </is>
      </c>
      <c r="H737" t="inlineStr">
        <is>
          <t>Miguel Salazar</t>
        </is>
      </c>
      <c r="I737" t="inlineStr">
        <is>
          <t>Perdido</t>
        </is>
      </c>
      <c r="J737" s="28" t="n">
        <v>45520</v>
      </c>
      <c r="K737" s="28" t="n">
        <v>45541</v>
      </c>
      <c r="L737" t="inlineStr">
        <is>
          <t>Sin respuesta tras 3 contactos</t>
        </is>
      </c>
    </row>
    <row r="738" ht="15.75" customHeight="1" s="25">
      <c r="A738" t="inlineStr">
        <is>
          <t>CLI-0736</t>
        </is>
      </c>
      <c r="B738" t="inlineStr">
        <is>
          <t>Lorena Ochoa Franco</t>
        </is>
      </c>
      <c r="C738" t="inlineStr">
        <is>
          <t>3221591061</t>
        </is>
      </c>
      <c r="D738" t="inlineStr">
        <is>
          <t>lorena.ochoa70@yahoo.com</t>
        </is>
      </c>
      <c r="E738" t="inlineStr">
        <is>
          <t>Medellín</t>
        </is>
      </c>
      <c r="F738" t="inlineStr">
        <is>
          <t>PRY-003</t>
        </is>
      </c>
      <c r="G738" t="inlineStr">
        <is>
          <t>Facebook</t>
        </is>
      </c>
      <c r="H738" t="inlineStr">
        <is>
          <t>Ana Quintero</t>
        </is>
      </c>
      <c r="I738" t="inlineStr">
        <is>
          <t>Perdido</t>
        </is>
      </c>
      <c r="J738" s="28" t="n">
        <v>45520</v>
      </c>
      <c r="K738" s="28" t="n">
        <v>45543</v>
      </c>
      <c r="L738" t="inlineStr">
        <is>
          <t>Sin respuesta tras 3 contactos</t>
        </is>
      </c>
    </row>
    <row r="739" ht="15.75" customHeight="1" s="25">
      <c r="A739" t="inlineStr">
        <is>
          <t>CLI-0737</t>
        </is>
      </c>
      <c r="B739" t="inlineStr">
        <is>
          <t>Alejandro Zapata Mejía</t>
        </is>
      </c>
      <c r="C739" t="inlineStr">
        <is>
          <t>3044045152</t>
        </is>
      </c>
      <c r="D739" t="inlineStr">
        <is>
          <t>alejandro.zapata53@outlook.com</t>
        </is>
      </c>
      <c r="E739" t="inlineStr">
        <is>
          <t>Sabaneta</t>
        </is>
      </c>
      <c r="F739" t="inlineStr">
        <is>
          <t>PRY-005</t>
        </is>
      </c>
      <c r="G739" t="inlineStr">
        <is>
          <t>Feria Inmobiliaria</t>
        </is>
      </c>
      <c r="H739" t="inlineStr">
        <is>
          <t>Andrés Torres</t>
        </is>
      </c>
      <c r="I739" t="inlineStr">
        <is>
          <t>Perdido</t>
        </is>
      </c>
      <c r="J739" s="28" t="n">
        <v>45520</v>
      </c>
      <c r="K739" s="28" t="n">
        <v>45546</v>
      </c>
      <c r="L739" t="inlineStr">
        <is>
          <t>Sin respuesta tras 3 contactos</t>
        </is>
      </c>
    </row>
    <row r="740" ht="15.75" customHeight="1" s="25">
      <c r="A740" t="inlineStr">
        <is>
          <t>CLI-0738</t>
        </is>
      </c>
      <c r="B740" t="inlineStr">
        <is>
          <t>Andrés Jaramillo Montoya</t>
        </is>
      </c>
      <c r="C740" t="inlineStr">
        <is>
          <t>3013383422</t>
        </is>
      </c>
      <c r="D740" t="inlineStr">
        <is>
          <t>andres.jaramillo83@yahoo.com</t>
        </is>
      </c>
      <c r="E740" t="inlineStr">
        <is>
          <t>Itagüí</t>
        </is>
      </c>
      <c r="F740" t="inlineStr">
        <is>
          <t>PRY-008</t>
        </is>
      </c>
      <c r="G740" t="inlineStr">
        <is>
          <t>Feria Inmobiliaria</t>
        </is>
      </c>
      <c r="H740" t="inlineStr">
        <is>
          <t>Andrés Torres</t>
        </is>
      </c>
      <c r="I740" t="inlineStr">
        <is>
          <t>Ganado</t>
        </is>
      </c>
      <c r="J740" s="28" t="n">
        <v>45521</v>
      </c>
      <c r="K740" s="28" t="n">
        <v>45597</v>
      </c>
      <c r="L740" t="inlineStr">
        <is>
          <t>Compró Casa 100 en Valle Verde Itagüí</t>
        </is>
      </c>
    </row>
    <row r="741" ht="15.75" customHeight="1" s="25">
      <c r="A741" t="inlineStr">
        <is>
          <t>CLI-0739</t>
        </is>
      </c>
      <c r="B741" t="inlineStr">
        <is>
          <t>Gabriel Valencia Montoya</t>
        </is>
      </c>
      <c r="C741" t="inlineStr">
        <is>
          <t>3233795703</t>
        </is>
      </c>
      <c r="D741" t="inlineStr">
        <is>
          <t>gabriel.valencia65@gmail.com</t>
        </is>
      </c>
      <c r="E741" t="inlineStr">
        <is>
          <t>Itagüí</t>
        </is>
      </c>
      <c r="F741" t="inlineStr">
        <is>
          <t>PRY-008</t>
        </is>
      </c>
      <c r="G741" t="inlineStr">
        <is>
          <t>Facebook</t>
        </is>
      </c>
      <c r="H741" t="inlineStr">
        <is>
          <t>Luis Bedoya</t>
        </is>
      </c>
      <c r="I741" t="inlineStr">
        <is>
          <t>Perdido</t>
        </is>
      </c>
      <c r="J741" s="28" t="n">
        <v>45521</v>
      </c>
      <c r="K741" s="28" t="n">
        <v>45540</v>
      </c>
      <c r="L741" t="inlineStr">
        <is>
          <t>Presupuesto insuficiente</t>
        </is>
      </c>
    </row>
    <row r="742" ht="15.75" customHeight="1" s="25">
      <c r="A742" t="inlineStr">
        <is>
          <t>CLI-0740</t>
        </is>
      </c>
      <c r="B742" t="inlineStr">
        <is>
          <t>Laura Pérez Zuluaga</t>
        </is>
      </c>
      <c r="C742" t="inlineStr">
        <is>
          <t>3237711633</t>
        </is>
      </c>
      <c r="D742" t="inlineStr">
        <is>
          <t>laura.perez47@hotmail.com</t>
        </is>
      </c>
      <c r="E742" t="inlineStr">
        <is>
          <t>Medellín</t>
        </is>
      </c>
      <c r="F742" t="inlineStr">
        <is>
          <t>PRY-004</t>
        </is>
      </c>
      <c r="G742" t="inlineStr">
        <is>
          <t>Facebook</t>
        </is>
      </c>
      <c r="H742" t="inlineStr">
        <is>
          <t>Ana Quintero</t>
        </is>
      </c>
      <c r="I742" t="inlineStr">
        <is>
          <t>Perdido</t>
        </is>
      </c>
      <c r="J742" s="28" t="n">
        <v>45521</v>
      </c>
      <c r="K742" s="28" t="n">
        <v>45532</v>
      </c>
      <c r="L742" t="inlineStr">
        <is>
          <t>Buscaba arriendo, no compra</t>
        </is>
      </c>
    </row>
    <row r="743" ht="15.75" customHeight="1" s="25">
      <c r="A743" t="inlineStr">
        <is>
          <t>CLI-0741</t>
        </is>
      </c>
      <c r="B743" t="inlineStr">
        <is>
          <t>Simón Ramírez Zapata</t>
        </is>
      </c>
      <c r="C743" t="inlineStr">
        <is>
          <t>3048884228</t>
        </is>
      </c>
      <c r="D743" t="inlineStr">
        <is>
          <t>simon.ramirez16@yahoo.com</t>
        </is>
      </c>
      <c r="E743" t="inlineStr">
        <is>
          <t>Bello</t>
        </is>
      </c>
      <c r="F743" t="inlineStr">
        <is>
          <t>PRY-003</t>
        </is>
      </c>
      <c r="G743" t="inlineStr">
        <is>
          <t>Facebook</t>
        </is>
      </c>
      <c r="H743" t="inlineStr">
        <is>
          <t>Miguel Salazar</t>
        </is>
      </c>
      <c r="I743" t="inlineStr">
        <is>
          <t>Ganado</t>
        </is>
      </c>
      <c r="J743" s="28" t="n">
        <v>45522</v>
      </c>
      <c r="K743" s="28" t="n">
        <v>45629</v>
      </c>
      <c r="L743" t="inlineStr">
        <is>
          <t>Compró Apto 1602 en Conecta Laureles</t>
        </is>
      </c>
    </row>
    <row r="744" ht="15.75" customHeight="1" s="25">
      <c r="A744" t="inlineStr">
        <is>
          <t>CLI-0742</t>
        </is>
      </c>
      <c r="B744" t="inlineStr">
        <is>
          <t>Lorena Vargas Álvarez</t>
        </is>
      </c>
      <c r="C744" t="inlineStr">
        <is>
          <t>3221817818</t>
        </is>
      </c>
      <c r="D744" t="inlineStr">
        <is>
          <t>lorena.vargas40@outlook.com</t>
        </is>
      </c>
      <c r="E744" t="inlineStr">
        <is>
          <t>Rionegro</t>
        </is>
      </c>
      <c r="F744" t="inlineStr">
        <is>
          <t>PRY-005</t>
        </is>
      </c>
      <c r="G744" t="inlineStr">
        <is>
          <t>Portal Web</t>
        </is>
      </c>
      <c r="H744" t="inlineStr">
        <is>
          <t>Santiago Muñoz</t>
        </is>
      </c>
      <c r="I744" t="inlineStr">
        <is>
          <t>Perdido</t>
        </is>
      </c>
      <c r="J744" s="28" t="n">
        <v>45522</v>
      </c>
      <c r="K744" s="28" t="n">
        <v>45531</v>
      </c>
      <c r="L744" t="inlineStr">
        <is>
          <t>Sin respuesta tras 3 contactos</t>
        </is>
      </c>
    </row>
    <row r="745" ht="15.75" customHeight="1" s="25">
      <c r="A745" t="inlineStr">
        <is>
          <t>CLI-0743</t>
        </is>
      </c>
      <c r="B745" t="inlineStr">
        <is>
          <t>Marcela Londoño Osorio</t>
        </is>
      </c>
      <c r="C745" t="inlineStr">
        <is>
          <t>3224707909</t>
        </is>
      </c>
      <c r="D745" t="inlineStr">
        <is>
          <t>marcela.londono29@yahoo.com</t>
        </is>
      </c>
      <c r="E745" t="inlineStr">
        <is>
          <t>Medellín</t>
        </is>
      </c>
      <c r="F745" t="inlineStr">
        <is>
          <t>PRY-002</t>
        </is>
      </c>
      <c r="G745" t="inlineStr">
        <is>
          <t>Instagram</t>
        </is>
      </c>
      <c r="H745" t="inlineStr">
        <is>
          <t>Paula Arenas</t>
        </is>
      </c>
      <c r="I745" t="inlineStr">
        <is>
          <t>Perdido</t>
        </is>
      </c>
      <c r="J745" s="28" t="n">
        <v>45523</v>
      </c>
      <c r="K745" s="28" t="n">
        <v>45626</v>
      </c>
      <c r="L745" t="inlineStr">
        <is>
          <t>Eligió otro proyecto</t>
        </is>
      </c>
    </row>
    <row r="746" ht="15.75" customHeight="1" s="25">
      <c r="A746" t="inlineStr">
        <is>
          <t>CLI-0744</t>
        </is>
      </c>
      <c r="B746" t="inlineStr">
        <is>
          <t>Patricia Giraldo Henao</t>
        </is>
      </c>
      <c r="C746" t="inlineStr">
        <is>
          <t>3202936779</t>
        </is>
      </c>
      <c r="D746" t="inlineStr">
        <is>
          <t>patricia.giraldo77@gmail.com</t>
        </is>
      </c>
      <c r="E746" t="inlineStr">
        <is>
          <t>Medellín</t>
        </is>
      </c>
      <c r="F746" t="inlineStr">
        <is>
          <t>PRY-004</t>
        </is>
      </c>
      <c r="G746" t="inlineStr">
        <is>
          <t>Portal Web</t>
        </is>
      </c>
      <c r="H746" t="inlineStr">
        <is>
          <t>Sofía Prada</t>
        </is>
      </c>
      <c r="I746" t="inlineStr">
        <is>
          <t>Perdido</t>
        </is>
      </c>
      <c r="J746" s="28" t="n">
        <v>45523</v>
      </c>
      <c r="K746" s="28" t="n">
        <v>45611</v>
      </c>
      <c r="L746" t="inlineStr">
        <is>
          <t>Eligió otro proyecto</t>
        </is>
      </c>
    </row>
    <row r="747" ht="15.75" customHeight="1" s="25">
      <c r="A747" t="inlineStr">
        <is>
          <t>CLI-0745</t>
        </is>
      </c>
      <c r="B747" t="inlineStr">
        <is>
          <t>Wilson Restrepo Rojas</t>
        </is>
      </c>
      <c r="C747" t="inlineStr">
        <is>
          <t>3102659247</t>
        </is>
      </c>
      <c r="D747" t="inlineStr">
        <is>
          <t>wilson.restrepo95@hotmail.com</t>
        </is>
      </c>
      <c r="E747" t="inlineStr">
        <is>
          <t>Itagüí</t>
        </is>
      </c>
      <c r="F747" t="inlineStr">
        <is>
          <t>PRY-008</t>
        </is>
      </c>
      <c r="G747" t="inlineStr">
        <is>
          <t>Referido</t>
        </is>
      </c>
      <c r="H747" t="inlineStr">
        <is>
          <t>Miguel Salazar</t>
        </is>
      </c>
      <c r="I747" t="inlineStr">
        <is>
          <t>Ganado</t>
        </is>
      </c>
      <c r="J747" s="28" t="n">
        <v>45523</v>
      </c>
      <c r="K747" s="28" t="n">
        <v>45601</v>
      </c>
      <c r="L747" t="inlineStr">
        <is>
          <t>Compró Casa 30 en Valle Verde Itagüí</t>
        </is>
      </c>
    </row>
    <row r="748" ht="15.75" customHeight="1" s="25">
      <c r="A748" t="inlineStr">
        <is>
          <t>CLI-0746</t>
        </is>
      </c>
      <c r="B748" t="inlineStr">
        <is>
          <t>Mauricio Valencia Ramírez</t>
        </is>
      </c>
      <c r="C748" t="inlineStr">
        <is>
          <t>3139480728</t>
        </is>
      </c>
      <c r="D748" t="inlineStr">
        <is>
          <t>mauricio.valencia62@outlook.com</t>
        </is>
      </c>
      <c r="E748" t="inlineStr">
        <is>
          <t>Medellín</t>
        </is>
      </c>
      <c r="F748" t="inlineStr">
        <is>
          <t>PRY-004</t>
        </is>
      </c>
      <c r="G748" t="inlineStr">
        <is>
          <t>Llamada directa</t>
        </is>
      </c>
      <c r="H748" t="inlineStr">
        <is>
          <t>Santiago Muñoz</t>
        </is>
      </c>
      <c r="I748" t="inlineStr">
        <is>
          <t>Ganado</t>
        </is>
      </c>
      <c r="J748" s="28" t="n">
        <v>45525</v>
      </c>
      <c r="K748" s="28" t="n">
        <v>45608</v>
      </c>
      <c r="L748" t="inlineStr">
        <is>
          <t>Compró Casa 26 en Altavista Park</t>
        </is>
      </c>
    </row>
    <row r="749" ht="15.75" customHeight="1" s="25">
      <c r="A749" t="inlineStr">
        <is>
          <t>CLI-0747</t>
        </is>
      </c>
      <c r="B749" t="inlineStr">
        <is>
          <t>Alejandra Cano Cifuentes</t>
        </is>
      </c>
      <c r="C749" t="inlineStr">
        <is>
          <t>3175394360</t>
        </is>
      </c>
      <c r="D749" t="inlineStr">
        <is>
          <t>alejandra.cano7@gmail.com</t>
        </is>
      </c>
      <c r="E749" t="inlineStr">
        <is>
          <t>Bello</t>
        </is>
      </c>
      <c r="F749" t="inlineStr">
        <is>
          <t>PRY-004</t>
        </is>
      </c>
      <c r="G749" t="inlineStr">
        <is>
          <t>Llamada directa</t>
        </is>
      </c>
      <c r="H749" t="inlineStr">
        <is>
          <t>Andrés Torres</t>
        </is>
      </c>
      <c r="I749" t="inlineStr">
        <is>
          <t>Ganado</t>
        </is>
      </c>
      <c r="J749" s="28" t="n">
        <v>45525</v>
      </c>
      <c r="K749" s="28" t="n">
        <v>45644</v>
      </c>
      <c r="L749" t="inlineStr">
        <is>
          <t>Compró Casa 65 en Altavista Park</t>
        </is>
      </c>
    </row>
    <row r="750" ht="15.75" customHeight="1" s="25">
      <c r="A750" t="inlineStr">
        <is>
          <t>CLI-0748</t>
        </is>
      </c>
      <c r="B750" t="inlineStr">
        <is>
          <t>Andrés Cifuentes Salazar</t>
        </is>
      </c>
      <c r="C750" t="inlineStr">
        <is>
          <t>3005872820</t>
        </is>
      </c>
      <c r="D750" t="inlineStr">
        <is>
          <t>andres.cifuentes76@outlook.com</t>
        </is>
      </c>
      <c r="E750" t="inlineStr">
        <is>
          <t>Rionegro</t>
        </is>
      </c>
      <c r="F750" t="inlineStr">
        <is>
          <t>PRY-005</t>
        </is>
      </c>
      <c r="G750" t="inlineStr">
        <is>
          <t>Referido</t>
        </is>
      </c>
      <c r="H750" t="inlineStr">
        <is>
          <t>Juliana Vélez</t>
        </is>
      </c>
      <c r="I750" t="inlineStr">
        <is>
          <t>Perdido</t>
        </is>
      </c>
      <c r="J750" s="28" t="n">
        <v>45525</v>
      </c>
      <c r="K750" s="28" t="n">
        <v>45536</v>
      </c>
      <c r="L750" t="inlineStr">
        <is>
          <t>Presupuesto insuficiente</t>
        </is>
      </c>
    </row>
    <row r="751" ht="15.75" customHeight="1" s="25">
      <c r="A751" t="inlineStr">
        <is>
          <t>CLI-0749</t>
        </is>
      </c>
      <c r="B751" t="inlineStr">
        <is>
          <t>Jhon Muñoz Gómez</t>
        </is>
      </c>
      <c r="C751" t="inlineStr">
        <is>
          <t>3004071274</t>
        </is>
      </c>
      <c r="D751" t="inlineStr">
        <is>
          <t>jhon.munoz32@outlook.com</t>
        </is>
      </c>
      <c r="E751" t="inlineStr">
        <is>
          <t>Medellín</t>
        </is>
      </c>
      <c r="F751" t="inlineStr">
        <is>
          <t>PRY-003</t>
        </is>
      </c>
      <c r="G751" t="inlineStr">
        <is>
          <t>Referido</t>
        </is>
      </c>
      <c r="H751" t="inlineStr">
        <is>
          <t>Miguel Salazar</t>
        </is>
      </c>
      <c r="I751" t="inlineStr">
        <is>
          <t>Ganado</t>
        </is>
      </c>
      <c r="J751" s="28" t="n">
        <v>45526</v>
      </c>
      <c r="K751" s="28" t="n">
        <v>45601</v>
      </c>
      <c r="L751" t="inlineStr">
        <is>
          <t>Compró Apto 1301 en Conecta Laureles</t>
        </is>
      </c>
    </row>
    <row r="752" ht="15.75" customHeight="1" s="25">
      <c r="A752" t="inlineStr">
        <is>
          <t>CLI-0750</t>
        </is>
      </c>
      <c r="B752" t="inlineStr">
        <is>
          <t>Sofía Salazar Montes</t>
        </is>
      </c>
      <c r="C752" t="inlineStr">
        <is>
          <t>3226553973</t>
        </is>
      </c>
      <c r="D752" t="inlineStr">
        <is>
          <t>sofia.salazar80@hotmail.com</t>
        </is>
      </c>
      <c r="E752" t="inlineStr">
        <is>
          <t>Medellín</t>
        </is>
      </c>
      <c r="F752" t="inlineStr">
        <is>
          <t>PRY-003</t>
        </is>
      </c>
      <c r="G752" t="inlineStr">
        <is>
          <t>Instagram</t>
        </is>
      </c>
      <c r="H752" t="inlineStr">
        <is>
          <t>Andrés Torres</t>
        </is>
      </c>
      <c r="I752" t="inlineStr">
        <is>
          <t>Perdido</t>
        </is>
      </c>
      <c r="J752" s="28" t="n">
        <v>45526</v>
      </c>
      <c r="K752" s="28" t="n">
        <v>45615</v>
      </c>
      <c r="L752" t="inlineStr">
        <is>
          <t>Crédito no aprobado</t>
        </is>
      </c>
    </row>
    <row r="753" ht="15.75" customHeight="1" s="25">
      <c r="A753" t="inlineStr">
        <is>
          <t>CLI-0751</t>
        </is>
      </c>
      <c r="B753" t="inlineStr">
        <is>
          <t>Sebastián Bedoya Hernández</t>
        </is>
      </c>
      <c r="C753" t="inlineStr">
        <is>
          <t>3107152239</t>
        </is>
      </c>
      <c r="D753" t="inlineStr">
        <is>
          <t>sebastian.bedoya78@yahoo.com</t>
        </is>
      </c>
      <c r="E753" t="inlineStr">
        <is>
          <t>Medellín</t>
        </is>
      </c>
      <c r="F753" t="inlineStr">
        <is>
          <t>PRY-004</t>
        </is>
      </c>
      <c r="G753" t="inlineStr">
        <is>
          <t>Facebook</t>
        </is>
      </c>
      <c r="H753" t="inlineStr">
        <is>
          <t>Miguel Salazar</t>
        </is>
      </c>
      <c r="I753" t="inlineStr">
        <is>
          <t>Perdido</t>
        </is>
      </c>
      <c r="J753" s="28" t="n">
        <v>45526</v>
      </c>
      <c r="K753" s="28" t="n">
        <v>45547</v>
      </c>
      <c r="L753" t="inlineStr">
        <is>
          <t>No calificó para crédito</t>
        </is>
      </c>
    </row>
    <row r="754" ht="15.75" customHeight="1" s="25">
      <c r="A754" t="inlineStr">
        <is>
          <t>CLI-0752</t>
        </is>
      </c>
      <c r="B754" t="inlineStr">
        <is>
          <t>Carolina Franco Ríos</t>
        </is>
      </c>
      <c r="C754" t="inlineStr">
        <is>
          <t>3007364040</t>
        </is>
      </c>
      <c r="D754" t="inlineStr">
        <is>
          <t>carolina.franco8@gmail.com</t>
        </is>
      </c>
      <c r="E754" t="inlineStr">
        <is>
          <t>Rionegro</t>
        </is>
      </c>
      <c r="F754" t="inlineStr">
        <is>
          <t>PRY-005</t>
        </is>
      </c>
      <c r="G754" t="inlineStr">
        <is>
          <t>Facebook</t>
        </is>
      </c>
      <c r="H754" t="inlineStr">
        <is>
          <t>Juliana Vélez</t>
        </is>
      </c>
      <c r="I754" t="inlineStr">
        <is>
          <t>Perdido</t>
        </is>
      </c>
      <c r="J754" s="28" t="n">
        <v>45527</v>
      </c>
      <c r="K754" s="28" t="n">
        <v>45543</v>
      </c>
      <c r="L754" t="inlineStr">
        <is>
          <t>Datos de contacto errados</t>
        </is>
      </c>
    </row>
    <row r="755" ht="15.75" customHeight="1" s="25">
      <c r="A755" t="inlineStr">
        <is>
          <t>CLI-0753</t>
        </is>
      </c>
      <c r="B755" t="inlineStr">
        <is>
          <t>José Espinosa Montes</t>
        </is>
      </c>
      <c r="C755" t="inlineStr">
        <is>
          <t>3142032102</t>
        </is>
      </c>
      <c r="D755" t="inlineStr">
        <is>
          <t>jose.espinosa20@yahoo.com</t>
        </is>
      </c>
      <c r="E755" t="inlineStr">
        <is>
          <t>Itagüí</t>
        </is>
      </c>
      <c r="F755" t="inlineStr">
        <is>
          <t>PRY-008</t>
        </is>
      </c>
      <c r="G755" t="inlineStr">
        <is>
          <t>Portal Web</t>
        </is>
      </c>
      <c r="H755" t="inlineStr">
        <is>
          <t>Luis Bedoya</t>
        </is>
      </c>
      <c r="I755" t="inlineStr">
        <is>
          <t>Perdido</t>
        </is>
      </c>
      <c r="J755" s="28" t="n">
        <v>45527</v>
      </c>
      <c r="K755" s="28" t="n">
        <v>45555</v>
      </c>
      <c r="L755" t="inlineStr">
        <is>
          <t>No calificó para crédito</t>
        </is>
      </c>
    </row>
    <row r="756" ht="15.75" customHeight="1" s="25">
      <c r="A756" t="inlineStr">
        <is>
          <t>CLI-0754</t>
        </is>
      </c>
      <c r="B756" t="inlineStr">
        <is>
          <t>Gabriel Londoño Hernández</t>
        </is>
      </c>
      <c r="C756" t="inlineStr">
        <is>
          <t>3235430297</t>
        </is>
      </c>
      <c r="D756" t="inlineStr">
        <is>
          <t>gabriel.londono5@outlook.com</t>
        </is>
      </c>
      <c r="E756" t="inlineStr">
        <is>
          <t>Medellín</t>
        </is>
      </c>
      <c r="F756" t="inlineStr">
        <is>
          <t>PRY-004</t>
        </is>
      </c>
      <c r="G756" t="inlineStr">
        <is>
          <t>Feria Inmobiliaria</t>
        </is>
      </c>
      <c r="H756" t="inlineStr">
        <is>
          <t>Juliana Vélez</t>
        </is>
      </c>
      <c r="I756" t="inlineStr">
        <is>
          <t>Perdido</t>
        </is>
      </c>
      <c r="J756" s="28" t="n">
        <v>45528</v>
      </c>
      <c r="K756" s="28" t="n">
        <v>45581</v>
      </c>
      <c r="L756" t="inlineStr">
        <is>
          <t>Crédito no aprobado</t>
        </is>
      </c>
    </row>
    <row r="757" ht="15.75" customHeight="1" s="25">
      <c r="A757" t="inlineStr">
        <is>
          <t>CLI-0755</t>
        </is>
      </c>
      <c r="B757" t="inlineStr">
        <is>
          <t>Felipe Uribe Marín</t>
        </is>
      </c>
      <c r="C757" t="inlineStr">
        <is>
          <t>3176451618</t>
        </is>
      </c>
      <c r="D757" t="inlineStr">
        <is>
          <t>felipe.uribe99@outlook.com</t>
        </is>
      </c>
      <c r="E757" t="inlineStr">
        <is>
          <t>Itagüí</t>
        </is>
      </c>
      <c r="F757" t="inlineStr">
        <is>
          <t>PRY-005</t>
        </is>
      </c>
      <c r="G757" t="inlineStr">
        <is>
          <t>Instagram</t>
        </is>
      </c>
      <c r="H757" t="inlineStr">
        <is>
          <t>Miguel Salazar</t>
        </is>
      </c>
      <c r="I757" t="inlineStr">
        <is>
          <t>Perdido</t>
        </is>
      </c>
      <c r="J757" s="28" t="n">
        <v>45528</v>
      </c>
      <c r="K757" s="28" t="n">
        <v>45644</v>
      </c>
      <c r="L757" t="inlineStr">
        <is>
          <t>Cambió de ciudad</t>
        </is>
      </c>
    </row>
    <row r="758" ht="15.75" customHeight="1" s="25">
      <c r="A758" t="inlineStr">
        <is>
          <t>CLI-0756</t>
        </is>
      </c>
      <c r="B758" t="inlineStr">
        <is>
          <t>Simón Gómez Jaramillo</t>
        </is>
      </c>
      <c r="C758" t="inlineStr">
        <is>
          <t>3229302152</t>
        </is>
      </c>
      <c r="D758" t="inlineStr">
        <is>
          <t>simon.gomez96@hotmail.com</t>
        </is>
      </c>
      <c r="E758" t="inlineStr">
        <is>
          <t>Envigado</t>
        </is>
      </c>
      <c r="F758" t="inlineStr">
        <is>
          <t>PRY-007</t>
        </is>
      </c>
      <c r="G758" t="inlineStr">
        <is>
          <t>Referido</t>
        </is>
      </c>
      <c r="H758" t="inlineStr">
        <is>
          <t>Miguel Salazar</t>
        </is>
      </c>
      <c r="I758" t="inlineStr">
        <is>
          <t>Ganado</t>
        </is>
      </c>
      <c r="J758" s="28" t="n">
        <v>45528</v>
      </c>
      <c r="K758" s="28" t="n">
        <v>45615</v>
      </c>
      <c r="L758" t="inlineStr">
        <is>
          <t>Compró Apto 403 en Mirador de Envigado</t>
        </is>
      </c>
    </row>
    <row r="759" ht="15.75" customHeight="1" s="25">
      <c r="A759" t="inlineStr">
        <is>
          <t>CLI-0757</t>
        </is>
      </c>
      <c r="B759" t="inlineStr">
        <is>
          <t>Rodrigo López Rojas</t>
        </is>
      </c>
      <c r="C759" t="inlineStr">
        <is>
          <t>3139739887</t>
        </is>
      </c>
      <c r="D759" t="inlineStr">
        <is>
          <t>rodrigo.lopez18@outlook.com</t>
        </is>
      </c>
      <c r="E759" t="inlineStr">
        <is>
          <t>La Estrella</t>
        </is>
      </c>
      <c r="F759" t="inlineStr">
        <is>
          <t>PRY-002</t>
        </is>
      </c>
      <c r="G759" t="inlineStr">
        <is>
          <t>Portal Web</t>
        </is>
      </c>
      <c r="H759" t="inlineStr">
        <is>
          <t>Luis Bedoya</t>
        </is>
      </c>
      <c r="I759" t="inlineStr">
        <is>
          <t>Perdido</t>
        </is>
      </c>
      <c r="J759" s="28" t="n">
        <v>45528</v>
      </c>
      <c r="K759" s="28" t="n">
        <v>45550</v>
      </c>
      <c r="L759" t="inlineStr">
        <is>
          <t>Sin respuesta tras 3 contactos</t>
        </is>
      </c>
    </row>
    <row r="760" ht="15.75" customHeight="1" s="25">
      <c r="A760" t="inlineStr">
        <is>
          <t>CLI-0758</t>
        </is>
      </c>
      <c r="B760" t="inlineStr">
        <is>
          <t>Paola Correa Arango</t>
        </is>
      </c>
      <c r="C760" t="inlineStr">
        <is>
          <t>3011255435</t>
        </is>
      </c>
      <c r="D760" t="inlineStr">
        <is>
          <t>paola.correa46@hotmail.com</t>
        </is>
      </c>
      <c r="E760" t="inlineStr">
        <is>
          <t>Rionegro</t>
        </is>
      </c>
      <c r="F760" t="inlineStr">
        <is>
          <t>PRY-005</t>
        </is>
      </c>
      <c r="G760" t="inlineStr">
        <is>
          <t>Llamada directa</t>
        </is>
      </c>
      <c r="H760" t="inlineStr">
        <is>
          <t>Santiago Muñoz</t>
        </is>
      </c>
      <c r="I760" t="inlineStr">
        <is>
          <t>Perdido</t>
        </is>
      </c>
      <c r="J760" s="28" t="n">
        <v>45528</v>
      </c>
      <c r="K760" s="28" t="n">
        <v>45551</v>
      </c>
      <c r="L760" t="inlineStr">
        <is>
          <t>Buscaba arriendo, no compra</t>
        </is>
      </c>
    </row>
    <row r="761" ht="15.75" customHeight="1" s="25">
      <c r="A761" t="inlineStr">
        <is>
          <t>CLI-0759</t>
        </is>
      </c>
      <c r="B761" t="inlineStr">
        <is>
          <t>Catalina Montoya Giraldo</t>
        </is>
      </c>
      <c r="C761" t="inlineStr">
        <is>
          <t>3002563457</t>
        </is>
      </c>
      <c r="D761" t="inlineStr">
        <is>
          <t>catalina.montoya85@hotmail.com</t>
        </is>
      </c>
      <c r="E761" t="inlineStr">
        <is>
          <t>Rionegro</t>
        </is>
      </c>
      <c r="F761" t="inlineStr">
        <is>
          <t>PRY-005</t>
        </is>
      </c>
      <c r="G761" t="inlineStr">
        <is>
          <t>Llamada directa</t>
        </is>
      </c>
      <c r="H761" t="inlineStr">
        <is>
          <t>Ana Quintero</t>
        </is>
      </c>
      <c r="I761" t="inlineStr">
        <is>
          <t>Perdido</t>
        </is>
      </c>
      <c r="J761" s="28" t="n">
        <v>45528</v>
      </c>
      <c r="K761" s="28" t="n">
        <v>45534</v>
      </c>
      <c r="L761" t="inlineStr">
        <is>
          <t>Sin respuesta tras 3 contactos</t>
        </is>
      </c>
    </row>
    <row r="762" ht="15.75" customHeight="1" s="25">
      <c r="A762" t="inlineStr">
        <is>
          <t>CLI-0760</t>
        </is>
      </c>
      <c r="B762" t="inlineStr">
        <is>
          <t>Mariana Ramírez Vargas</t>
        </is>
      </c>
      <c r="C762" t="inlineStr">
        <is>
          <t>3226545001</t>
        </is>
      </c>
      <c r="D762" t="inlineStr">
        <is>
          <t>mariana.ramirez76@yahoo.com</t>
        </is>
      </c>
      <c r="E762" t="inlineStr">
        <is>
          <t>Rionegro</t>
        </is>
      </c>
      <c r="F762" t="inlineStr">
        <is>
          <t>PRY-005</t>
        </is>
      </c>
      <c r="G762" t="inlineStr">
        <is>
          <t>Facebook</t>
        </is>
      </c>
      <c r="H762" t="inlineStr">
        <is>
          <t>Paula Arenas</t>
        </is>
      </c>
      <c r="I762" t="inlineStr">
        <is>
          <t>Ganado</t>
        </is>
      </c>
      <c r="J762" s="28" t="n">
        <v>45529</v>
      </c>
      <c r="K762" s="28" t="n">
        <v>45610</v>
      </c>
      <c r="L762" t="inlineStr">
        <is>
          <t>Compró Apto 301 en Ciudadela Rionegro</t>
        </is>
      </c>
    </row>
    <row r="763" ht="15.75" customHeight="1" s="25">
      <c r="A763" t="inlineStr">
        <is>
          <t>CLI-0761</t>
        </is>
      </c>
      <c r="B763" t="inlineStr">
        <is>
          <t>Felipe Duque Cardona</t>
        </is>
      </c>
      <c r="C763" t="inlineStr">
        <is>
          <t>3048175364</t>
        </is>
      </c>
      <c r="D763" t="inlineStr">
        <is>
          <t>felipe.duque72@gmail.com</t>
        </is>
      </c>
      <c r="E763" t="inlineStr">
        <is>
          <t>Medellín</t>
        </is>
      </c>
      <c r="F763" t="inlineStr">
        <is>
          <t>PRY-001</t>
        </is>
      </c>
      <c r="G763" t="inlineStr">
        <is>
          <t>Portal Web</t>
        </is>
      </c>
      <c r="H763" t="inlineStr">
        <is>
          <t>Miguel Salazar</t>
        </is>
      </c>
      <c r="I763" t="inlineStr">
        <is>
          <t>Ganado</t>
        </is>
      </c>
      <c r="J763" s="28" t="n">
        <v>45529</v>
      </c>
      <c r="K763" s="28" t="n">
        <v>45634</v>
      </c>
      <c r="L763" t="inlineStr">
        <is>
          <t>Compró Apto 702 en Torres del Poblado</t>
        </is>
      </c>
    </row>
    <row r="764" ht="15.75" customHeight="1" s="25">
      <c r="A764" t="inlineStr">
        <is>
          <t>CLI-0762</t>
        </is>
      </c>
      <c r="B764" t="inlineStr">
        <is>
          <t>Isabel Peláez Franco</t>
        </is>
      </c>
      <c r="C764" t="inlineStr">
        <is>
          <t>3207951934</t>
        </is>
      </c>
      <c r="D764" t="inlineStr">
        <is>
          <t>isabel.pelaez62@outlook.com</t>
        </is>
      </c>
      <c r="E764" t="inlineStr">
        <is>
          <t>Rionegro</t>
        </is>
      </c>
      <c r="F764" t="inlineStr">
        <is>
          <t>PRY-007</t>
        </is>
      </c>
      <c r="G764" t="inlineStr">
        <is>
          <t>Feria Inmobiliaria</t>
        </is>
      </c>
      <c r="H764" t="inlineStr">
        <is>
          <t>Ana Quintero</t>
        </is>
      </c>
      <c r="I764" t="inlineStr">
        <is>
          <t>Ganado</t>
        </is>
      </c>
      <c r="J764" s="28" t="n">
        <v>45529</v>
      </c>
      <c r="K764" s="28" t="n">
        <v>45632</v>
      </c>
      <c r="L764" t="inlineStr">
        <is>
          <t>Compró Apto 1205 en Mirador de Envigado</t>
        </is>
      </c>
    </row>
    <row r="765" ht="15.75" customHeight="1" s="25">
      <c r="A765" t="inlineStr">
        <is>
          <t>CLI-0763</t>
        </is>
      </c>
      <c r="B765" t="inlineStr">
        <is>
          <t>Sofía Bedoya Henao</t>
        </is>
      </c>
      <c r="C765" t="inlineStr">
        <is>
          <t>3004033620</t>
        </is>
      </c>
      <c r="D765" t="inlineStr">
        <is>
          <t>sofia.bedoya71@yahoo.com</t>
        </is>
      </c>
      <c r="E765" t="inlineStr">
        <is>
          <t>Medellín</t>
        </is>
      </c>
      <c r="F765" t="inlineStr">
        <is>
          <t>PRY-001</t>
        </is>
      </c>
      <c r="G765" t="inlineStr">
        <is>
          <t>Instagram</t>
        </is>
      </c>
      <c r="H765" t="inlineStr">
        <is>
          <t>Santiago Muñoz</t>
        </is>
      </c>
      <c r="I765" t="inlineStr">
        <is>
          <t>Perdido</t>
        </is>
      </c>
      <c r="J765" s="28" t="n">
        <v>45529</v>
      </c>
      <c r="K765" s="28" t="n">
        <v>45534</v>
      </c>
      <c r="L765" t="inlineStr">
        <is>
          <t>Datos de contacto errados</t>
        </is>
      </c>
    </row>
    <row r="766" ht="15.75" customHeight="1" s="25">
      <c r="A766" t="inlineStr">
        <is>
          <t>CLI-0764</t>
        </is>
      </c>
      <c r="B766" t="inlineStr">
        <is>
          <t>Wilson Castaño Valencia</t>
        </is>
      </c>
      <c r="C766" t="inlineStr">
        <is>
          <t>3154825431</t>
        </is>
      </c>
      <c r="D766" t="inlineStr">
        <is>
          <t>wilson.castano50@yahoo.com</t>
        </is>
      </c>
      <c r="E766" t="inlineStr">
        <is>
          <t>Medellín</t>
        </is>
      </c>
      <c r="F766" t="inlineStr">
        <is>
          <t>PRY-005</t>
        </is>
      </c>
      <c r="G766" t="inlineStr">
        <is>
          <t>Portal Web</t>
        </is>
      </c>
      <c r="H766" t="inlineStr">
        <is>
          <t>Ana Quintero</t>
        </is>
      </c>
      <c r="I766" t="inlineStr">
        <is>
          <t>Perdido</t>
        </is>
      </c>
      <c r="J766" s="28" t="n">
        <v>45529</v>
      </c>
      <c r="K766" s="28" t="n">
        <v>45544</v>
      </c>
      <c r="L766" t="inlineStr">
        <is>
          <t>Datos de contacto errados</t>
        </is>
      </c>
    </row>
    <row r="767" ht="15.75" customHeight="1" s="25">
      <c r="A767" t="inlineStr">
        <is>
          <t>CLI-0765</t>
        </is>
      </c>
      <c r="B767" t="inlineStr">
        <is>
          <t>Ximena Peláez Franco</t>
        </is>
      </c>
      <c r="C767" t="inlineStr">
        <is>
          <t>3134879559</t>
        </is>
      </c>
      <c r="D767" t="inlineStr">
        <is>
          <t>ximena.pelaez96@hotmail.com</t>
        </is>
      </c>
      <c r="E767" t="inlineStr">
        <is>
          <t>Envigado</t>
        </is>
      </c>
      <c r="F767" t="inlineStr">
        <is>
          <t>PRY-004</t>
        </is>
      </c>
      <c r="G767" t="inlineStr">
        <is>
          <t>Instagram</t>
        </is>
      </c>
      <c r="H767" t="inlineStr">
        <is>
          <t>Miguel Salazar</t>
        </is>
      </c>
      <c r="I767" t="inlineStr">
        <is>
          <t>Perdido</t>
        </is>
      </c>
      <c r="J767" s="28" t="n">
        <v>45529</v>
      </c>
      <c r="K767" s="28" t="n">
        <v>45548</v>
      </c>
      <c r="L767" t="inlineStr">
        <is>
          <t>Sin respuesta tras 3 contactos</t>
        </is>
      </c>
    </row>
    <row r="768" ht="15.75" customHeight="1" s="25">
      <c r="A768" t="inlineStr">
        <is>
          <t>CLI-0766</t>
        </is>
      </c>
      <c r="B768" t="inlineStr">
        <is>
          <t>Wilson Pérez Londoño</t>
        </is>
      </c>
      <c r="C768" t="inlineStr">
        <is>
          <t>3158285877</t>
        </is>
      </c>
      <c r="D768" t="inlineStr">
        <is>
          <t>wilson.perez15@gmail.com</t>
        </is>
      </c>
      <c r="E768" t="inlineStr">
        <is>
          <t>Medellín</t>
        </is>
      </c>
      <c r="F768" t="inlineStr">
        <is>
          <t>PRY-001</t>
        </is>
      </c>
      <c r="G768" t="inlineStr">
        <is>
          <t>Portal Web</t>
        </is>
      </c>
      <c r="H768" t="inlineStr">
        <is>
          <t>Luis Bedoya</t>
        </is>
      </c>
      <c r="I768" t="inlineStr">
        <is>
          <t>Ganado</t>
        </is>
      </c>
      <c r="J768" s="28" t="n">
        <v>45530</v>
      </c>
      <c r="K768" s="28" t="n">
        <v>45652</v>
      </c>
      <c r="L768" t="inlineStr">
        <is>
          <t>Compró Apto 1301 en Torres del Poblado</t>
        </is>
      </c>
    </row>
    <row r="769" ht="15.75" customHeight="1" s="25">
      <c r="A769" t="inlineStr">
        <is>
          <t>CLI-0767</t>
        </is>
      </c>
      <c r="B769" t="inlineStr">
        <is>
          <t>Daniela Quintero Montoya</t>
        </is>
      </c>
      <c r="C769" t="inlineStr">
        <is>
          <t>3228328783</t>
        </is>
      </c>
      <c r="D769" t="inlineStr">
        <is>
          <t>daniela.quintero40@yahoo.com</t>
        </is>
      </c>
      <c r="E769" t="inlineStr">
        <is>
          <t>Medellín</t>
        </is>
      </c>
      <c r="F769" t="inlineStr">
        <is>
          <t>PRY-008</t>
        </is>
      </c>
      <c r="G769" t="inlineStr">
        <is>
          <t>Portal Web</t>
        </is>
      </c>
      <c r="H769" t="inlineStr">
        <is>
          <t>Sofía Prada</t>
        </is>
      </c>
      <c r="I769" t="inlineStr">
        <is>
          <t>Perdido</t>
        </is>
      </c>
      <c r="J769" s="28" t="n">
        <v>45530</v>
      </c>
      <c r="K769" s="28" t="n">
        <v>45545</v>
      </c>
      <c r="L769" t="inlineStr">
        <is>
          <t>Sin respuesta tras 3 contactos</t>
        </is>
      </c>
    </row>
    <row r="770" ht="15.75" customHeight="1" s="25">
      <c r="A770" t="inlineStr">
        <is>
          <t>CLI-0768</t>
        </is>
      </c>
      <c r="B770" t="inlineStr">
        <is>
          <t>Diana Giraldo Henao</t>
        </is>
      </c>
      <c r="C770" t="inlineStr">
        <is>
          <t>3202602750</t>
        </is>
      </c>
      <c r="D770" t="inlineStr">
        <is>
          <t>diana.giraldo6@gmail.com</t>
        </is>
      </c>
      <c r="E770" t="inlineStr">
        <is>
          <t>Itagüí</t>
        </is>
      </c>
      <c r="F770" t="inlineStr">
        <is>
          <t>PRY-008</t>
        </is>
      </c>
      <c r="G770" t="inlineStr">
        <is>
          <t>Instagram</t>
        </is>
      </c>
      <c r="H770" t="inlineStr">
        <is>
          <t>Ana Quintero</t>
        </is>
      </c>
      <c r="I770" t="inlineStr">
        <is>
          <t>Perdido</t>
        </is>
      </c>
      <c r="J770" s="28" t="n">
        <v>45530</v>
      </c>
      <c r="K770" s="28" t="n">
        <v>45542</v>
      </c>
      <c r="L770" t="inlineStr">
        <is>
          <t>Sin respuesta tras 3 contactos</t>
        </is>
      </c>
    </row>
    <row r="771" ht="15.75" customHeight="1" s="25">
      <c r="A771" t="inlineStr">
        <is>
          <t>CLI-0769</t>
        </is>
      </c>
      <c r="B771" t="inlineStr">
        <is>
          <t>Manuela Quintero Hernández</t>
        </is>
      </c>
      <c r="C771" t="inlineStr">
        <is>
          <t>3044402972</t>
        </is>
      </c>
      <c r="D771" t="inlineStr">
        <is>
          <t>manuela.quintero22@hotmail.com</t>
        </is>
      </c>
      <c r="E771" t="inlineStr">
        <is>
          <t>Medellín</t>
        </is>
      </c>
      <c r="F771" t="inlineStr">
        <is>
          <t>PRY-003</t>
        </is>
      </c>
      <c r="G771" t="inlineStr">
        <is>
          <t>Portal Web</t>
        </is>
      </c>
      <c r="H771" t="inlineStr">
        <is>
          <t>Juliana Vélez</t>
        </is>
      </c>
      <c r="I771" t="inlineStr">
        <is>
          <t>Perdido</t>
        </is>
      </c>
      <c r="J771" s="28" t="n">
        <v>45530</v>
      </c>
      <c r="K771" s="28" t="n">
        <v>45554</v>
      </c>
      <c r="L771" t="inlineStr">
        <is>
          <t>Sin respuesta tras 3 contactos</t>
        </is>
      </c>
    </row>
    <row r="772" ht="15.75" customHeight="1" s="25">
      <c r="A772" t="inlineStr">
        <is>
          <t>CLI-0770</t>
        </is>
      </c>
      <c r="B772" t="inlineStr">
        <is>
          <t>Ricardo Escobar Zapata</t>
        </is>
      </c>
      <c r="C772" t="inlineStr">
        <is>
          <t>3173393966</t>
        </is>
      </c>
      <c r="D772" t="inlineStr">
        <is>
          <t>ricardo.escobar70@hotmail.com</t>
        </is>
      </c>
      <c r="E772" t="inlineStr">
        <is>
          <t>Bello</t>
        </is>
      </c>
      <c r="F772" t="inlineStr">
        <is>
          <t>PRY-008</t>
        </is>
      </c>
      <c r="G772" t="inlineStr">
        <is>
          <t>Feria Inmobiliaria</t>
        </is>
      </c>
      <c r="H772" t="inlineStr">
        <is>
          <t>Luis Bedoya</t>
        </is>
      </c>
      <c r="I772" t="inlineStr">
        <is>
          <t>Perdido</t>
        </is>
      </c>
      <c r="J772" s="28" t="n">
        <v>45530</v>
      </c>
      <c r="K772" s="28" t="n">
        <v>45557</v>
      </c>
      <c r="L772" t="inlineStr">
        <is>
          <t>Presupuesto insuficiente</t>
        </is>
      </c>
    </row>
    <row r="773" ht="15.75" customHeight="1" s="25">
      <c r="A773" t="inlineStr">
        <is>
          <t>CLI-0771</t>
        </is>
      </c>
      <c r="B773" t="inlineStr">
        <is>
          <t>Iván Jaramillo Peláez</t>
        </is>
      </c>
      <c r="C773" t="inlineStr">
        <is>
          <t>3012693174</t>
        </is>
      </c>
      <c r="D773" t="inlineStr">
        <is>
          <t>ivan.jaramillo14@hotmail.com</t>
        </is>
      </c>
      <c r="E773" t="inlineStr">
        <is>
          <t>Sabaneta</t>
        </is>
      </c>
      <c r="F773" t="inlineStr">
        <is>
          <t>PRY-002</t>
        </is>
      </c>
      <c r="G773" t="inlineStr">
        <is>
          <t>Facebook</t>
        </is>
      </c>
      <c r="H773" t="inlineStr">
        <is>
          <t>Andrés Torres</t>
        </is>
      </c>
      <c r="I773" t="inlineStr">
        <is>
          <t>Perdido</t>
        </is>
      </c>
      <c r="J773" s="28" t="n">
        <v>45530</v>
      </c>
      <c r="K773" s="28" t="n">
        <v>45547</v>
      </c>
      <c r="L773" t="inlineStr">
        <is>
          <t>Presupuesto insuficiente</t>
        </is>
      </c>
    </row>
    <row r="774" ht="15.75" customHeight="1" s="25">
      <c r="A774" t="inlineStr">
        <is>
          <t>CLI-0772</t>
        </is>
      </c>
      <c r="B774" t="inlineStr">
        <is>
          <t>Marcela Salazar Sánchez</t>
        </is>
      </c>
      <c r="C774" t="inlineStr">
        <is>
          <t>3224424138</t>
        </is>
      </c>
      <c r="D774" t="inlineStr">
        <is>
          <t>marcela.salazar16@gmail.com</t>
        </is>
      </c>
      <c r="E774" t="inlineStr">
        <is>
          <t>Bello</t>
        </is>
      </c>
      <c r="F774" t="inlineStr">
        <is>
          <t>PRY-001</t>
        </is>
      </c>
      <c r="G774" t="inlineStr">
        <is>
          <t>Portal Web</t>
        </is>
      </c>
      <c r="H774" t="inlineStr">
        <is>
          <t>Miguel Salazar</t>
        </is>
      </c>
      <c r="I774" t="inlineStr">
        <is>
          <t>Perdido</t>
        </is>
      </c>
      <c r="J774" s="28" t="n">
        <v>45530</v>
      </c>
      <c r="K774" s="28" t="n">
        <v>45539</v>
      </c>
      <c r="L774" t="inlineStr">
        <is>
          <t>Sin respuesta tras 3 contactos</t>
        </is>
      </c>
    </row>
    <row r="775" ht="15.75" customHeight="1" s="25">
      <c r="A775" t="inlineStr">
        <is>
          <t>CLI-0773</t>
        </is>
      </c>
      <c r="B775" t="inlineStr">
        <is>
          <t>Wilson Vargas Mejía</t>
        </is>
      </c>
      <c r="C775" t="inlineStr">
        <is>
          <t>3144498901</t>
        </is>
      </c>
      <c r="D775" t="inlineStr">
        <is>
          <t>wilson.vargas41@outlook.com</t>
        </is>
      </c>
      <c r="E775" t="inlineStr">
        <is>
          <t>Medellín</t>
        </is>
      </c>
      <c r="F775" t="inlineStr">
        <is>
          <t>PRY-003</t>
        </is>
      </c>
      <c r="G775" t="inlineStr">
        <is>
          <t>Llamada directa</t>
        </is>
      </c>
      <c r="H775" t="inlineStr">
        <is>
          <t>Andrés Torres</t>
        </is>
      </c>
      <c r="I775" t="inlineStr">
        <is>
          <t>Ganado</t>
        </is>
      </c>
      <c r="J775" s="28" t="n">
        <v>45531</v>
      </c>
      <c r="K775" s="28" t="n">
        <v>45602</v>
      </c>
      <c r="L775" t="inlineStr">
        <is>
          <t>Compró Apto 1503 en Conecta Laureles</t>
        </is>
      </c>
    </row>
    <row r="776" ht="15.75" customHeight="1" s="25">
      <c r="A776" t="inlineStr">
        <is>
          <t>CLI-0774</t>
        </is>
      </c>
      <c r="B776" t="inlineStr">
        <is>
          <t>Andrés Cifuentes Espinosa</t>
        </is>
      </c>
      <c r="C776" t="inlineStr">
        <is>
          <t>3101762552</t>
        </is>
      </c>
      <c r="D776" t="inlineStr">
        <is>
          <t>andres.cifuentes59@gmail.com</t>
        </is>
      </c>
      <c r="E776" t="inlineStr">
        <is>
          <t>Bello</t>
        </is>
      </c>
      <c r="F776" t="inlineStr">
        <is>
          <t>PRY-003</t>
        </is>
      </c>
      <c r="G776" t="inlineStr">
        <is>
          <t>Referido</t>
        </is>
      </c>
      <c r="H776" t="inlineStr">
        <is>
          <t>Sofía Prada</t>
        </is>
      </c>
      <c r="I776" t="inlineStr">
        <is>
          <t>Perdido</t>
        </is>
      </c>
      <c r="J776" s="28" t="n">
        <v>45531</v>
      </c>
      <c r="K776" s="28" t="n">
        <v>45608</v>
      </c>
      <c r="L776" t="inlineStr">
        <is>
          <t>Crédito no aprobado</t>
        </is>
      </c>
    </row>
    <row r="777" ht="15.75" customHeight="1" s="25">
      <c r="A777" t="inlineStr">
        <is>
          <t>CLI-0775</t>
        </is>
      </c>
      <c r="B777" t="inlineStr">
        <is>
          <t>Paula Franco Vargas</t>
        </is>
      </c>
      <c r="C777" t="inlineStr">
        <is>
          <t>3048293340</t>
        </is>
      </c>
      <c r="D777" t="inlineStr">
        <is>
          <t>paula.franco20@hotmail.com</t>
        </is>
      </c>
      <c r="E777" t="inlineStr">
        <is>
          <t>Medellín</t>
        </is>
      </c>
      <c r="F777" t="inlineStr">
        <is>
          <t>PRY-001</t>
        </is>
      </c>
      <c r="G777" t="inlineStr">
        <is>
          <t>Facebook</t>
        </is>
      </c>
      <c r="H777" t="inlineStr">
        <is>
          <t>Sofía Prada</t>
        </is>
      </c>
      <c r="I777" t="inlineStr">
        <is>
          <t>Perdido</t>
        </is>
      </c>
      <c r="J777" s="28" t="n">
        <v>45531</v>
      </c>
      <c r="K777" s="28" t="n">
        <v>45543</v>
      </c>
      <c r="L777" t="inlineStr">
        <is>
          <t>Sin respuesta tras 3 contactos</t>
        </is>
      </c>
    </row>
    <row r="778" ht="15.75" customHeight="1" s="25">
      <c r="A778" t="inlineStr">
        <is>
          <t>CLI-0776</t>
        </is>
      </c>
      <c r="B778" t="inlineStr">
        <is>
          <t>Luisa Duque Peláez</t>
        </is>
      </c>
      <c r="C778" t="inlineStr">
        <is>
          <t>3247873683</t>
        </is>
      </c>
      <c r="D778" t="inlineStr">
        <is>
          <t>luisa.duque81@yahoo.com</t>
        </is>
      </c>
      <c r="E778" t="inlineStr">
        <is>
          <t>Itagüí</t>
        </is>
      </c>
      <c r="F778" t="inlineStr">
        <is>
          <t>PRY-008</t>
        </is>
      </c>
      <c r="G778" t="inlineStr">
        <is>
          <t>Portal Web</t>
        </is>
      </c>
      <c r="H778" t="inlineStr">
        <is>
          <t>Santiago Muñoz</t>
        </is>
      </c>
      <c r="I778" t="inlineStr">
        <is>
          <t>Ganado</t>
        </is>
      </c>
      <c r="J778" s="28" t="n">
        <v>45533</v>
      </c>
      <c r="K778" s="28" t="n">
        <v>45622</v>
      </c>
      <c r="L778" t="inlineStr">
        <is>
          <t>Compró Casa 53 en Valle Verde Itagüí</t>
        </is>
      </c>
    </row>
    <row r="779" ht="15.75" customHeight="1" s="25">
      <c r="A779" t="inlineStr">
        <is>
          <t>CLI-0777</t>
        </is>
      </c>
      <c r="B779" t="inlineStr">
        <is>
          <t>Sara Arango Franco</t>
        </is>
      </c>
      <c r="C779" t="inlineStr">
        <is>
          <t>3222467569</t>
        </is>
      </c>
      <c r="D779" t="inlineStr">
        <is>
          <t>sara.arango5@gmail.com</t>
        </is>
      </c>
      <c r="E779" t="inlineStr">
        <is>
          <t>Medellín</t>
        </is>
      </c>
      <c r="F779" t="inlineStr">
        <is>
          <t>PRY-002</t>
        </is>
      </c>
      <c r="G779" t="inlineStr">
        <is>
          <t>Portal Web</t>
        </is>
      </c>
      <c r="H779" t="inlineStr">
        <is>
          <t>Sofía Prada</t>
        </is>
      </c>
      <c r="I779" t="inlineStr">
        <is>
          <t>Perdido</t>
        </is>
      </c>
      <c r="J779" s="28" t="n">
        <v>45533</v>
      </c>
      <c r="K779" s="28" t="n">
        <v>45543</v>
      </c>
      <c r="L779" t="inlineStr">
        <is>
          <t>Buscaba arriendo, no compra</t>
        </is>
      </c>
    </row>
    <row r="780" ht="15.75" customHeight="1" s="25">
      <c r="A780" t="inlineStr">
        <is>
          <t>CLI-0778</t>
        </is>
      </c>
      <c r="B780" t="inlineStr">
        <is>
          <t>Patricia Muñoz Betancur</t>
        </is>
      </c>
      <c r="C780" t="inlineStr">
        <is>
          <t>3145667068</t>
        </is>
      </c>
      <c r="D780" t="inlineStr">
        <is>
          <t>patricia.munoz2@yahoo.com</t>
        </is>
      </c>
      <c r="E780" t="inlineStr">
        <is>
          <t>La Estrella</t>
        </is>
      </c>
      <c r="F780" t="inlineStr">
        <is>
          <t>PRY-003</t>
        </is>
      </c>
      <c r="G780" t="inlineStr">
        <is>
          <t>Portal Web</t>
        </is>
      </c>
      <c r="H780" t="inlineStr">
        <is>
          <t>Luis Bedoya</t>
        </is>
      </c>
      <c r="I780" t="inlineStr">
        <is>
          <t>Perdido</t>
        </is>
      </c>
      <c r="J780" s="28" t="n">
        <v>45533</v>
      </c>
      <c r="K780" s="28" t="n">
        <v>45546</v>
      </c>
      <c r="L780" t="inlineStr">
        <is>
          <t>Buscaba arriendo, no compra</t>
        </is>
      </c>
    </row>
    <row r="781" ht="15.75" customHeight="1" s="25">
      <c r="A781" t="inlineStr">
        <is>
          <t>CLI-0779</t>
        </is>
      </c>
      <c r="B781" t="inlineStr">
        <is>
          <t>Marcela Osorio Higuita</t>
        </is>
      </c>
      <c r="C781" t="inlineStr">
        <is>
          <t>3246546087</t>
        </is>
      </c>
      <c r="D781" t="inlineStr">
        <is>
          <t>marcela.osorio93@gmail.com</t>
        </is>
      </c>
      <c r="E781" t="inlineStr">
        <is>
          <t>Medellín</t>
        </is>
      </c>
      <c r="F781" t="inlineStr">
        <is>
          <t>PRY-003</t>
        </is>
      </c>
      <c r="G781" t="inlineStr">
        <is>
          <t>Portal Web</t>
        </is>
      </c>
      <c r="H781" t="inlineStr">
        <is>
          <t>Paula Arenas</t>
        </is>
      </c>
      <c r="I781" t="inlineStr">
        <is>
          <t>Perdido</t>
        </is>
      </c>
      <c r="J781" s="28" t="n">
        <v>45534</v>
      </c>
      <c r="K781" s="28" t="n">
        <v>45544</v>
      </c>
      <c r="L781" t="inlineStr">
        <is>
          <t>Sin respuesta tras 3 contactos</t>
        </is>
      </c>
    </row>
    <row r="782" ht="15.75" customHeight="1" s="25">
      <c r="A782" t="inlineStr">
        <is>
          <t>CLI-0780</t>
        </is>
      </c>
      <c r="B782" t="inlineStr">
        <is>
          <t>Laura Zapata Muñoz</t>
        </is>
      </c>
      <c r="C782" t="inlineStr">
        <is>
          <t>3157588366</t>
        </is>
      </c>
      <c r="D782" t="inlineStr">
        <is>
          <t>laura.zapata95@outlook.com</t>
        </is>
      </c>
      <c r="E782" t="inlineStr">
        <is>
          <t>Medellín</t>
        </is>
      </c>
      <c r="F782" t="inlineStr">
        <is>
          <t>PRY-003</t>
        </is>
      </c>
      <c r="G782" t="inlineStr">
        <is>
          <t>Portal Web</t>
        </is>
      </c>
      <c r="H782" t="inlineStr">
        <is>
          <t>Ana Quintero</t>
        </is>
      </c>
      <c r="I782" t="inlineStr">
        <is>
          <t>Ganado</t>
        </is>
      </c>
      <c r="J782" s="28" t="n">
        <v>45535</v>
      </c>
      <c r="K782" s="28" t="n">
        <v>45662</v>
      </c>
      <c r="L782" t="inlineStr">
        <is>
          <t>Compró Apto 2308 en Conecta Laureles</t>
        </is>
      </c>
    </row>
    <row r="783" ht="15.75" customHeight="1" s="25">
      <c r="A783" t="inlineStr">
        <is>
          <t>CLI-0781</t>
        </is>
      </c>
      <c r="B783" t="inlineStr">
        <is>
          <t>Carolina Uribe Salcedo</t>
        </is>
      </c>
      <c r="C783" t="inlineStr">
        <is>
          <t>3172023037</t>
        </is>
      </c>
      <c r="D783" t="inlineStr">
        <is>
          <t>carolina.uribe82@outlook.com</t>
        </is>
      </c>
      <c r="E783" t="inlineStr">
        <is>
          <t>Sabaneta</t>
        </is>
      </c>
      <c r="F783" t="inlineStr">
        <is>
          <t>PRY-005</t>
        </is>
      </c>
      <c r="G783" t="inlineStr">
        <is>
          <t>Llamada directa</t>
        </is>
      </c>
      <c r="H783" t="inlineStr">
        <is>
          <t>Juliana Vélez</t>
        </is>
      </c>
      <c r="I783" t="inlineStr">
        <is>
          <t>Perdido</t>
        </is>
      </c>
      <c r="J783" s="28" t="n">
        <v>45535</v>
      </c>
      <c r="K783" s="28" t="n">
        <v>45558</v>
      </c>
      <c r="L783" t="inlineStr">
        <is>
          <t>Buscaba arriendo, no compra</t>
        </is>
      </c>
    </row>
    <row r="784" ht="15.75" customHeight="1" s="25">
      <c r="A784" t="inlineStr">
        <is>
          <t>CLI-0782</t>
        </is>
      </c>
      <c r="B784" t="inlineStr">
        <is>
          <t>Fernando Agudelo Cardona</t>
        </is>
      </c>
      <c r="C784" t="inlineStr">
        <is>
          <t>3005894047</t>
        </is>
      </c>
      <c r="D784" t="inlineStr">
        <is>
          <t>fernando.agudelo90@outlook.com</t>
        </is>
      </c>
      <c r="E784" t="inlineStr">
        <is>
          <t>Sabaneta</t>
        </is>
      </c>
      <c r="F784" t="inlineStr">
        <is>
          <t>PRY-008</t>
        </is>
      </c>
      <c r="G784" t="inlineStr">
        <is>
          <t>Portal Web</t>
        </is>
      </c>
      <c r="H784" t="inlineStr">
        <is>
          <t>Ana Quintero</t>
        </is>
      </c>
      <c r="I784" t="inlineStr">
        <is>
          <t>Perdido</t>
        </is>
      </c>
      <c r="J784" s="28" t="n">
        <v>45535</v>
      </c>
      <c r="K784" s="28" t="n">
        <v>45547</v>
      </c>
      <c r="L784" t="inlineStr">
        <is>
          <t>Sin respuesta tras 3 contactos</t>
        </is>
      </c>
    </row>
    <row r="785" ht="15.75" customHeight="1" s="25">
      <c r="A785" t="inlineStr">
        <is>
          <t>CLI-0783</t>
        </is>
      </c>
      <c r="B785" t="inlineStr">
        <is>
          <t>Daniel Higuita Ochoa</t>
        </is>
      </c>
      <c r="C785" t="inlineStr">
        <is>
          <t>3004318202</t>
        </is>
      </c>
      <c r="D785" t="inlineStr">
        <is>
          <t>daniel.higuita22@hotmail.com</t>
        </is>
      </c>
      <c r="E785" t="inlineStr">
        <is>
          <t>Envigado</t>
        </is>
      </c>
      <c r="F785" t="inlineStr">
        <is>
          <t>PRY-007</t>
        </is>
      </c>
      <c r="G785" t="inlineStr">
        <is>
          <t>Llamada directa</t>
        </is>
      </c>
      <c r="H785" t="inlineStr">
        <is>
          <t>Sofía Prada</t>
        </is>
      </c>
      <c r="I785" t="inlineStr">
        <is>
          <t>Perdido</t>
        </is>
      </c>
      <c r="J785" s="28" t="n">
        <v>45536</v>
      </c>
      <c r="K785" s="28" t="n">
        <v>45655</v>
      </c>
      <c r="L785" t="inlineStr">
        <is>
          <t>Precio fuera de presupuesto</t>
        </is>
      </c>
    </row>
    <row r="786" ht="15.75" customHeight="1" s="25">
      <c r="A786" t="inlineStr">
        <is>
          <t>CLI-0784</t>
        </is>
      </c>
      <c r="B786" t="inlineStr">
        <is>
          <t>Liliana Marín Escobar</t>
        </is>
      </c>
      <c r="C786" t="inlineStr">
        <is>
          <t>3222572234</t>
        </is>
      </c>
      <c r="D786" t="inlineStr">
        <is>
          <t>liliana.marin17@gmail.com</t>
        </is>
      </c>
      <c r="E786" t="inlineStr">
        <is>
          <t>Rionegro</t>
        </is>
      </c>
      <c r="F786" t="inlineStr">
        <is>
          <t>PRY-005</t>
        </is>
      </c>
      <c r="G786" t="inlineStr">
        <is>
          <t>Portal Web</t>
        </is>
      </c>
      <c r="H786" t="inlineStr">
        <is>
          <t>Santiago Muñoz</t>
        </is>
      </c>
      <c r="I786" t="inlineStr">
        <is>
          <t>Perdido</t>
        </is>
      </c>
      <c r="J786" s="28" t="n">
        <v>45536</v>
      </c>
      <c r="K786" s="28" t="n">
        <v>45549</v>
      </c>
      <c r="L786" t="inlineStr">
        <is>
          <t>Datos de contacto errados</t>
        </is>
      </c>
    </row>
    <row r="787" ht="15.75" customHeight="1" s="25">
      <c r="A787" t="inlineStr">
        <is>
          <t>CLI-0785</t>
        </is>
      </c>
      <c r="B787" t="inlineStr">
        <is>
          <t>Nicolás Restrepo Marín</t>
        </is>
      </c>
      <c r="C787" t="inlineStr">
        <is>
          <t>3221426703</t>
        </is>
      </c>
      <c r="D787" t="inlineStr">
        <is>
          <t>nicolas.restrepo83@outlook.com</t>
        </is>
      </c>
      <c r="E787" t="inlineStr">
        <is>
          <t>Medellín</t>
        </is>
      </c>
      <c r="F787" t="inlineStr">
        <is>
          <t>PRY-003</t>
        </is>
      </c>
      <c r="G787" t="inlineStr">
        <is>
          <t>Referido</t>
        </is>
      </c>
      <c r="H787" t="inlineStr">
        <is>
          <t>Andrés Torres</t>
        </is>
      </c>
      <c r="I787" t="inlineStr">
        <is>
          <t>Ganado</t>
        </is>
      </c>
      <c r="J787" s="28" t="n">
        <v>45537</v>
      </c>
      <c r="K787" s="28" t="n">
        <v>45622</v>
      </c>
      <c r="L787" t="inlineStr">
        <is>
          <t>Compró Apto 2108 en Conecta Laureles</t>
        </is>
      </c>
    </row>
    <row r="788" ht="15.75" customHeight="1" s="25">
      <c r="A788" t="inlineStr">
        <is>
          <t>CLI-0786</t>
        </is>
      </c>
      <c r="B788" t="inlineStr">
        <is>
          <t>Sofía López Agudelo</t>
        </is>
      </c>
      <c r="C788" t="inlineStr">
        <is>
          <t>3141960045</t>
        </is>
      </c>
      <c r="D788" t="inlineStr">
        <is>
          <t>sofia.lopez26@yahoo.com</t>
        </is>
      </c>
      <c r="E788" t="inlineStr">
        <is>
          <t>Medellín</t>
        </is>
      </c>
      <c r="F788" t="inlineStr">
        <is>
          <t>PRY-008</t>
        </is>
      </c>
      <c r="G788" t="inlineStr">
        <is>
          <t>Portal Web</t>
        </is>
      </c>
      <c r="H788" t="inlineStr">
        <is>
          <t>Juliana Vélez</t>
        </is>
      </c>
      <c r="I788" t="inlineStr">
        <is>
          <t>Perdido</t>
        </is>
      </c>
      <c r="J788" s="28" t="n">
        <v>45537</v>
      </c>
      <c r="K788" s="28" t="n">
        <v>45545</v>
      </c>
      <c r="L788" t="inlineStr">
        <is>
          <t>No calificó para crédito</t>
        </is>
      </c>
    </row>
    <row r="789" ht="15.75" customHeight="1" s="25">
      <c r="A789" t="inlineStr">
        <is>
          <t>CLI-0787</t>
        </is>
      </c>
      <c r="B789" t="inlineStr">
        <is>
          <t>Manuela Arango Montoya</t>
        </is>
      </c>
      <c r="C789" t="inlineStr">
        <is>
          <t>3137194184</t>
        </is>
      </c>
      <c r="D789" t="inlineStr">
        <is>
          <t>manuela.arango42@gmail.com</t>
        </is>
      </c>
      <c r="E789" t="inlineStr">
        <is>
          <t>Medellín</t>
        </is>
      </c>
      <c r="F789" t="inlineStr">
        <is>
          <t>PRY-003</t>
        </is>
      </c>
      <c r="G789" t="inlineStr">
        <is>
          <t>Portal Web</t>
        </is>
      </c>
      <c r="H789" t="inlineStr">
        <is>
          <t>Miguel Salazar</t>
        </is>
      </c>
      <c r="I789" t="inlineStr">
        <is>
          <t>Perdido</t>
        </is>
      </c>
      <c r="J789" s="28" t="n">
        <v>45537</v>
      </c>
      <c r="K789" s="28" t="n">
        <v>45550</v>
      </c>
      <c r="L789" t="inlineStr">
        <is>
          <t>Presupuesto insuficiente</t>
        </is>
      </c>
    </row>
    <row r="790" ht="15.75" customHeight="1" s="25">
      <c r="A790" t="inlineStr">
        <is>
          <t>CLI-0788</t>
        </is>
      </c>
      <c r="B790" t="inlineStr">
        <is>
          <t>Gloria Cardona Montoya</t>
        </is>
      </c>
      <c r="C790" t="inlineStr">
        <is>
          <t>3004572854</t>
        </is>
      </c>
      <c r="D790" t="inlineStr">
        <is>
          <t>gloria.cardona28@gmail.com</t>
        </is>
      </c>
      <c r="E790" t="inlineStr">
        <is>
          <t>Envigado</t>
        </is>
      </c>
      <c r="F790" t="inlineStr">
        <is>
          <t>PRY-007</t>
        </is>
      </c>
      <c r="G790" t="inlineStr">
        <is>
          <t>Facebook</t>
        </is>
      </c>
      <c r="H790" t="inlineStr">
        <is>
          <t>Ana Quintero</t>
        </is>
      </c>
      <c r="I790" t="inlineStr">
        <is>
          <t>Perdido</t>
        </is>
      </c>
      <c r="J790" s="28" t="n">
        <v>45537</v>
      </c>
      <c r="K790" s="28" t="n">
        <v>45546</v>
      </c>
      <c r="L790" t="inlineStr">
        <is>
          <t>Datos de contacto errados</t>
        </is>
      </c>
    </row>
    <row r="791" ht="15.75" customHeight="1" s="25">
      <c r="A791" t="inlineStr">
        <is>
          <t>CLI-0789</t>
        </is>
      </c>
      <c r="B791" t="inlineStr">
        <is>
          <t>Catalina Quintero Ochoa</t>
        </is>
      </c>
      <c r="C791" t="inlineStr">
        <is>
          <t>3145294207</t>
        </is>
      </c>
      <c r="D791" t="inlineStr">
        <is>
          <t>catalina.quintero86@yahoo.com</t>
        </is>
      </c>
      <c r="E791" t="inlineStr">
        <is>
          <t>Itagüí</t>
        </is>
      </c>
      <c r="F791" t="inlineStr">
        <is>
          <t>PRY-008</t>
        </is>
      </c>
      <c r="G791" t="inlineStr">
        <is>
          <t>Facebook</t>
        </is>
      </c>
      <c r="H791" t="inlineStr">
        <is>
          <t>Luis Bedoya</t>
        </is>
      </c>
      <c r="I791" t="inlineStr">
        <is>
          <t>Perdido</t>
        </is>
      </c>
      <c r="J791" s="28" t="n">
        <v>45537</v>
      </c>
      <c r="K791" s="28" t="n">
        <v>45559</v>
      </c>
      <c r="L791" t="inlineStr">
        <is>
          <t>Buscaba arriendo, no compra</t>
        </is>
      </c>
    </row>
    <row r="792" ht="15.75" customHeight="1" s="25">
      <c r="A792" t="inlineStr">
        <is>
          <t>CLI-0790</t>
        </is>
      </c>
      <c r="B792" t="inlineStr">
        <is>
          <t>Luisa Gómez Echeverri</t>
        </is>
      </c>
      <c r="C792" t="inlineStr">
        <is>
          <t>3209315440</t>
        </is>
      </c>
      <c r="D792" t="inlineStr">
        <is>
          <t>luisa.gomez65@yahoo.com</t>
        </is>
      </c>
      <c r="E792" t="inlineStr">
        <is>
          <t>Itagüí</t>
        </is>
      </c>
      <c r="F792" t="inlineStr">
        <is>
          <t>PRY-008</t>
        </is>
      </c>
      <c r="G792" t="inlineStr">
        <is>
          <t>Instagram</t>
        </is>
      </c>
      <c r="H792" t="inlineStr">
        <is>
          <t>Sofía Prada</t>
        </is>
      </c>
      <c r="I792" t="inlineStr">
        <is>
          <t>Perdido</t>
        </is>
      </c>
      <c r="J792" s="28" t="n">
        <v>45538</v>
      </c>
      <c r="K792" s="28" t="n">
        <v>45591</v>
      </c>
      <c r="L792" t="inlineStr">
        <is>
          <t>Desistió de la compra</t>
        </is>
      </c>
    </row>
    <row r="793" ht="15.75" customHeight="1" s="25">
      <c r="A793" t="inlineStr">
        <is>
          <t>CLI-0791</t>
        </is>
      </c>
      <c r="B793" t="inlineStr">
        <is>
          <t>Alejandra Ochoa Duque</t>
        </is>
      </c>
      <c r="C793" t="inlineStr">
        <is>
          <t>3049913643</t>
        </is>
      </c>
      <c r="D793" t="inlineStr">
        <is>
          <t>alejandra.ochoa60@yahoo.com</t>
        </is>
      </c>
      <c r="E793" t="inlineStr">
        <is>
          <t>Rionegro</t>
        </is>
      </c>
      <c r="F793" t="inlineStr">
        <is>
          <t>PRY-005</t>
        </is>
      </c>
      <c r="G793" t="inlineStr">
        <is>
          <t>Facebook</t>
        </is>
      </c>
      <c r="H793" t="inlineStr">
        <is>
          <t>Paula Arenas</t>
        </is>
      </c>
      <c r="I793" t="inlineStr">
        <is>
          <t>Perdido</t>
        </is>
      </c>
      <c r="J793" s="28" t="n">
        <v>45538</v>
      </c>
      <c r="K793" s="28" t="n">
        <v>45567</v>
      </c>
      <c r="L793" t="inlineStr">
        <is>
          <t>Buscaba arriendo, no compra</t>
        </is>
      </c>
    </row>
    <row r="794" ht="15.75" customHeight="1" s="25">
      <c r="A794" t="inlineStr">
        <is>
          <t>CLI-0792</t>
        </is>
      </c>
      <c r="B794" t="inlineStr">
        <is>
          <t>Carlos Marín Toro</t>
        </is>
      </c>
      <c r="C794" t="inlineStr">
        <is>
          <t>3238266420</t>
        </is>
      </c>
      <c r="D794" t="inlineStr">
        <is>
          <t>carlos.marin47@outlook.com</t>
        </is>
      </c>
      <c r="E794" t="inlineStr">
        <is>
          <t>Medellín</t>
        </is>
      </c>
      <c r="F794" t="inlineStr">
        <is>
          <t>PRY-001</t>
        </is>
      </c>
      <c r="G794" t="inlineStr">
        <is>
          <t>Facebook</t>
        </is>
      </c>
      <c r="H794" t="inlineStr">
        <is>
          <t>Luis Bedoya</t>
        </is>
      </c>
      <c r="I794" t="inlineStr">
        <is>
          <t>Perdido</t>
        </is>
      </c>
      <c r="J794" s="28" t="n">
        <v>45538</v>
      </c>
      <c r="K794" s="28" t="n">
        <v>45567</v>
      </c>
      <c r="L794" t="inlineStr">
        <is>
          <t>Sin respuesta tras 3 contactos</t>
        </is>
      </c>
    </row>
    <row r="795" ht="15.75" customHeight="1" s="25">
      <c r="A795" t="inlineStr">
        <is>
          <t>CLI-0793</t>
        </is>
      </c>
      <c r="B795" t="inlineStr">
        <is>
          <t>Mateo Correa Bedoya</t>
        </is>
      </c>
      <c r="C795" t="inlineStr">
        <is>
          <t>3145334118</t>
        </is>
      </c>
      <c r="D795" t="inlineStr">
        <is>
          <t>mateo.correa21@hotmail.com</t>
        </is>
      </c>
      <c r="E795" t="inlineStr">
        <is>
          <t>Rionegro</t>
        </is>
      </c>
      <c r="F795" t="inlineStr">
        <is>
          <t>PRY-005</t>
        </is>
      </c>
      <c r="G795" t="inlineStr">
        <is>
          <t>Instagram</t>
        </is>
      </c>
      <c r="H795" t="inlineStr">
        <is>
          <t>Juliana Vélez</t>
        </is>
      </c>
      <c r="I795" t="inlineStr">
        <is>
          <t>Perdido</t>
        </is>
      </c>
      <c r="J795" s="28" t="n">
        <v>45538</v>
      </c>
      <c r="K795" s="28" t="n">
        <v>45547</v>
      </c>
      <c r="L795" t="inlineStr">
        <is>
          <t>Buscaba arriendo, no compra</t>
        </is>
      </c>
    </row>
    <row r="796" ht="15.75" customHeight="1" s="25">
      <c r="A796" t="inlineStr">
        <is>
          <t>CLI-0794</t>
        </is>
      </c>
      <c r="B796" t="inlineStr">
        <is>
          <t>Ricardo Ochoa Marín</t>
        </is>
      </c>
      <c r="C796" t="inlineStr">
        <is>
          <t>3249540480</t>
        </is>
      </c>
      <c r="D796" t="inlineStr">
        <is>
          <t>ricardo.ochoa40@hotmail.com</t>
        </is>
      </c>
      <c r="E796" t="inlineStr">
        <is>
          <t>Itagüí</t>
        </is>
      </c>
      <c r="F796" t="inlineStr">
        <is>
          <t>PRY-008</t>
        </is>
      </c>
      <c r="G796" t="inlineStr">
        <is>
          <t>Referido</t>
        </is>
      </c>
      <c r="H796" t="inlineStr">
        <is>
          <t>Ana Quintero</t>
        </is>
      </c>
      <c r="I796" t="inlineStr">
        <is>
          <t>Perdido</t>
        </is>
      </c>
      <c r="J796" s="28" t="n">
        <v>45540</v>
      </c>
      <c r="K796" s="28" t="n">
        <v>45546</v>
      </c>
      <c r="L796" t="inlineStr">
        <is>
          <t>Datos de contacto errados</t>
        </is>
      </c>
    </row>
    <row r="797" ht="15.75" customHeight="1" s="25">
      <c r="A797" t="inlineStr">
        <is>
          <t>CLI-0795</t>
        </is>
      </c>
      <c r="B797" t="inlineStr">
        <is>
          <t>Liliana Valencia Pérez</t>
        </is>
      </c>
      <c r="C797" t="inlineStr">
        <is>
          <t>3017463464</t>
        </is>
      </c>
      <c r="D797" t="inlineStr">
        <is>
          <t>liliana.valencia86@gmail.com</t>
        </is>
      </c>
      <c r="E797" t="inlineStr">
        <is>
          <t>Envigado</t>
        </is>
      </c>
      <c r="F797" t="inlineStr">
        <is>
          <t>PRY-007</t>
        </is>
      </c>
      <c r="G797" t="inlineStr">
        <is>
          <t>Llamada directa</t>
        </is>
      </c>
      <c r="H797" t="inlineStr">
        <is>
          <t>Andrés Torres</t>
        </is>
      </c>
      <c r="I797" t="inlineStr">
        <is>
          <t>Ganado</t>
        </is>
      </c>
      <c r="J797" s="28" t="n">
        <v>45541</v>
      </c>
      <c r="K797" s="28" t="n">
        <v>45672</v>
      </c>
      <c r="L797" t="inlineStr">
        <is>
          <t>Compró Apto 901 en Mirador de Envigado</t>
        </is>
      </c>
    </row>
    <row r="798" ht="15.75" customHeight="1" s="25">
      <c r="A798" t="inlineStr">
        <is>
          <t>CLI-0796</t>
        </is>
      </c>
      <c r="B798" t="inlineStr">
        <is>
          <t>Valeria Muñoz Álvarez</t>
        </is>
      </c>
      <c r="C798" t="inlineStr">
        <is>
          <t>3103258342</t>
        </is>
      </c>
      <c r="D798" t="inlineStr">
        <is>
          <t>valeria.munoz2@hotmail.com</t>
        </is>
      </c>
      <c r="E798" t="inlineStr">
        <is>
          <t>La Estrella</t>
        </is>
      </c>
      <c r="F798" t="inlineStr">
        <is>
          <t>PRY-002</t>
        </is>
      </c>
      <c r="G798" t="inlineStr">
        <is>
          <t>Instagram</t>
        </is>
      </c>
      <c r="H798" t="inlineStr">
        <is>
          <t>Miguel Salazar</t>
        </is>
      </c>
      <c r="I798" t="inlineStr">
        <is>
          <t>Perdido</t>
        </is>
      </c>
      <c r="J798" s="28" t="n">
        <v>45541</v>
      </c>
      <c r="K798" s="28" t="n">
        <v>45562</v>
      </c>
      <c r="L798" t="inlineStr">
        <is>
          <t>No calificó para crédito</t>
        </is>
      </c>
    </row>
    <row r="799" ht="15.75" customHeight="1" s="25">
      <c r="A799" t="inlineStr">
        <is>
          <t>CLI-0797</t>
        </is>
      </c>
      <c r="B799" t="inlineStr">
        <is>
          <t>Mateo Betancur Pérez</t>
        </is>
      </c>
      <c r="C799" t="inlineStr">
        <is>
          <t>3131540900</t>
        </is>
      </c>
      <c r="D799" t="inlineStr">
        <is>
          <t>mateo.betancur71@yahoo.com</t>
        </is>
      </c>
      <c r="E799" t="inlineStr">
        <is>
          <t>Bello</t>
        </is>
      </c>
      <c r="F799" t="inlineStr">
        <is>
          <t>PRY-005</t>
        </is>
      </c>
      <c r="G799" t="inlineStr">
        <is>
          <t>Feria Inmobiliaria</t>
        </is>
      </c>
      <c r="H799" t="inlineStr">
        <is>
          <t>Luis Bedoya</t>
        </is>
      </c>
      <c r="I799" t="inlineStr">
        <is>
          <t>Perdido</t>
        </is>
      </c>
      <c r="J799" s="28" t="n">
        <v>45541</v>
      </c>
      <c r="K799" s="28" t="n">
        <v>45553</v>
      </c>
      <c r="L799" t="inlineStr">
        <is>
          <t>Buscaba arriendo, no compra</t>
        </is>
      </c>
    </row>
    <row r="800" ht="15.75" customHeight="1" s="25">
      <c r="A800" t="inlineStr">
        <is>
          <t>CLI-0798</t>
        </is>
      </c>
      <c r="B800" t="inlineStr">
        <is>
          <t>Carlos Gaviria Agudelo</t>
        </is>
      </c>
      <c r="C800" t="inlineStr">
        <is>
          <t>3133489089</t>
        </is>
      </c>
      <c r="D800" t="inlineStr">
        <is>
          <t>carlos.gaviria33@gmail.com</t>
        </is>
      </c>
      <c r="E800" t="inlineStr">
        <is>
          <t>Medellín</t>
        </is>
      </c>
      <c r="F800" t="inlineStr">
        <is>
          <t>PRY-004</t>
        </is>
      </c>
      <c r="G800" t="inlineStr">
        <is>
          <t>Feria Inmobiliaria</t>
        </is>
      </c>
      <c r="H800" t="inlineStr">
        <is>
          <t>Juliana Vélez</t>
        </is>
      </c>
      <c r="I800" t="inlineStr">
        <is>
          <t>Ganado</t>
        </is>
      </c>
      <c r="J800" s="28" t="n">
        <v>45542</v>
      </c>
      <c r="K800" s="28" t="n">
        <v>45685</v>
      </c>
      <c r="L800" t="inlineStr">
        <is>
          <t>Compró Casa 48 en Altavista Park</t>
        </is>
      </c>
    </row>
    <row r="801" ht="15.75" customHeight="1" s="25">
      <c r="A801" t="inlineStr">
        <is>
          <t>CLI-0799</t>
        </is>
      </c>
      <c r="B801" t="inlineStr">
        <is>
          <t>Juliana Montes Vargas</t>
        </is>
      </c>
      <c r="C801" t="inlineStr">
        <is>
          <t>3001056060</t>
        </is>
      </c>
      <c r="D801" t="inlineStr">
        <is>
          <t>juliana.montes53@outlook.com</t>
        </is>
      </c>
      <c r="E801" t="inlineStr">
        <is>
          <t>Itagüí</t>
        </is>
      </c>
      <c r="F801" t="inlineStr">
        <is>
          <t>PRY-008</t>
        </is>
      </c>
      <c r="G801" t="inlineStr">
        <is>
          <t>Facebook</t>
        </is>
      </c>
      <c r="H801" t="inlineStr">
        <is>
          <t>Ana Quintero</t>
        </is>
      </c>
      <c r="I801" t="inlineStr">
        <is>
          <t>Perdido</t>
        </is>
      </c>
      <c r="J801" s="28" t="n">
        <v>45543</v>
      </c>
      <c r="K801" s="28" t="n">
        <v>45548</v>
      </c>
      <c r="L801" t="inlineStr">
        <is>
          <t>Sin respuesta tras 3 contactos</t>
        </is>
      </c>
    </row>
    <row r="802" ht="15.75" customHeight="1" s="25">
      <c r="A802" t="inlineStr">
        <is>
          <t>CLI-0800</t>
        </is>
      </c>
      <c r="B802" t="inlineStr">
        <is>
          <t>Marcela Rojas Zuluaga</t>
        </is>
      </c>
      <c r="C802" t="inlineStr">
        <is>
          <t>3249465177</t>
        </is>
      </c>
      <c r="D802" t="inlineStr">
        <is>
          <t>marcela.rojas62@gmail.com</t>
        </is>
      </c>
      <c r="E802" t="inlineStr">
        <is>
          <t>Medellín</t>
        </is>
      </c>
      <c r="F802" t="inlineStr">
        <is>
          <t>PRY-003</t>
        </is>
      </c>
      <c r="G802" t="inlineStr">
        <is>
          <t>Portal Web</t>
        </is>
      </c>
      <c r="H802" t="inlineStr">
        <is>
          <t>Sofía Prada</t>
        </is>
      </c>
      <c r="I802" t="inlineStr">
        <is>
          <t>Perdido</t>
        </is>
      </c>
      <c r="J802" s="28" t="n">
        <v>45543</v>
      </c>
      <c r="K802" s="28" t="n">
        <v>45555</v>
      </c>
      <c r="L802" t="inlineStr">
        <is>
          <t>Presupuesto insuficiente</t>
        </is>
      </c>
    </row>
    <row r="803" ht="15.75" customHeight="1" s="25">
      <c r="A803" t="inlineStr">
        <is>
          <t>CLI-0801</t>
        </is>
      </c>
      <c r="B803" t="inlineStr">
        <is>
          <t>Alejandro Escobar Álvarez</t>
        </is>
      </c>
      <c r="C803" t="inlineStr">
        <is>
          <t>3237362793</t>
        </is>
      </c>
      <c r="D803" t="inlineStr">
        <is>
          <t>alejandro.escobar21@gmail.com</t>
        </is>
      </c>
      <c r="E803" t="inlineStr">
        <is>
          <t>Itagüí</t>
        </is>
      </c>
      <c r="F803" t="inlineStr">
        <is>
          <t>PRY-008</t>
        </is>
      </c>
      <c r="G803" t="inlineStr">
        <is>
          <t>Llamada directa</t>
        </is>
      </c>
      <c r="H803" t="inlineStr">
        <is>
          <t>Miguel Salazar</t>
        </is>
      </c>
      <c r="I803" t="inlineStr">
        <is>
          <t>Perdido</t>
        </is>
      </c>
      <c r="J803" s="28" t="n">
        <v>45543</v>
      </c>
      <c r="K803" s="28" t="n">
        <v>45552</v>
      </c>
      <c r="L803" t="inlineStr">
        <is>
          <t>Sin respuesta tras 3 contactos</t>
        </is>
      </c>
    </row>
    <row r="804" ht="15.75" customHeight="1" s="25">
      <c r="A804" t="inlineStr">
        <is>
          <t>CLI-0802</t>
        </is>
      </c>
      <c r="B804" t="inlineStr">
        <is>
          <t>Valentina Echeverri Cano</t>
        </is>
      </c>
      <c r="C804" t="inlineStr">
        <is>
          <t>3172313513</t>
        </is>
      </c>
      <c r="D804" t="inlineStr">
        <is>
          <t>valentina.echeverri68@hotmail.com</t>
        </is>
      </c>
      <c r="E804" t="inlineStr">
        <is>
          <t>Rionegro</t>
        </is>
      </c>
      <c r="F804" t="inlineStr">
        <is>
          <t>PRY-008</t>
        </is>
      </c>
      <c r="G804" t="inlineStr">
        <is>
          <t>Feria Inmobiliaria</t>
        </is>
      </c>
      <c r="H804" t="inlineStr">
        <is>
          <t>Paula Arenas</t>
        </is>
      </c>
      <c r="I804" t="inlineStr">
        <is>
          <t>Perdido</t>
        </is>
      </c>
      <c r="J804" s="28" t="n">
        <v>45544</v>
      </c>
      <c r="K804" s="28" t="n">
        <v>45612</v>
      </c>
      <c r="L804" t="inlineStr">
        <is>
          <t>Precio fuera de presupuesto</t>
        </is>
      </c>
    </row>
    <row r="805" ht="15.75" customHeight="1" s="25">
      <c r="A805" t="inlineStr">
        <is>
          <t>CLI-0803</t>
        </is>
      </c>
      <c r="B805" t="inlineStr">
        <is>
          <t>Santiago Vargas Osorio</t>
        </is>
      </c>
      <c r="C805" t="inlineStr">
        <is>
          <t>3202043919</t>
        </is>
      </c>
      <c r="D805" t="inlineStr">
        <is>
          <t>santiago.vargas25@gmail.com</t>
        </is>
      </c>
      <c r="E805" t="inlineStr">
        <is>
          <t>Medellín</t>
        </is>
      </c>
      <c r="F805" t="inlineStr">
        <is>
          <t>PRY-003</t>
        </is>
      </c>
      <c r="G805" t="inlineStr">
        <is>
          <t>Instagram</t>
        </is>
      </c>
      <c r="H805" t="inlineStr">
        <is>
          <t>Sofía Prada</t>
        </is>
      </c>
      <c r="I805" t="inlineStr">
        <is>
          <t>Perdido</t>
        </is>
      </c>
      <c r="J805" s="28" t="n">
        <v>45545</v>
      </c>
      <c r="K805" s="28" t="n">
        <v>45557</v>
      </c>
      <c r="L805" t="inlineStr">
        <is>
          <t>Presupuesto insuficiente</t>
        </is>
      </c>
    </row>
    <row r="806" ht="15.75" customHeight="1" s="25">
      <c r="A806" t="inlineStr">
        <is>
          <t>CLI-0804</t>
        </is>
      </c>
      <c r="B806" t="inlineStr">
        <is>
          <t>Ricardo Pérez Vélez</t>
        </is>
      </c>
      <c r="C806" t="inlineStr">
        <is>
          <t>3234678194</t>
        </is>
      </c>
      <c r="D806" t="inlineStr">
        <is>
          <t>ricardo.perez38@outlook.com</t>
        </is>
      </c>
      <c r="E806" t="inlineStr">
        <is>
          <t>Medellín</t>
        </is>
      </c>
      <c r="F806" t="inlineStr">
        <is>
          <t>PRY-004</t>
        </is>
      </c>
      <c r="G806" t="inlineStr">
        <is>
          <t>Facebook</t>
        </is>
      </c>
      <c r="H806" t="inlineStr">
        <is>
          <t>Sofía Prada</t>
        </is>
      </c>
      <c r="I806" t="inlineStr">
        <is>
          <t>Perdido</t>
        </is>
      </c>
      <c r="J806" s="28" t="n">
        <v>45546</v>
      </c>
      <c r="K806" s="28" t="n">
        <v>45667</v>
      </c>
      <c r="L806" t="inlineStr">
        <is>
          <t>Desistió de la compra</t>
        </is>
      </c>
    </row>
    <row r="807" ht="15.75" customHeight="1" s="25">
      <c r="A807" t="inlineStr">
        <is>
          <t>CLI-0805</t>
        </is>
      </c>
      <c r="B807" t="inlineStr">
        <is>
          <t>Rodrigo Giraldo Sánchez</t>
        </is>
      </c>
      <c r="C807" t="inlineStr">
        <is>
          <t>3001267435</t>
        </is>
      </c>
      <c r="D807" t="inlineStr">
        <is>
          <t>rodrigo.giraldo7@outlook.com</t>
        </is>
      </c>
      <c r="E807" t="inlineStr">
        <is>
          <t>Medellín</t>
        </is>
      </c>
      <c r="F807" t="inlineStr">
        <is>
          <t>PRY-003</t>
        </is>
      </c>
      <c r="G807" t="inlineStr">
        <is>
          <t>Llamada directa</t>
        </is>
      </c>
      <c r="H807" t="inlineStr">
        <is>
          <t>Paula Arenas</t>
        </is>
      </c>
      <c r="I807" t="inlineStr">
        <is>
          <t>Perdido</t>
        </is>
      </c>
      <c r="J807" s="28" t="n">
        <v>45546</v>
      </c>
      <c r="K807" s="28" t="n">
        <v>45643</v>
      </c>
      <c r="L807" t="inlineStr">
        <is>
          <t>Precio fuera de presupuesto</t>
        </is>
      </c>
    </row>
    <row r="808" ht="15.75" customHeight="1" s="25">
      <c r="A808" t="inlineStr">
        <is>
          <t>CLI-0806</t>
        </is>
      </c>
      <c r="B808" t="inlineStr">
        <is>
          <t>Mateo Vélez Pérez</t>
        </is>
      </c>
      <c r="C808" t="inlineStr">
        <is>
          <t>3018858773</t>
        </is>
      </c>
      <c r="D808" t="inlineStr">
        <is>
          <t>mateo.velez31@gmail.com</t>
        </is>
      </c>
      <c r="E808" t="inlineStr">
        <is>
          <t>Medellín</t>
        </is>
      </c>
      <c r="F808" t="inlineStr">
        <is>
          <t>PRY-003</t>
        </is>
      </c>
      <c r="G808" t="inlineStr">
        <is>
          <t>Feria Inmobiliaria</t>
        </is>
      </c>
      <c r="H808" t="inlineStr">
        <is>
          <t>Sofía Prada</t>
        </is>
      </c>
      <c r="I808" t="inlineStr">
        <is>
          <t>Ganado</t>
        </is>
      </c>
      <c r="J808" s="28" t="n">
        <v>45546</v>
      </c>
      <c r="K808" s="28" t="n">
        <v>45681</v>
      </c>
      <c r="L808" t="inlineStr">
        <is>
          <t>Compró Apto 305 en Conecta Laureles</t>
        </is>
      </c>
    </row>
    <row r="809" ht="15.75" customHeight="1" s="25">
      <c r="A809" t="inlineStr">
        <is>
          <t>CLI-0807</t>
        </is>
      </c>
      <c r="B809" t="inlineStr">
        <is>
          <t>Verónica Cardona Escobar</t>
        </is>
      </c>
      <c r="C809" t="inlineStr">
        <is>
          <t>3235753218</t>
        </is>
      </c>
      <c r="D809" t="inlineStr">
        <is>
          <t>veronica.cardona79@gmail.com</t>
        </is>
      </c>
      <c r="E809" t="inlineStr">
        <is>
          <t>La Estrella</t>
        </is>
      </c>
      <c r="F809" t="inlineStr">
        <is>
          <t>PRY-001</t>
        </is>
      </c>
      <c r="G809" t="inlineStr">
        <is>
          <t>Facebook</t>
        </is>
      </c>
      <c r="H809" t="inlineStr">
        <is>
          <t>Juliana Vélez</t>
        </is>
      </c>
      <c r="I809" t="inlineStr">
        <is>
          <t>Perdido</t>
        </is>
      </c>
      <c r="J809" s="28" t="n">
        <v>45546</v>
      </c>
      <c r="K809" s="28" t="n">
        <v>45573</v>
      </c>
      <c r="L809" t="inlineStr">
        <is>
          <t>Sin respuesta tras 3 contactos</t>
        </is>
      </c>
    </row>
    <row r="810" ht="15.75" customHeight="1" s="25">
      <c r="A810" t="inlineStr">
        <is>
          <t>CLI-0808</t>
        </is>
      </c>
      <c r="B810" t="inlineStr">
        <is>
          <t>Wilson Valencia Agudelo</t>
        </is>
      </c>
      <c r="C810" t="inlineStr">
        <is>
          <t>3046403822</t>
        </is>
      </c>
      <c r="D810" t="inlineStr">
        <is>
          <t>wilson.valencia34@yahoo.com</t>
        </is>
      </c>
      <c r="E810" t="inlineStr">
        <is>
          <t>Envigado</t>
        </is>
      </c>
      <c r="F810" t="inlineStr">
        <is>
          <t>PRY-002</t>
        </is>
      </c>
      <c r="G810" t="inlineStr">
        <is>
          <t>Referido</t>
        </is>
      </c>
      <c r="H810" t="inlineStr">
        <is>
          <t>Miguel Salazar</t>
        </is>
      </c>
      <c r="I810" t="inlineStr">
        <is>
          <t>Perdido</t>
        </is>
      </c>
      <c r="J810" s="28" t="n">
        <v>45546</v>
      </c>
      <c r="K810" s="28" t="n">
        <v>45554</v>
      </c>
      <c r="L810" t="inlineStr">
        <is>
          <t>Sin respuesta tras 3 contactos</t>
        </is>
      </c>
    </row>
    <row r="811" ht="15.75" customHeight="1" s="25">
      <c r="A811" t="inlineStr">
        <is>
          <t>CLI-0809</t>
        </is>
      </c>
      <c r="B811" t="inlineStr">
        <is>
          <t>Hernán Betancur Higuita</t>
        </is>
      </c>
      <c r="C811" t="inlineStr">
        <is>
          <t>3175389732</t>
        </is>
      </c>
      <c r="D811" t="inlineStr">
        <is>
          <t>hernan.betancur22@outlook.com</t>
        </is>
      </c>
      <c r="E811" t="inlineStr">
        <is>
          <t>Medellín</t>
        </is>
      </c>
      <c r="F811" t="inlineStr">
        <is>
          <t>PRY-004</t>
        </is>
      </c>
      <c r="G811" t="inlineStr">
        <is>
          <t>Portal Web</t>
        </is>
      </c>
      <c r="H811" t="inlineStr">
        <is>
          <t>Miguel Salazar</t>
        </is>
      </c>
      <c r="I811" t="inlineStr">
        <is>
          <t>Perdido</t>
        </is>
      </c>
      <c r="J811" s="28" t="n">
        <v>45546</v>
      </c>
      <c r="K811" s="28" t="n">
        <v>45569</v>
      </c>
      <c r="L811" t="inlineStr">
        <is>
          <t>Buscaba arriendo, no compra</t>
        </is>
      </c>
    </row>
    <row r="812" ht="15.75" customHeight="1" s="25">
      <c r="A812" t="inlineStr">
        <is>
          <t>CLI-0810</t>
        </is>
      </c>
      <c r="B812" t="inlineStr">
        <is>
          <t>Paola Arango Espinosa</t>
        </is>
      </c>
      <c r="C812" t="inlineStr">
        <is>
          <t>3017595796</t>
        </is>
      </c>
      <c r="D812" t="inlineStr">
        <is>
          <t>paola.arango10@gmail.com</t>
        </is>
      </c>
      <c r="E812" t="inlineStr">
        <is>
          <t>Itagüí</t>
        </is>
      </c>
      <c r="F812" t="inlineStr">
        <is>
          <t>PRY-005</t>
        </is>
      </c>
      <c r="G812" t="inlineStr">
        <is>
          <t>Facebook</t>
        </is>
      </c>
      <c r="H812" t="inlineStr">
        <is>
          <t>Paula Arenas</t>
        </is>
      </c>
      <c r="I812" t="inlineStr">
        <is>
          <t>Ganado</t>
        </is>
      </c>
      <c r="J812" s="28" t="n">
        <v>45548</v>
      </c>
      <c r="K812" s="28" t="n">
        <v>45653</v>
      </c>
      <c r="L812" t="inlineStr">
        <is>
          <t>Compró Casa 27 en Ciudadela Rionegro</t>
        </is>
      </c>
    </row>
    <row r="813" ht="15.75" customHeight="1" s="25">
      <c r="A813" t="inlineStr">
        <is>
          <t>CLI-0811</t>
        </is>
      </c>
      <c r="B813" t="inlineStr">
        <is>
          <t>David Osorio Salazar</t>
        </is>
      </c>
      <c r="C813" t="inlineStr">
        <is>
          <t>3238448215</t>
        </is>
      </c>
      <c r="D813" t="inlineStr">
        <is>
          <t>david.osorio13@hotmail.com</t>
        </is>
      </c>
      <c r="E813" t="inlineStr">
        <is>
          <t>Itagüí</t>
        </is>
      </c>
      <c r="F813" t="inlineStr">
        <is>
          <t>PRY-008</t>
        </is>
      </c>
      <c r="G813" t="inlineStr">
        <is>
          <t>Instagram</t>
        </is>
      </c>
      <c r="H813" t="inlineStr">
        <is>
          <t>Paula Arenas</t>
        </is>
      </c>
      <c r="I813" t="inlineStr">
        <is>
          <t>Perdido</t>
        </is>
      </c>
      <c r="J813" s="28" t="n">
        <v>45548</v>
      </c>
      <c r="K813" s="28" t="n">
        <v>45570</v>
      </c>
      <c r="L813" t="inlineStr">
        <is>
          <t>Datos de contacto errados</t>
        </is>
      </c>
    </row>
    <row r="814" ht="15.75" customHeight="1" s="25">
      <c r="A814" t="inlineStr">
        <is>
          <t>CLI-0812</t>
        </is>
      </c>
      <c r="B814" t="inlineStr">
        <is>
          <t>Camila Castaño Toro</t>
        </is>
      </c>
      <c r="C814" t="inlineStr">
        <is>
          <t>3228381572</t>
        </is>
      </c>
      <c r="D814" t="inlineStr">
        <is>
          <t>camila.castano45@yahoo.com</t>
        </is>
      </c>
      <c r="E814" t="inlineStr">
        <is>
          <t>Bello</t>
        </is>
      </c>
      <c r="F814" t="inlineStr">
        <is>
          <t>PRY-007</t>
        </is>
      </c>
      <c r="G814" t="inlineStr">
        <is>
          <t>Instagram</t>
        </is>
      </c>
      <c r="H814" t="inlineStr">
        <is>
          <t>Santiago Muñoz</t>
        </is>
      </c>
      <c r="I814" t="inlineStr">
        <is>
          <t>Perdido</t>
        </is>
      </c>
      <c r="J814" s="28" t="n">
        <v>45548</v>
      </c>
      <c r="K814" s="28" t="n">
        <v>45576</v>
      </c>
      <c r="L814" t="inlineStr">
        <is>
          <t>Sin respuesta tras 3 contactos</t>
        </is>
      </c>
    </row>
    <row r="815" ht="15.75" customHeight="1" s="25">
      <c r="A815" t="inlineStr">
        <is>
          <t>CLI-0813</t>
        </is>
      </c>
      <c r="B815" t="inlineStr">
        <is>
          <t>Wilson Rojas López</t>
        </is>
      </c>
      <c r="C815" t="inlineStr">
        <is>
          <t>3158825050</t>
        </is>
      </c>
      <c r="D815" t="inlineStr">
        <is>
          <t>wilson.rojas32@yahoo.com</t>
        </is>
      </c>
      <c r="E815" t="inlineStr">
        <is>
          <t>La Estrella</t>
        </is>
      </c>
      <c r="F815" t="inlineStr">
        <is>
          <t>PRY-007</t>
        </is>
      </c>
      <c r="G815" t="inlineStr">
        <is>
          <t>Portal Web</t>
        </is>
      </c>
      <c r="H815" t="inlineStr">
        <is>
          <t>Sofía Prada</t>
        </is>
      </c>
      <c r="I815" t="inlineStr">
        <is>
          <t>Ganado</t>
        </is>
      </c>
      <c r="J815" s="28" t="n">
        <v>45549</v>
      </c>
      <c r="K815" s="28" t="n">
        <v>45700</v>
      </c>
      <c r="L815" t="inlineStr">
        <is>
          <t>Compró Apto 1504 en Mirador de Envigado</t>
        </is>
      </c>
    </row>
    <row r="816" ht="15.75" customHeight="1" s="25">
      <c r="A816" t="inlineStr">
        <is>
          <t>CLI-0814</t>
        </is>
      </c>
      <c r="B816" t="inlineStr">
        <is>
          <t>Santiago Marín Cano</t>
        </is>
      </c>
      <c r="C816" t="inlineStr">
        <is>
          <t>3234372268</t>
        </is>
      </c>
      <c r="D816" t="inlineStr">
        <is>
          <t>santiago.marin94@gmail.com</t>
        </is>
      </c>
      <c r="E816" t="inlineStr">
        <is>
          <t>Medellín</t>
        </is>
      </c>
      <c r="F816" t="inlineStr">
        <is>
          <t>PRY-004</t>
        </is>
      </c>
      <c r="G816" t="inlineStr">
        <is>
          <t>Instagram</t>
        </is>
      </c>
      <c r="H816" t="inlineStr">
        <is>
          <t>Miguel Salazar</t>
        </is>
      </c>
      <c r="I816" t="inlineStr">
        <is>
          <t>Ganado</t>
        </is>
      </c>
      <c r="J816" s="28" t="n">
        <v>45549</v>
      </c>
      <c r="K816" s="28" t="n">
        <v>45633</v>
      </c>
      <c r="L816" t="inlineStr">
        <is>
          <t>Compró Casa 28 en Altavista Park</t>
        </is>
      </c>
    </row>
    <row r="817" ht="15.75" customHeight="1" s="25">
      <c r="A817" t="inlineStr">
        <is>
          <t>CLI-0815</t>
        </is>
      </c>
      <c r="B817" t="inlineStr">
        <is>
          <t>Diana Salazar Agudelo</t>
        </is>
      </c>
      <c r="C817" t="inlineStr">
        <is>
          <t>3159354549</t>
        </is>
      </c>
      <c r="D817" t="inlineStr">
        <is>
          <t>diana.salazar17@hotmail.com</t>
        </is>
      </c>
      <c r="E817" t="inlineStr">
        <is>
          <t>La Estrella</t>
        </is>
      </c>
      <c r="F817" t="inlineStr">
        <is>
          <t>PRY-001</t>
        </is>
      </c>
      <c r="G817" t="inlineStr">
        <is>
          <t>Portal Web</t>
        </is>
      </c>
      <c r="H817" t="inlineStr">
        <is>
          <t>Luis Bedoya</t>
        </is>
      </c>
      <c r="I817" t="inlineStr">
        <is>
          <t>Perdido</t>
        </is>
      </c>
      <c r="J817" s="28" t="n">
        <v>45549</v>
      </c>
      <c r="K817" s="28" t="n">
        <v>45573</v>
      </c>
      <c r="L817" t="inlineStr">
        <is>
          <t>Datos de contacto errados</t>
        </is>
      </c>
    </row>
    <row r="818" ht="15.75" customHeight="1" s="25">
      <c r="A818" t="inlineStr">
        <is>
          <t>CLI-0816</t>
        </is>
      </c>
      <c r="B818" t="inlineStr">
        <is>
          <t>Julián Restrepo Toro</t>
        </is>
      </c>
      <c r="C818" t="inlineStr">
        <is>
          <t>3004137692</t>
        </is>
      </c>
      <c r="D818" t="inlineStr">
        <is>
          <t>julian.restrepo42@hotmail.com</t>
        </is>
      </c>
      <c r="E818" t="inlineStr">
        <is>
          <t>Rionegro</t>
        </is>
      </c>
      <c r="F818" t="inlineStr">
        <is>
          <t>PRY-005</t>
        </is>
      </c>
      <c r="G818" t="inlineStr">
        <is>
          <t>Referido</t>
        </is>
      </c>
      <c r="H818" t="inlineStr">
        <is>
          <t>Andrés Torres</t>
        </is>
      </c>
      <c r="I818" t="inlineStr">
        <is>
          <t>Ganado</t>
        </is>
      </c>
      <c r="J818" s="28" t="n">
        <v>45550</v>
      </c>
      <c r="K818" s="28" t="n">
        <v>45649</v>
      </c>
      <c r="L818" t="inlineStr">
        <is>
          <t>Compró Apto 902 en Ciudadela Rionegro</t>
        </is>
      </c>
    </row>
    <row r="819" ht="15.75" customHeight="1" s="25">
      <c r="A819" t="inlineStr">
        <is>
          <t>CLI-0817</t>
        </is>
      </c>
      <c r="B819" t="inlineStr">
        <is>
          <t>Diana Correa Betancur</t>
        </is>
      </c>
      <c r="C819" t="inlineStr">
        <is>
          <t>3227385678</t>
        </is>
      </c>
      <c r="D819" t="inlineStr">
        <is>
          <t>diana.correa52@hotmail.com</t>
        </is>
      </c>
      <c r="E819" t="inlineStr">
        <is>
          <t>Medellín</t>
        </is>
      </c>
      <c r="F819" t="inlineStr">
        <is>
          <t>PRY-002</t>
        </is>
      </c>
      <c r="G819" t="inlineStr">
        <is>
          <t>Portal Web</t>
        </is>
      </c>
      <c r="H819" t="inlineStr">
        <is>
          <t>Santiago Muñoz</t>
        </is>
      </c>
      <c r="I819" t="inlineStr">
        <is>
          <t>Ganado</t>
        </is>
      </c>
      <c r="J819" s="28" t="n">
        <v>45550</v>
      </c>
      <c r="K819" s="28" t="n">
        <v>45742</v>
      </c>
      <c r="L819" t="inlineStr">
        <is>
          <t>Compró Casa 39 en Reserva Santa Elena</t>
        </is>
      </c>
    </row>
    <row r="820" ht="15.75" customHeight="1" s="25">
      <c r="A820" t="inlineStr">
        <is>
          <t>CLI-0818</t>
        </is>
      </c>
      <c r="B820" t="inlineStr">
        <is>
          <t>Emilio López Giraldo</t>
        </is>
      </c>
      <c r="C820" t="inlineStr">
        <is>
          <t>3155674042</t>
        </is>
      </c>
      <c r="D820" t="inlineStr">
        <is>
          <t>emilio.lopez60@gmail.com</t>
        </is>
      </c>
      <c r="E820" t="inlineStr">
        <is>
          <t>Medellín</t>
        </is>
      </c>
      <c r="F820" t="inlineStr">
        <is>
          <t>PRY-003</t>
        </is>
      </c>
      <c r="G820" t="inlineStr">
        <is>
          <t>Referido</t>
        </is>
      </c>
      <c r="H820" t="inlineStr">
        <is>
          <t>Andrés Torres</t>
        </is>
      </c>
      <c r="I820" t="inlineStr">
        <is>
          <t>Ganado</t>
        </is>
      </c>
      <c r="J820" s="28" t="n">
        <v>45550</v>
      </c>
      <c r="K820" s="28" t="n">
        <v>45685</v>
      </c>
      <c r="L820" t="inlineStr">
        <is>
          <t>Compró Apto 2607 en Conecta Laureles</t>
        </is>
      </c>
    </row>
    <row r="821" ht="15.75" customHeight="1" s="25">
      <c r="A821" t="inlineStr">
        <is>
          <t>CLI-0819</t>
        </is>
      </c>
      <c r="B821" t="inlineStr">
        <is>
          <t>Sandra Henao Echeverri</t>
        </is>
      </c>
      <c r="C821" t="inlineStr">
        <is>
          <t>3044462420</t>
        </is>
      </c>
      <c r="D821" t="inlineStr">
        <is>
          <t>sandra.henao76@yahoo.com</t>
        </is>
      </c>
      <c r="E821" t="inlineStr">
        <is>
          <t>Medellín</t>
        </is>
      </c>
      <c r="F821" t="inlineStr">
        <is>
          <t>PRY-004</t>
        </is>
      </c>
      <c r="G821" t="inlineStr">
        <is>
          <t>Portal Web</t>
        </is>
      </c>
      <c r="H821" t="inlineStr">
        <is>
          <t>Luis Bedoya</t>
        </is>
      </c>
      <c r="I821" t="inlineStr">
        <is>
          <t>Perdido</t>
        </is>
      </c>
      <c r="J821" s="28" t="n">
        <v>45550</v>
      </c>
      <c r="K821" s="28" t="n">
        <v>45647</v>
      </c>
      <c r="L821" t="inlineStr">
        <is>
          <t>Desistió de la compra</t>
        </is>
      </c>
    </row>
    <row r="822" ht="15.75" customHeight="1" s="25">
      <c r="A822" t="inlineStr">
        <is>
          <t>CLI-0820</t>
        </is>
      </c>
      <c r="B822" t="inlineStr">
        <is>
          <t>Gloria Arango Pérez</t>
        </is>
      </c>
      <c r="C822" t="inlineStr">
        <is>
          <t>3147768064</t>
        </is>
      </c>
      <c r="D822" t="inlineStr">
        <is>
          <t>gloria.arango19@gmail.com</t>
        </is>
      </c>
      <c r="E822" t="inlineStr">
        <is>
          <t>Rionegro</t>
        </is>
      </c>
      <c r="F822" t="inlineStr">
        <is>
          <t>PRY-005</t>
        </is>
      </c>
      <c r="G822" t="inlineStr">
        <is>
          <t>Facebook</t>
        </is>
      </c>
      <c r="H822" t="inlineStr">
        <is>
          <t>Ana Quintero</t>
        </is>
      </c>
      <c r="I822" t="inlineStr">
        <is>
          <t>Ganado</t>
        </is>
      </c>
      <c r="J822" s="28" t="n">
        <v>45550</v>
      </c>
      <c r="K822" s="28" t="n">
        <v>45666</v>
      </c>
      <c r="L822" t="inlineStr">
        <is>
          <t>Compró Casa 20 en Ciudadela Rionegro</t>
        </is>
      </c>
    </row>
    <row r="823" ht="15.75" customHeight="1" s="25">
      <c r="A823" t="inlineStr">
        <is>
          <t>CLI-0821</t>
        </is>
      </c>
      <c r="B823" t="inlineStr">
        <is>
          <t>Luisa Ramírez Sánchez</t>
        </is>
      </c>
      <c r="C823" t="inlineStr">
        <is>
          <t>3227372284</t>
        </is>
      </c>
      <c r="D823" t="inlineStr">
        <is>
          <t>luisa.ramirez66@hotmail.com</t>
        </is>
      </c>
      <c r="E823" t="inlineStr">
        <is>
          <t>Rionegro</t>
        </is>
      </c>
      <c r="F823" t="inlineStr">
        <is>
          <t>PRY-001</t>
        </is>
      </c>
      <c r="G823" t="inlineStr">
        <is>
          <t>Instagram</t>
        </is>
      </c>
      <c r="H823" t="inlineStr">
        <is>
          <t>Ana Quintero</t>
        </is>
      </c>
      <c r="I823" t="inlineStr">
        <is>
          <t>Ganado</t>
        </is>
      </c>
      <c r="J823" s="28" t="n">
        <v>45551</v>
      </c>
      <c r="K823" s="28" t="n">
        <v>45712</v>
      </c>
      <c r="L823" t="inlineStr">
        <is>
          <t>Compró Apto 2001 en Torres del Poblado</t>
        </is>
      </c>
    </row>
    <row r="824" ht="15.75" customHeight="1" s="25">
      <c r="A824" t="inlineStr">
        <is>
          <t>CLI-0822</t>
        </is>
      </c>
      <c r="B824" t="inlineStr">
        <is>
          <t>Isabel Vásquez Franco</t>
        </is>
      </c>
      <c r="C824" t="inlineStr">
        <is>
          <t>3106914404</t>
        </is>
      </c>
      <c r="D824" t="inlineStr">
        <is>
          <t>isabel.vasquez44@yahoo.com</t>
        </is>
      </c>
      <c r="E824" t="inlineStr">
        <is>
          <t>Rionegro</t>
        </is>
      </c>
      <c r="F824" t="inlineStr">
        <is>
          <t>PRY-005</t>
        </is>
      </c>
      <c r="G824" t="inlineStr">
        <is>
          <t>Portal Web</t>
        </is>
      </c>
      <c r="H824" t="inlineStr">
        <is>
          <t>Sofía Prada</t>
        </is>
      </c>
      <c r="I824" t="inlineStr">
        <is>
          <t>Perdido</t>
        </is>
      </c>
      <c r="J824" s="28" t="n">
        <v>45551</v>
      </c>
      <c r="K824" s="28" t="n">
        <v>45559</v>
      </c>
      <c r="L824" t="inlineStr">
        <is>
          <t>Buscaba arriendo, no compra</t>
        </is>
      </c>
    </row>
    <row r="825" ht="15.75" customHeight="1" s="25">
      <c r="A825" t="inlineStr">
        <is>
          <t>CLI-0823</t>
        </is>
      </c>
      <c r="B825" t="inlineStr">
        <is>
          <t>Marcela Restrepo Giraldo</t>
        </is>
      </c>
      <c r="C825" t="inlineStr">
        <is>
          <t>3101126937</t>
        </is>
      </c>
      <c r="D825" t="inlineStr">
        <is>
          <t>marcela.restrepo98@outlook.com</t>
        </is>
      </c>
      <c r="E825" t="inlineStr">
        <is>
          <t>Rionegro</t>
        </is>
      </c>
      <c r="F825" t="inlineStr">
        <is>
          <t>PRY-001</t>
        </is>
      </c>
      <c r="G825" t="inlineStr">
        <is>
          <t>Portal Web</t>
        </is>
      </c>
      <c r="H825" t="inlineStr">
        <is>
          <t>Luis Bedoya</t>
        </is>
      </c>
      <c r="I825" t="inlineStr">
        <is>
          <t>Perdido</t>
        </is>
      </c>
      <c r="J825" s="28" t="n">
        <v>45551</v>
      </c>
      <c r="K825" s="28" t="n">
        <v>45568</v>
      </c>
      <c r="L825" t="inlineStr">
        <is>
          <t>Buscaba arriendo, no compra</t>
        </is>
      </c>
    </row>
    <row r="826" ht="15.75" customHeight="1" s="25">
      <c r="A826" t="inlineStr">
        <is>
          <t>CLI-0824</t>
        </is>
      </c>
      <c r="B826" t="inlineStr">
        <is>
          <t>Sara Cano Arango</t>
        </is>
      </c>
      <c r="C826" t="inlineStr">
        <is>
          <t>3012367896</t>
        </is>
      </c>
      <c r="D826" t="inlineStr">
        <is>
          <t>sara.cano98@outlook.com</t>
        </is>
      </c>
      <c r="E826" t="inlineStr">
        <is>
          <t>Medellín</t>
        </is>
      </c>
      <c r="F826" t="inlineStr">
        <is>
          <t>PRY-004</t>
        </is>
      </c>
      <c r="G826" t="inlineStr">
        <is>
          <t>Portal Web</t>
        </is>
      </c>
      <c r="H826" t="inlineStr">
        <is>
          <t>Sofía Prada</t>
        </is>
      </c>
      <c r="I826" t="inlineStr">
        <is>
          <t>Ganado</t>
        </is>
      </c>
      <c r="J826" s="28" t="n">
        <v>45552</v>
      </c>
      <c r="K826" s="28" t="n">
        <v>45691</v>
      </c>
      <c r="L826" t="inlineStr">
        <is>
          <t>Compró Casa 5 en Altavista Park</t>
        </is>
      </c>
    </row>
    <row r="827" ht="15.75" customHeight="1" s="25">
      <c r="A827" t="inlineStr">
        <is>
          <t>CLI-0825</t>
        </is>
      </c>
      <c r="B827" t="inlineStr">
        <is>
          <t>Paula Ochoa Cano</t>
        </is>
      </c>
      <c r="C827" t="inlineStr">
        <is>
          <t>3159790214</t>
        </is>
      </c>
      <c r="D827" t="inlineStr">
        <is>
          <t>paula.ochoa28@outlook.com</t>
        </is>
      </c>
      <c r="E827" t="inlineStr">
        <is>
          <t>Medellín</t>
        </is>
      </c>
      <c r="F827" t="inlineStr">
        <is>
          <t>PRY-002</t>
        </is>
      </c>
      <c r="G827" t="inlineStr">
        <is>
          <t>Facebook</t>
        </is>
      </c>
      <c r="H827" t="inlineStr">
        <is>
          <t>Ana Quintero</t>
        </is>
      </c>
      <c r="I827" t="inlineStr">
        <is>
          <t>Perdido</t>
        </is>
      </c>
      <c r="J827" s="28" t="n">
        <v>45552</v>
      </c>
      <c r="K827" s="28" t="n">
        <v>45560</v>
      </c>
      <c r="L827" t="inlineStr">
        <is>
          <t>No calificó para crédito</t>
        </is>
      </c>
    </row>
    <row r="828" ht="15.75" customHeight="1" s="25">
      <c r="A828" t="inlineStr">
        <is>
          <t>CLI-0826</t>
        </is>
      </c>
      <c r="B828" t="inlineStr">
        <is>
          <t>Alejandra Vélez Montes</t>
        </is>
      </c>
      <c r="C828" t="inlineStr">
        <is>
          <t>3204231757</t>
        </is>
      </c>
      <c r="D828" t="inlineStr">
        <is>
          <t>alejandra.velez76@outlook.com</t>
        </is>
      </c>
      <c r="E828" t="inlineStr">
        <is>
          <t>Medellín</t>
        </is>
      </c>
      <c r="F828" t="inlineStr">
        <is>
          <t>PRY-003</t>
        </is>
      </c>
      <c r="G828" t="inlineStr">
        <is>
          <t>Instagram</t>
        </is>
      </c>
      <c r="H828" t="inlineStr">
        <is>
          <t>Paula Arenas</t>
        </is>
      </c>
      <c r="I828" t="inlineStr">
        <is>
          <t>Perdido</t>
        </is>
      </c>
      <c r="J828" s="28" t="n">
        <v>45552</v>
      </c>
      <c r="K828" s="28" t="n">
        <v>45574</v>
      </c>
      <c r="L828" t="inlineStr">
        <is>
          <t>Sin respuesta tras 3 contactos</t>
        </is>
      </c>
    </row>
    <row r="829" ht="15.75" customHeight="1" s="25">
      <c r="A829" t="inlineStr">
        <is>
          <t>CLI-0827</t>
        </is>
      </c>
      <c r="B829" t="inlineStr">
        <is>
          <t>Ximena Mejía López</t>
        </is>
      </c>
      <c r="C829" t="inlineStr">
        <is>
          <t>3239737743</t>
        </is>
      </c>
      <c r="D829" t="inlineStr">
        <is>
          <t>ximena.mejia17@hotmail.com</t>
        </is>
      </c>
      <c r="E829" t="inlineStr">
        <is>
          <t>La Estrella</t>
        </is>
      </c>
      <c r="F829" t="inlineStr">
        <is>
          <t>PRY-004</t>
        </is>
      </c>
      <c r="G829" t="inlineStr">
        <is>
          <t>Instagram</t>
        </is>
      </c>
      <c r="H829" t="inlineStr">
        <is>
          <t>Miguel Salazar</t>
        </is>
      </c>
      <c r="I829" t="inlineStr">
        <is>
          <t>Perdido</t>
        </is>
      </c>
      <c r="J829" s="28" t="n">
        <v>45552</v>
      </c>
      <c r="K829" s="28" t="n">
        <v>45580</v>
      </c>
      <c r="L829" t="inlineStr">
        <is>
          <t>Buscaba arriendo, no compra</t>
        </is>
      </c>
    </row>
    <row r="830" ht="15.75" customHeight="1" s="25">
      <c r="A830" t="inlineStr">
        <is>
          <t>CLI-0828</t>
        </is>
      </c>
      <c r="B830" t="inlineStr">
        <is>
          <t>Verónica Ramírez Uribe</t>
        </is>
      </c>
      <c r="C830" t="inlineStr">
        <is>
          <t>3174054130</t>
        </is>
      </c>
      <c r="D830" t="inlineStr">
        <is>
          <t>veronica.ramirez69@hotmail.com</t>
        </is>
      </c>
      <c r="E830" t="inlineStr">
        <is>
          <t>Medellín</t>
        </is>
      </c>
      <c r="F830" t="inlineStr">
        <is>
          <t>PRY-004</t>
        </is>
      </c>
      <c r="G830" t="inlineStr">
        <is>
          <t>Facebook</t>
        </is>
      </c>
      <c r="H830" t="inlineStr">
        <is>
          <t>Juliana Vélez</t>
        </is>
      </c>
      <c r="I830" t="inlineStr">
        <is>
          <t>Perdido</t>
        </is>
      </c>
      <c r="J830" s="28" t="n">
        <v>45552</v>
      </c>
      <c r="K830" s="28" t="n">
        <v>45580</v>
      </c>
      <c r="L830" t="inlineStr">
        <is>
          <t>Presupuesto insuficiente</t>
        </is>
      </c>
    </row>
    <row r="831" ht="15.75" customHeight="1" s="25">
      <c r="A831" t="inlineStr">
        <is>
          <t>CLI-0829</t>
        </is>
      </c>
      <c r="B831" t="inlineStr">
        <is>
          <t>Mauricio Montoya Vásquez</t>
        </is>
      </c>
      <c r="C831" t="inlineStr">
        <is>
          <t>3234077147</t>
        </is>
      </c>
      <c r="D831" t="inlineStr">
        <is>
          <t>mauricio.montoya35@gmail.com</t>
        </is>
      </c>
      <c r="E831" t="inlineStr">
        <is>
          <t>Itagüí</t>
        </is>
      </c>
      <c r="F831" t="inlineStr">
        <is>
          <t>PRY-001</t>
        </is>
      </c>
      <c r="G831" t="inlineStr">
        <is>
          <t>Portal Web</t>
        </is>
      </c>
      <c r="H831" t="inlineStr">
        <is>
          <t>Luis Bedoya</t>
        </is>
      </c>
      <c r="I831" t="inlineStr">
        <is>
          <t>Ganado</t>
        </is>
      </c>
      <c r="J831" s="28" t="n">
        <v>45553</v>
      </c>
      <c r="K831" s="28" t="n">
        <v>45677</v>
      </c>
      <c r="L831" t="inlineStr">
        <is>
          <t>Compró Apto 301 en Torres del Poblado</t>
        </is>
      </c>
    </row>
    <row r="832" ht="15.75" customHeight="1" s="25">
      <c r="A832" t="inlineStr">
        <is>
          <t>CLI-0830</t>
        </is>
      </c>
      <c r="B832" t="inlineStr">
        <is>
          <t>Patricia Gaviria Salcedo</t>
        </is>
      </c>
      <c r="C832" t="inlineStr">
        <is>
          <t>3206580215</t>
        </is>
      </c>
      <c r="D832" t="inlineStr">
        <is>
          <t>patricia.gaviria80@outlook.com</t>
        </is>
      </c>
      <c r="E832" t="inlineStr">
        <is>
          <t>Itagüí</t>
        </is>
      </c>
      <c r="F832" t="inlineStr">
        <is>
          <t>PRY-008</t>
        </is>
      </c>
      <c r="G832" t="inlineStr">
        <is>
          <t>Facebook</t>
        </is>
      </c>
      <c r="H832" t="inlineStr">
        <is>
          <t>Luis Bedoya</t>
        </is>
      </c>
      <c r="I832" t="inlineStr">
        <is>
          <t>Perdido</t>
        </is>
      </c>
      <c r="J832" s="28" t="n">
        <v>45553</v>
      </c>
      <c r="K832" s="28" t="n">
        <v>45561</v>
      </c>
      <c r="L832" t="inlineStr">
        <is>
          <t>Datos de contacto errados</t>
        </is>
      </c>
    </row>
    <row r="833" ht="15.75" customHeight="1" s="25">
      <c r="A833" t="inlineStr">
        <is>
          <t>CLI-0831</t>
        </is>
      </c>
      <c r="B833" t="inlineStr">
        <is>
          <t>Alejandra Uribe Espinosa</t>
        </is>
      </c>
      <c r="C833" t="inlineStr">
        <is>
          <t>3101880578</t>
        </is>
      </c>
      <c r="D833" t="inlineStr">
        <is>
          <t>alejandra.uribe53@hotmail.com</t>
        </is>
      </c>
      <c r="E833" t="inlineStr">
        <is>
          <t>Envigado</t>
        </is>
      </c>
      <c r="F833" t="inlineStr">
        <is>
          <t>PRY-007</t>
        </is>
      </c>
      <c r="G833" t="inlineStr">
        <is>
          <t>Portal Web</t>
        </is>
      </c>
      <c r="H833" t="inlineStr">
        <is>
          <t>Andrés Torres</t>
        </is>
      </c>
      <c r="I833" t="inlineStr">
        <is>
          <t>Ganado</t>
        </is>
      </c>
      <c r="J833" s="28" t="n">
        <v>45554</v>
      </c>
      <c r="K833" s="28" t="n">
        <v>45658</v>
      </c>
      <c r="L833" t="inlineStr">
        <is>
          <t>Compró Apto 1505 en Mirador de Envigado</t>
        </is>
      </c>
    </row>
    <row r="834" ht="15.75" customHeight="1" s="25">
      <c r="A834" t="inlineStr">
        <is>
          <t>CLI-0832</t>
        </is>
      </c>
      <c r="B834" t="inlineStr">
        <is>
          <t>Luisa Escobar Betancur</t>
        </is>
      </c>
      <c r="C834" t="inlineStr">
        <is>
          <t>3001285550</t>
        </is>
      </c>
      <c r="D834" t="inlineStr">
        <is>
          <t>luisa.escobar91@outlook.com</t>
        </is>
      </c>
      <c r="E834" t="inlineStr">
        <is>
          <t>Rionegro</t>
        </is>
      </c>
      <c r="F834" t="inlineStr">
        <is>
          <t>PRY-002</t>
        </is>
      </c>
      <c r="G834" t="inlineStr">
        <is>
          <t>Instagram</t>
        </is>
      </c>
      <c r="H834" t="inlineStr">
        <is>
          <t>Miguel Salazar</t>
        </is>
      </c>
      <c r="I834" t="inlineStr">
        <is>
          <t>Perdido</t>
        </is>
      </c>
      <c r="J834" s="28" t="n">
        <v>45554</v>
      </c>
      <c r="K834" s="28" t="n">
        <v>45572</v>
      </c>
      <c r="L834" t="inlineStr">
        <is>
          <t>No calificó para crédito</t>
        </is>
      </c>
    </row>
    <row r="835" ht="15.75" customHeight="1" s="25">
      <c r="A835" t="inlineStr">
        <is>
          <t>CLI-0833</t>
        </is>
      </c>
      <c r="B835" t="inlineStr">
        <is>
          <t>Verónica Salcedo Hernández</t>
        </is>
      </c>
      <c r="C835" t="inlineStr">
        <is>
          <t>3142792990</t>
        </is>
      </c>
      <c r="D835" t="inlineStr">
        <is>
          <t>veronica.salcedo92@outlook.com</t>
        </is>
      </c>
      <c r="E835" t="inlineStr">
        <is>
          <t>Envigado</t>
        </is>
      </c>
      <c r="F835" t="inlineStr">
        <is>
          <t>PRY-007</t>
        </is>
      </c>
      <c r="G835" t="inlineStr">
        <is>
          <t>Portal Web</t>
        </is>
      </c>
      <c r="H835" t="inlineStr">
        <is>
          <t>Miguel Salazar</t>
        </is>
      </c>
      <c r="I835" t="inlineStr">
        <is>
          <t>Ganado</t>
        </is>
      </c>
      <c r="J835" s="28" t="n">
        <v>45555</v>
      </c>
      <c r="K835" s="28" t="n">
        <v>45722</v>
      </c>
      <c r="L835" t="inlineStr">
        <is>
          <t>Compró Apto 605 en Mirador de Envigado</t>
        </is>
      </c>
    </row>
    <row r="836" ht="15.75" customHeight="1" s="25">
      <c r="A836" t="inlineStr">
        <is>
          <t>CLI-0834</t>
        </is>
      </c>
      <c r="B836" t="inlineStr">
        <is>
          <t>Paola Vélez Gómez</t>
        </is>
      </c>
      <c r="C836" t="inlineStr">
        <is>
          <t>3233980381</t>
        </is>
      </c>
      <c r="D836" t="inlineStr">
        <is>
          <t>paola.velez27@yahoo.com</t>
        </is>
      </c>
      <c r="E836" t="inlineStr">
        <is>
          <t>Sabaneta</t>
        </is>
      </c>
      <c r="F836" t="inlineStr">
        <is>
          <t>PRY-005</t>
        </is>
      </c>
      <c r="G836" t="inlineStr">
        <is>
          <t>Feria Inmobiliaria</t>
        </is>
      </c>
      <c r="H836" t="inlineStr">
        <is>
          <t>Paula Arenas</t>
        </is>
      </c>
      <c r="I836" t="inlineStr">
        <is>
          <t>Ganado</t>
        </is>
      </c>
      <c r="J836" s="28" t="n">
        <v>45556</v>
      </c>
      <c r="K836" s="28" t="n">
        <v>45727</v>
      </c>
      <c r="L836" t="inlineStr">
        <is>
          <t>Compró Apto 1301 en Ciudadela Rionegro</t>
        </is>
      </c>
    </row>
    <row r="837" ht="15.75" customHeight="1" s="25">
      <c r="A837" t="inlineStr">
        <is>
          <t>CLI-0835</t>
        </is>
      </c>
      <c r="B837" t="inlineStr">
        <is>
          <t>Ximena Zuluaga Osorio</t>
        </is>
      </c>
      <c r="C837" t="inlineStr">
        <is>
          <t>3209627110</t>
        </is>
      </c>
      <c r="D837" t="inlineStr">
        <is>
          <t>ximena.zuluaga74@outlook.com</t>
        </is>
      </c>
      <c r="E837" t="inlineStr">
        <is>
          <t>Envigado</t>
        </is>
      </c>
      <c r="F837" t="inlineStr">
        <is>
          <t>PRY-003</t>
        </is>
      </c>
      <c r="G837" t="inlineStr">
        <is>
          <t>Referido</t>
        </is>
      </c>
      <c r="H837" t="inlineStr">
        <is>
          <t>Luis Bedoya</t>
        </is>
      </c>
      <c r="I837" t="inlineStr">
        <is>
          <t>Perdido</t>
        </is>
      </c>
      <c r="J837" s="28" t="n">
        <v>45556</v>
      </c>
      <c r="K837" s="28" t="n">
        <v>45574</v>
      </c>
      <c r="L837" t="inlineStr">
        <is>
          <t>No calificó para crédito</t>
        </is>
      </c>
    </row>
    <row r="838" ht="15.75" customHeight="1" s="25">
      <c r="A838" t="inlineStr">
        <is>
          <t>CLI-0836</t>
        </is>
      </c>
      <c r="B838" t="inlineStr">
        <is>
          <t>Iván Agudelo Vásquez</t>
        </is>
      </c>
      <c r="C838" t="inlineStr">
        <is>
          <t>3005468522</t>
        </is>
      </c>
      <c r="D838" t="inlineStr">
        <is>
          <t>ivan.agudelo45@outlook.com</t>
        </is>
      </c>
      <c r="E838" t="inlineStr">
        <is>
          <t>Medellín</t>
        </is>
      </c>
      <c r="F838" t="inlineStr">
        <is>
          <t>PRY-003</t>
        </is>
      </c>
      <c r="G838" t="inlineStr">
        <is>
          <t>Referido</t>
        </is>
      </c>
      <c r="H838" t="inlineStr">
        <is>
          <t>Luis Bedoya</t>
        </is>
      </c>
      <c r="I838" t="inlineStr">
        <is>
          <t>Perdido</t>
        </is>
      </c>
      <c r="J838" s="28" t="n">
        <v>45556</v>
      </c>
      <c r="K838" s="28" t="n">
        <v>45568</v>
      </c>
      <c r="L838" t="inlineStr">
        <is>
          <t>No calificó para crédito</t>
        </is>
      </c>
    </row>
    <row r="839" ht="15.75" customHeight="1" s="25">
      <c r="A839" t="inlineStr">
        <is>
          <t>CLI-0837</t>
        </is>
      </c>
      <c r="B839" t="inlineStr">
        <is>
          <t>María Álvarez Pérez</t>
        </is>
      </c>
      <c r="C839" t="inlineStr">
        <is>
          <t>3207443866</t>
        </is>
      </c>
      <c r="D839" t="inlineStr">
        <is>
          <t>maria.alvarez75@gmail.com</t>
        </is>
      </c>
      <c r="E839" t="inlineStr">
        <is>
          <t>Medellín</t>
        </is>
      </c>
      <c r="F839" t="inlineStr">
        <is>
          <t>PRY-005</t>
        </is>
      </c>
      <c r="G839" t="inlineStr">
        <is>
          <t>Portal Web</t>
        </is>
      </c>
      <c r="H839" t="inlineStr">
        <is>
          <t>Luis Bedoya</t>
        </is>
      </c>
      <c r="I839" t="inlineStr">
        <is>
          <t>Ganado</t>
        </is>
      </c>
      <c r="J839" s="28" t="n">
        <v>45557</v>
      </c>
      <c r="K839" s="28" t="n">
        <v>45626</v>
      </c>
      <c r="L839" t="inlineStr">
        <is>
          <t>Compró Apto 906 en Ciudadela Rionegro</t>
        </is>
      </c>
    </row>
    <row r="840" ht="15.75" customHeight="1" s="25">
      <c r="A840" t="inlineStr">
        <is>
          <t>CLI-0838</t>
        </is>
      </c>
      <c r="B840" t="inlineStr">
        <is>
          <t>Jorge Henao Hernández</t>
        </is>
      </c>
      <c r="C840" t="inlineStr">
        <is>
          <t>3245092123</t>
        </is>
      </c>
      <c r="D840" t="inlineStr">
        <is>
          <t>jorge.henao65@hotmail.com</t>
        </is>
      </c>
      <c r="E840" t="inlineStr">
        <is>
          <t>Envigado</t>
        </is>
      </c>
      <c r="F840" t="inlineStr">
        <is>
          <t>PRY-007</t>
        </is>
      </c>
      <c r="G840" t="inlineStr">
        <is>
          <t>Llamada directa</t>
        </is>
      </c>
      <c r="H840" t="inlineStr">
        <is>
          <t>Ana Quintero</t>
        </is>
      </c>
      <c r="I840" t="inlineStr">
        <is>
          <t>Perdido</t>
        </is>
      </c>
      <c r="J840" s="28" t="n">
        <v>45557</v>
      </c>
      <c r="K840" s="28" t="n">
        <v>45579</v>
      </c>
      <c r="L840" t="inlineStr">
        <is>
          <t>Sin respuesta tras 3 contactos</t>
        </is>
      </c>
    </row>
    <row r="841" ht="15.75" customHeight="1" s="25">
      <c r="A841" t="inlineStr">
        <is>
          <t>CLI-0839</t>
        </is>
      </c>
      <c r="B841" t="inlineStr">
        <is>
          <t>Emilio López Gaviria</t>
        </is>
      </c>
      <c r="C841" t="inlineStr">
        <is>
          <t>3138348577</t>
        </is>
      </c>
      <c r="D841" t="inlineStr">
        <is>
          <t>emilio.lopez29@hotmail.com</t>
        </is>
      </c>
      <c r="E841" t="inlineStr">
        <is>
          <t>Rionegro</t>
        </is>
      </c>
      <c r="F841" t="inlineStr">
        <is>
          <t>PRY-008</t>
        </is>
      </c>
      <c r="G841" t="inlineStr">
        <is>
          <t>Feria Inmobiliaria</t>
        </is>
      </c>
      <c r="H841" t="inlineStr">
        <is>
          <t>Paula Arenas</t>
        </is>
      </c>
      <c r="I841" t="inlineStr">
        <is>
          <t>Perdido</t>
        </is>
      </c>
      <c r="J841" s="28" t="n">
        <v>45557</v>
      </c>
      <c r="K841" s="28" t="n">
        <v>45577</v>
      </c>
      <c r="L841" t="inlineStr">
        <is>
          <t>Presupuesto insuficiente</t>
        </is>
      </c>
    </row>
    <row r="842" ht="15.75" customHeight="1" s="25">
      <c r="A842" t="inlineStr">
        <is>
          <t>CLI-0840</t>
        </is>
      </c>
      <c r="B842" t="inlineStr">
        <is>
          <t>Ximena Espinosa Palacio</t>
        </is>
      </c>
      <c r="C842" t="inlineStr">
        <is>
          <t>3249067691</t>
        </is>
      </c>
      <c r="D842" t="inlineStr">
        <is>
          <t>ximena.espinosa81@hotmail.com</t>
        </is>
      </c>
      <c r="E842" t="inlineStr">
        <is>
          <t>Rionegro</t>
        </is>
      </c>
      <c r="F842" t="inlineStr">
        <is>
          <t>PRY-003</t>
        </is>
      </c>
      <c r="G842" t="inlineStr">
        <is>
          <t>Llamada directa</t>
        </is>
      </c>
      <c r="H842" t="inlineStr">
        <is>
          <t>Ana Quintero</t>
        </is>
      </c>
      <c r="I842" t="inlineStr">
        <is>
          <t>Perdido</t>
        </is>
      </c>
      <c r="J842" s="28" t="n">
        <v>45557</v>
      </c>
      <c r="K842" s="28" t="n">
        <v>45584</v>
      </c>
      <c r="L842" t="inlineStr">
        <is>
          <t>Sin respuesta tras 3 contactos</t>
        </is>
      </c>
    </row>
    <row r="843" ht="15.75" customHeight="1" s="25">
      <c r="A843" t="inlineStr">
        <is>
          <t>CLI-0841</t>
        </is>
      </c>
      <c r="B843" t="inlineStr">
        <is>
          <t>Tomás Montoya Agudelo</t>
        </is>
      </c>
      <c r="C843" t="inlineStr">
        <is>
          <t>3174634136</t>
        </is>
      </c>
      <c r="D843" t="inlineStr">
        <is>
          <t>tomas.montoya16@outlook.com</t>
        </is>
      </c>
      <c r="E843" t="inlineStr">
        <is>
          <t>Medellín</t>
        </is>
      </c>
      <c r="F843" t="inlineStr">
        <is>
          <t>PRY-001</t>
        </is>
      </c>
      <c r="G843" t="inlineStr">
        <is>
          <t>Portal Web</t>
        </is>
      </c>
      <c r="H843" t="inlineStr">
        <is>
          <t>Ana Quintero</t>
        </is>
      </c>
      <c r="I843" t="inlineStr">
        <is>
          <t>Ganado</t>
        </is>
      </c>
      <c r="J843" s="28" t="n">
        <v>45559</v>
      </c>
      <c r="K843" s="28" t="n">
        <v>45671</v>
      </c>
      <c r="L843" t="inlineStr">
        <is>
          <t>Compró Apto 406 en Torres del Poblado</t>
        </is>
      </c>
    </row>
    <row r="844" ht="15.75" customHeight="1" s="25">
      <c r="A844" t="inlineStr">
        <is>
          <t>CLI-0842</t>
        </is>
      </c>
      <c r="B844" t="inlineStr">
        <is>
          <t>Carlos Palacio Mejía</t>
        </is>
      </c>
      <c r="C844" t="inlineStr">
        <is>
          <t>3244431258</t>
        </is>
      </c>
      <c r="D844" t="inlineStr">
        <is>
          <t>carlos.palacio27@gmail.com</t>
        </is>
      </c>
      <c r="E844" t="inlineStr">
        <is>
          <t>Medellín</t>
        </is>
      </c>
      <c r="F844" t="inlineStr">
        <is>
          <t>PRY-007</t>
        </is>
      </c>
      <c r="G844" t="inlineStr">
        <is>
          <t>Portal Web</t>
        </is>
      </c>
      <c r="H844" t="inlineStr">
        <is>
          <t>Miguel Salazar</t>
        </is>
      </c>
      <c r="I844" t="inlineStr">
        <is>
          <t>Perdido</t>
        </is>
      </c>
      <c r="J844" s="28" t="n">
        <v>45559</v>
      </c>
      <c r="K844" s="28" t="n">
        <v>45662</v>
      </c>
      <c r="L844" t="inlineStr">
        <is>
          <t>Crédito no aprobado</t>
        </is>
      </c>
    </row>
    <row r="845" ht="15.75" customHeight="1" s="25">
      <c r="A845" t="inlineStr">
        <is>
          <t>CLI-0843</t>
        </is>
      </c>
      <c r="B845" t="inlineStr">
        <is>
          <t>Diego Osorio Montoya</t>
        </is>
      </c>
      <c r="C845" t="inlineStr">
        <is>
          <t>3131883338</t>
        </is>
      </c>
      <c r="D845" t="inlineStr">
        <is>
          <t>diego.osorio95@gmail.com</t>
        </is>
      </c>
      <c r="E845" t="inlineStr">
        <is>
          <t>Medellín</t>
        </is>
      </c>
      <c r="F845" t="inlineStr">
        <is>
          <t>PRY-003</t>
        </is>
      </c>
      <c r="G845" t="inlineStr">
        <is>
          <t>Portal Web</t>
        </is>
      </c>
      <c r="H845" t="inlineStr">
        <is>
          <t>Ana Quintero</t>
        </is>
      </c>
      <c r="I845" t="inlineStr">
        <is>
          <t>Perdido</t>
        </is>
      </c>
      <c r="J845" s="28" t="n">
        <v>45559</v>
      </c>
      <c r="K845" s="28" t="n">
        <v>45573</v>
      </c>
      <c r="L845" t="inlineStr">
        <is>
          <t>Sin respuesta tras 3 contactos</t>
        </is>
      </c>
    </row>
    <row r="846" ht="15.75" customHeight="1" s="25">
      <c r="A846" t="inlineStr">
        <is>
          <t>CLI-0844</t>
        </is>
      </c>
      <c r="B846" t="inlineStr">
        <is>
          <t>Jorge Vargas Salazar</t>
        </is>
      </c>
      <c r="C846" t="inlineStr">
        <is>
          <t>3016620345</t>
        </is>
      </c>
      <c r="D846" t="inlineStr">
        <is>
          <t>jorge.vargas67@hotmail.com</t>
        </is>
      </c>
      <c r="E846" t="inlineStr">
        <is>
          <t>La Estrella</t>
        </is>
      </c>
      <c r="F846" t="inlineStr">
        <is>
          <t>PRY-001</t>
        </is>
      </c>
      <c r="G846" t="inlineStr">
        <is>
          <t>Llamada directa</t>
        </is>
      </c>
      <c r="H846" t="inlineStr">
        <is>
          <t>Santiago Muñoz</t>
        </is>
      </c>
      <c r="I846" t="inlineStr">
        <is>
          <t>Perdido</t>
        </is>
      </c>
      <c r="J846" s="28" t="n">
        <v>45559</v>
      </c>
      <c r="K846" s="28" t="n">
        <v>45579</v>
      </c>
      <c r="L846" t="inlineStr">
        <is>
          <t>No calificó para crédito</t>
        </is>
      </c>
    </row>
    <row r="847" ht="15.75" customHeight="1" s="25">
      <c r="A847" t="inlineStr">
        <is>
          <t>CLI-0845</t>
        </is>
      </c>
      <c r="B847" t="inlineStr">
        <is>
          <t>Esteban Castaño López</t>
        </is>
      </c>
      <c r="C847" t="inlineStr">
        <is>
          <t>3172012762</t>
        </is>
      </c>
      <c r="D847" t="inlineStr">
        <is>
          <t>esteban.castano87@gmail.com</t>
        </is>
      </c>
      <c r="E847" t="inlineStr">
        <is>
          <t>Medellín</t>
        </is>
      </c>
      <c r="F847" t="inlineStr">
        <is>
          <t>PRY-004</t>
        </is>
      </c>
      <c r="G847" t="inlineStr">
        <is>
          <t>Instagram</t>
        </is>
      </c>
      <c r="H847" t="inlineStr">
        <is>
          <t>Sofía Prada</t>
        </is>
      </c>
      <c r="I847" t="inlineStr">
        <is>
          <t>Perdido</t>
        </is>
      </c>
      <c r="J847" s="28" t="n">
        <v>45559</v>
      </c>
      <c r="K847" s="28" t="n">
        <v>45576</v>
      </c>
      <c r="L847" t="inlineStr">
        <is>
          <t>Datos de contacto errados</t>
        </is>
      </c>
    </row>
    <row r="848" ht="15.75" customHeight="1" s="25">
      <c r="A848" t="inlineStr">
        <is>
          <t>CLI-0846</t>
        </is>
      </c>
      <c r="B848" t="inlineStr">
        <is>
          <t>Natalia Montes Vélez</t>
        </is>
      </c>
      <c r="C848" t="inlineStr">
        <is>
          <t>3247773144</t>
        </is>
      </c>
      <c r="D848" t="inlineStr">
        <is>
          <t>natalia.montes9@outlook.com</t>
        </is>
      </c>
      <c r="E848" t="inlineStr">
        <is>
          <t>Itagüí</t>
        </is>
      </c>
      <c r="F848" t="inlineStr">
        <is>
          <t>PRY-008</t>
        </is>
      </c>
      <c r="G848" t="inlineStr">
        <is>
          <t>Portal Web</t>
        </is>
      </c>
      <c r="H848" t="inlineStr">
        <is>
          <t>Luis Bedoya</t>
        </is>
      </c>
      <c r="I848" t="inlineStr">
        <is>
          <t>Ganado</t>
        </is>
      </c>
      <c r="J848" s="28" t="n">
        <v>45560</v>
      </c>
      <c r="K848" s="28" t="n">
        <v>45638</v>
      </c>
      <c r="L848" t="inlineStr">
        <is>
          <t>Compró Casa 107 en Valle Verde Itagüí</t>
        </is>
      </c>
    </row>
    <row r="849" ht="15.75" customHeight="1" s="25">
      <c r="A849" t="inlineStr">
        <is>
          <t>CLI-0847</t>
        </is>
      </c>
      <c r="B849" t="inlineStr">
        <is>
          <t>María Bedoya Zuluaga</t>
        </is>
      </c>
      <c r="C849" t="inlineStr">
        <is>
          <t>3148900984</t>
        </is>
      </c>
      <c r="D849" t="inlineStr">
        <is>
          <t>maria.bedoya16@gmail.com</t>
        </is>
      </c>
      <c r="E849" t="inlineStr">
        <is>
          <t>Envigado</t>
        </is>
      </c>
      <c r="F849" t="inlineStr">
        <is>
          <t>PRY-008</t>
        </is>
      </c>
      <c r="G849" t="inlineStr">
        <is>
          <t>Referido</t>
        </is>
      </c>
      <c r="H849" t="inlineStr">
        <is>
          <t>Paula Arenas</t>
        </is>
      </c>
      <c r="I849" t="inlineStr">
        <is>
          <t>Ganado</t>
        </is>
      </c>
      <c r="J849" s="28" t="n">
        <v>45560</v>
      </c>
      <c r="K849" s="28" t="n">
        <v>45633</v>
      </c>
      <c r="L849" t="inlineStr">
        <is>
          <t>Compró Casa 72 en Valle Verde Itagüí</t>
        </is>
      </c>
    </row>
    <row r="850" ht="15.75" customHeight="1" s="25">
      <c r="A850" t="inlineStr">
        <is>
          <t>CLI-0848</t>
        </is>
      </c>
      <c r="B850" t="inlineStr">
        <is>
          <t>Alejandra Pérez Valencia</t>
        </is>
      </c>
      <c r="C850" t="inlineStr">
        <is>
          <t>3235361532</t>
        </is>
      </c>
      <c r="D850" t="inlineStr">
        <is>
          <t>alejandra.perez49@yahoo.com</t>
        </is>
      </c>
      <c r="E850" t="inlineStr">
        <is>
          <t>Itagüí</t>
        </is>
      </c>
      <c r="F850" t="inlineStr">
        <is>
          <t>PRY-008</t>
        </is>
      </c>
      <c r="G850" t="inlineStr">
        <is>
          <t>Portal Web</t>
        </is>
      </c>
      <c r="H850" t="inlineStr">
        <is>
          <t>Sofía Prada</t>
        </is>
      </c>
      <c r="I850" t="inlineStr">
        <is>
          <t>Ganado</t>
        </is>
      </c>
      <c r="J850" s="28" t="n">
        <v>45560</v>
      </c>
      <c r="K850" s="28" t="n">
        <v>45651</v>
      </c>
      <c r="L850" t="inlineStr">
        <is>
          <t>Compró Casa 5 en Valle Verde Itagüí</t>
        </is>
      </c>
    </row>
    <row r="851" ht="15.75" customHeight="1" s="25">
      <c r="A851" t="inlineStr">
        <is>
          <t>CLI-0849</t>
        </is>
      </c>
      <c r="B851" t="inlineStr">
        <is>
          <t>Mateo Toro Rojas</t>
        </is>
      </c>
      <c r="C851" t="inlineStr">
        <is>
          <t>3175702980</t>
        </is>
      </c>
      <c r="D851" t="inlineStr">
        <is>
          <t>mateo.toro95@hotmail.com</t>
        </is>
      </c>
      <c r="E851" t="inlineStr">
        <is>
          <t>Rionegro</t>
        </is>
      </c>
      <c r="F851" t="inlineStr">
        <is>
          <t>PRY-007</t>
        </is>
      </c>
      <c r="G851" t="inlineStr">
        <is>
          <t>Referido</t>
        </is>
      </c>
      <c r="H851" t="inlineStr">
        <is>
          <t>Ana Quintero</t>
        </is>
      </c>
      <c r="I851" t="inlineStr">
        <is>
          <t>Perdido</t>
        </is>
      </c>
      <c r="J851" s="28" t="n">
        <v>45560</v>
      </c>
      <c r="K851" s="28" t="n">
        <v>45582</v>
      </c>
      <c r="L851" t="inlineStr">
        <is>
          <t>No calificó para crédito</t>
        </is>
      </c>
    </row>
    <row r="852" ht="15.75" customHeight="1" s="25">
      <c r="A852" t="inlineStr">
        <is>
          <t>CLI-0850</t>
        </is>
      </c>
      <c r="B852" t="inlineStr">
        <is>
          <t>Marcela Vásquez Agudelo</t>
        </is>
      </c>
      <c r="C852" t="inlineStr">
        <is>
          <t>3241256393</t>
        </is>
      </c>
      <c r="D852" t="inlineStr">
        <is>
          <t>marcela.vasquez17@gmail.com</t>
        </is>
      </c>
      <c r="E852" t="inlineStr">
        <is>
          <t>Itagüí</t>
        </is>
      </c>
      <c r="F852" t="inlineStr">
        <is>
          <t>PRY-005</t>
        </is>
      </c>
      <c r="G852" t="inlineStr">
        <is>
          <t>Portal Web</t>
        </is>
      </c>
      <c r="H852" t="inlineStr">
        <is>
          <t>Ana Quintero</t>
        </is>
      </c>
      <c r="I852" t="inlineStr">
        <is>
          <t>Perdido</t>
        </is>
      </c>
      <c r="J852" s="28" t="n">
        <v>45560</v>
      </c>
      <c r="K852" s="28" t="n">
        <v>45576</v>
      </c>
      <c r="L852" t="inlineStr">
        <is>
          <t>No calificó para crédito</t>
        </is>
      </c>
    </row>
    <row r="853" ht="15.75" customHeight="1" s="25">
      <c r="A853" t="inlineStr">
        <is>
          <t>CLI-0851</t>
        </is>
      </c>
      <c r="B853" t="inlineStr">
        <is>
          <t>Nicolás Hernández Ríos</t>
        </is>
      </c>
      <c r="C853" t="inlineStr">
        <is>
          <t>3221034426</t>
        </is>
      </c>
      <c r="D853" t="inlineStr">
        <is>
          <t>nicolas.hernandez95@hotmail.com</t>
        </is>
      </c>
      <c r="E853" t="inlineStr">
        <is>
          <t>Rionegro</t>
        </is>
      </c>
      <c r="F853" t="inlineStr">
        <is>
          <t>PRY-005</t>
        </is>
      </c>
      <c r="G853" t="inlineStr">
        <is>
          <t>Portal Web</t>
        </is>
      </c>
      <c r="H853" t="inlineStr">
        <is>
          <t>Luis Bedoya</t>
        </is>
      </c>
      <c r="I853" t="inlineStr">
        <is>
          <t>Perdido</t>
        </is>
      </c>
      <c r="J853" s="28" t="n">
        <v>45560</v>
      </c>
      <c r="K853" s="28" t="n">
        <v>45587</v>
      </c>
      <c r="L853" t="inlineStr">
        <is>
          <t>Sin respuesta tras 3 contactos</t>
        </is>
      </c>
    </row>
    <row r="854" ht="15.75" customHeight="1" s="25">
      <c r="A854" t="inlineStr">
        <is>
          <t>CLI-0852</t>
        </is>
      </c>
      <c r="B854" t="inlineStr">
        <is>
          <t>Daniela Osorio Zuluaga</t>
        </is>
      </c>
      <c r="C854" t="inlineStr">
        <is>
          <t>3173987046</t>
        </is>
      </c>
      <c r="D854" t="inlineStr">
        <is>
          <t>daniela.osorio19@hotmail.com</t>
        </is>
      </c>
      <c r="E854" t="inlineStr">
        <is>
          <t>Medellín</t>
        </is>
      </c>
      <c r="F854" t="inlineStr">
        <is>
          <t>PRY-002</t>
        </is>
      </c>
      <c r="G854" t="inlineStr">
        <is>
          <t>Portal Web</t>
        </is>
      </c>
      <c r="H854" t="inlineStr">
        <is>
          <t>Miguel Salazar</t>
        </is>
      </c>
      <c r="I854" t="inlineStr">
        <is>
          <t>Perdido</t>
        </is>
      </c>
      <c r="J854" s="28" t="n">
        <v>45560</v>
      </c>
      <c r="K854" s="28" t="n">
        <v>45574</v>
      </c>
      <c r="L854" t="inlineStr">
        <is>
          <t>Presupuesto insuficiente</t>
        </is>
      </c>
    </row>
    <row r="855" ht="15.75" customHeight="1" s="25">
      <c r="A855" t="inlineStr">
        <is>
          <t>CLI-0853</t>
        </is>
      </c>
      <c r="B855" t="inlineStr">
        <is>
          <t>Sebastián Henao Higuita</t>
        </is>
      </c>
      <c r="C855" t="inlineStr">
        <is>
          <t>3203459629</t>
        </is>
      </c>
      <c r="D855" t="inlineStr">
        <is>
          <t>sebastian.henao24@yahoo.com</t>
        </is>
      </c>
      <c r="E855" t="inlineStr">
        <is>
          <t>Medellín</t>
        </is>
      </c>
      <c r="F855" t="inlineStr">
        <is>
          <t>PRY-004</t>
        </is>
      </c>
      <c r="G855" t="inlineStr">
        <is>
          <t>Facebook</t>
        </is>
      </c>
      <c r="H855" t="inlineStr">
        <is>
          <t>Santiago Muñoz</t>
        </is>
      </c>
      <c r="I855" t="inlineStr">
        <is>
          <t>Perdido</t>
        </is>
      </c>
      <c r="J855" s="28" t="n">
        <v>45560</v>
      </c>
      <c r="K855" s="28" t="n">
        <v>45582</v>
      </c>
      <c r="L855" t="inlineStr">
        <is>
          <t>Presupuesto insuficiente</t>
        </is>
      </c>
    </row>
    <row r="856" ht="15.75" customHeight="1" s="25">
      <c r="A856" t="inlineStr">
        <is>
          <t>CLI-0854</t>
        </is>
      </c>
      <c r="B856" t="inlineStr">
        <is>
          <t>José Londoño Ochoa</t>
        </is>
      </c>
      <c r="C856" t="inlineStr">
        <is>
          <t>3043721220</t>
        </is>
      </c>
      <c r="D856" t="inlineStr">
        <is>
          <t>jose.londono45@yahoo.com</t>
        </is>
      </c>
      <c r="E856" t="inlineStr">
        <is>
          <t>Envigado</t>
        </is>
      </c>
      <c r="F856" t="inlineStr">
        <is>
          <t>PRY-007</t>
        </is>
      </c>
      <c r="G856" t="inlineStr">
        <is>
          <t>Portal Web</t>
        </is>
      </c>
      <c r="H856" t="inlineStr">
        <is>
          <t>Andrés Torres</t>
        </is>
      </c>
      <c r="I856" t="inlineStr">
        <is>
          <t>Ganado</t>
        </is>
      </c>
      <c r="J856" s="28" t="n">
        <v>45561</v>
      </c>
      <c r="K856" s="28" t="n">
        <v>45629</v>
      </c>
      <c r="L856" t="inlineStr">
        <is>
          <t>Compró Apto 1406 en Mirador de Envigado</t>
        </is>
      </c>
    </row>
    <row r="857" ht="15.75" customHeight="1" s="25">
      <c r="A857" t="inlineStr">
        <is>
          <t>CLI-0855</t>
        </is>
      </c>
      <c r="B857" t="inlineStr">
        <is>
          <t>Gloria Cifuentes Quintero</t>
        </is>
      </c>
      <c r="C857" t="inlineStr">
        <is>
          <t>3009346932</t>
        </is>
      </c>
      <c r="D857" t="inlineStr">
        <is>
          <t>gloria.cifuentes27@outlook.com</t>
        </is>
      </c>
      <c r="E857" t="inlineStr">
        <is>
          <t>Rionegro</t>
        </is>
      </c>
      <c r="F857" t="inlineStr">
        <is>
          <t>PRY-005</t>
        </is>
      </c>
      <c r="G857" t="inlineStr">
        <is>
          <t>Portal Web</t>
        </is>
      </c>
      <c r="H857" t="inlineStr">
        <is>
          <t>Paula Arenas</t>
        </is>
      </c>
      <c r="I857" t="inlineStr">
        <is>
          <t>Ganado</t>
        </is>
      </c>
      <c r="J857" s="28" t="n">
        <v>45561</v>
      </c>
      <c r="K857" s="28" t="n">
        <v>45667</v>
      </c>
      <c r="L857" t="inlineStr">
        <is>
          <t>Compró Casa 25 en Ciudadela Rionegro</t>
        </is>
      </c>
    </row>
    <row r="858" ht="15.75" customHeight="1" s="25">
      <c r="A858" t="inlineStr">
        <is>
          <t>CLI-0856</t>
        </is>
      </c>
      <c r="B858" t="inlineStr">
        <is>
          <t>María Ríos Agudelo</t>
        </is>
      </c>
      <c r="C858" t="inlineStr">
        <is>
          <t>3136341812</t>
        </is>
      </c>
      <c r="D858" t="inlineStr">
        <is>
          <t>maria.rios36@hotmail.com</t>
        </is>
      </c>
      <c r="E858" t="inlineStr">
        <is>
          <t>Sabaneta</t>
        </is>
      </c>
      <c r="F858" t="inlineStr">
        <is>
          <t>PRY-002</t>
        </is>
      </c>
      <c r="G858" t="inlineStr">
        <is>
          <t>Portal Web</t>
        </is>
      </c>
      <c r="H858" t="inlineStr">
        <is>
          <t>Sofía Prada</t>
        </is>
      </c>
      <c r="I858" t="inlineStr">
        <is>
          <t>Perdido</t>
        </is>
      </c>
      <c r="J858" s="28" t="n">
        <v>45561</v>
      </c>
      <c r="K858" s="28" t="n">
        <v>45579</v>
      </c>
      <c r="L858" t="inlineStr">
        <is>
          <t>No calificó para crédito</t>
        </is>
      </c>
    </row>
    <row r="859" ht="15.75" customHeight="1" s="25">
      <c r="A859" t="inlineStr">
        <is>
          <t>CLI-0857</t>
        </is>
      </c>
      <c r="B859" t="inlineStr">
        <is>
          <t>Carolina Ochoa Henao</t>
        </is>
      </c>
      <c r="C859" t="inlineStr">
        <is>
          <t>3042561103</t>
        </is>
      </c>
      <c r="D859" t="inlineStr">
        <is>
          <t>carolina.ochoa58@yahoo.com</t>
        </is>
      </c>
      <c r="E859" t="inlineStr">
        <is>
          <t>Rionegro</t>
        </is>
      </c>
      <c r="F859" t="inlineStr">
        <is>
          <t>PRY-005</t>
        </is>
      </c>
      <c r="G859" t="inlineStr">
        <is>
          <t>Instagram</t>
        </is>
      </c>
      <c r="H859" t="inlineStr">
        <is>
          <t>Andrés Torres</t>
        </is>
      </c>
      <c r="I859" t="inlineStr">
        <is>
          <t>Perdido</t>
        </is>
      </c>
      <c r="J859" s="28" t="n">
        <v>45561</v>
      </c>
      <c r="K859" s="28" t="n">
        <v>45571</v>
      </c>
      <c r="L859" t="inlineStr">
        <is>
          <t>No calificó para crédito</t>
        </is>
      </c>
    </row>
    <row r="860" ht="15.75" customHeight="1" s="25">
      <c r="A860" t="inlineStr">
        <is>
          <t>CLI-0858</t>
        </is>
      </c>
      <c r="B860" t="inlineStr">
        <is>
          <t>Isabel Henao Vélez</t>
        </is>
      </c>
      <c r="C860" t="inlineStr">
        <is>
          <t>3144496835</t>
        </is>
      </c>
      <c r="D860" t="inlineStr">
        <is>
          <t>isabel.henao1@outlook.com</t>
        </is>
      </c>
      <c r="E860" t="inlineStr">
        <is>
          <t>Rionegro</t>
        </is>
      </c>
      <c r="F860" t="inlineStr">
        <is>
          <t>PRY-005</t>
        </is>
      </c>
      <c r="G860" t="inlineStr">
        <is>
          <t>Facebook</t>
        </is>
      </c>
      <c r="H860" t="inlineStr">
        <is>
          <t>Juliana Vélez</t>
        </is>
      </c>
      <c r="I860" t="inlineStr">
        <is>
          <t>Perdido</t>
        </is>
      </c>
      <c r="J860" s="28" t="n">
        <v>45561</v>
      </c>
      <c r="K860" s="28" t="n">
        <v>45587</v>
      </c>
      <c r="L860" t="inlineStr">
        <is>
          <t>Buscaba arriendo, no compra</t>
        </is>
      </c>
    </row>
    <row r="861" ht="15.75" customHeight="1" s="25">
      <c r="A861" t="inlineStr">
        <is>
          <t>CLI-0859</t>
        </is>
      </c>
      <c r="B861" t="inlineStr">
        <is>
          <t>María Agudelo Valencia</t>
        </is>
      </c>
      <c r="C861" t="inlineStr">
        <is>
          <t>3017850826</t>
        </is>
      </c>
      <c r="D861" t="inlineStr">
        <is>
          <t>maria.agudelo52@yahoo.com</t>
        </is>
      </c>
      <c r="E861" t="inlineStr">
        <is>
          <t>Medellín</t>
        </is>
      </c>
      <c r="F861" t="inlineStr">
        <is>
          <t>PRY-003</t>
        </is>
      </c>
      <c r="G861" t="inlineStr">
        <is>
          <t>Feria Inmobiliaria</t>
        </is>
      </c>
      <c r="H861" t="inlineStr">
        <is>
          <t>Andrés Torres</t>
        </is>
      </c>
      <c r="I861" t="inlineStr">
        <is>
          <t>Ganado</t>
        </is>
      </c>
      <c r="J861" s="28" t="n">
        <v>45562</v>
      </c>
      <c r="K861" s="28" t="n">
        <v>45641</v>
      </c>
      <c r="L861" t="inlineStr">
        <is>
          <t>Compró Apto 1904 en Conecta Laureles</t>
        </is>
      </c>
    </row>
    <row r="862" ht="15.75" customHeight="1" s="25">
      <c r="A862" t="inlineStr">
        <is>
          <t>CLI-0860</t>
        </is>
      </c>
      <c r="B862" t="inlineStr">
        <is>
          <t>Ricardo Henao Escobar</t>
        </is>
      </c>
      <c r="C862" t="inlineStr">
        <is>
          <t>3205192714</t>
        </is>
      </c>
      <c r="D862" t="inlineStr">
        <is>
          <t>ricardo.henao11@outlook.com</t>
        </is>
      </c>
      <c r="E862" t="inlineStr">
        <is>
          <t>Sabaneta</t>
        </is>
      </c>
      <c r="F862" t="inlineStr">
        <is>
          <t>PRY-007</t>
        </is>
      </c>
      <c r="G862" t="inlineStr">
        <is>
          <t>Portal Web</t>
        </is>
      </c>
      <c r="H862" t="inlineStr">
        <is>
          <t>Luis Bedoya</t>
        </is>
      </c>
      <c r="I862" t="inlineStr">
        <is>
          <t>Perdido</t>
        </is>
      </c>
      <c r="J862" s="28" t="n">
        <v>45562</v>
      </c>
      <c r="K862" s="28" t="n">
        <v>45588</v>
      </c>
      <c r="L862" t="inlineStr">
        <is>
          <t>Datos de contacto errados</t>
        </is>
      </c>
    </row>
    <row r="863" ht="15.75" customHeight="1" s="25">
      <c r="A863" t="inlineStr">
        <is>
          <t>CLI-0861</t>
        </is>
      </c>
      <c r="B863" t="inlineStr">
        <is>
          <t>Gloria Henao Salcedo</t>
        </is>
      </c>
      <c r="C863" t="inlineStr">
        <is>
          <t>3171905772</t>
        </is>
      </c>
      <c r="D863" t="inlineStr">
        <is>
          <t>gloria.henao95@hotmail.com</t>
        </is>
      </c>
      <c r="E863" t="inlineStr">
        <is>
          <t>Rionegro</t>
        </is>
      </c>
      <c r="F863" t="inlineStr">
        <is>
          <t>PRY-005</t>
        </is>
      </c>
      <c r="G863" t="inlineStr">
        <is>
          <t>Facebook</t>
        </is>
      </c>
      <c r="H863" t="inlineStr">
        <is>
          <t>Sofía Prada</t>
        </is>
      </c>
      <c r="I863" t="inlineStr">
        <is>
          <t>Ganado</t>
        </is>
      </c>
      <c r="J863" s="28" t="n">
        <v>45563</v>
      </c>
      <c r="K863" s="28" t="n">
        <v>45709</v>
      </c>
      <c r="L863" t="inlineStr">
        <is>
          <t>Compró Casa 13 en Ciudadela Rionegro</t>
        </is>
      </c>
    </row>
    <row r="864" ht="15.75" customHeight="1" s="25">
      <c r="A864" t="inlineStr">
        <is>
          <t>CLI-0862</t>
        </is>
      </c>
      <c r="B864" t="inlineStr">
        <is>
          <t>Camila López Peláez</t>
        </is>
      </c>
      <c r="C864" t="inlineStr">
        <is>
          <t>3004498882</t>
        </is>
      </c>
      <c r="D864" t="inlineStr">
        <is>
          <t>camila.lopez9@hotmail.com</t>
        </is>
      </c>
      <c r="E864" t="inlineStr">
        <is>
          <t>Medellín</t>
        </is>
      </c>
      <c r="F864" t="inlineStr">
        <is>
          <t>PRY-008</t>
        </is>
      </c>
      <c r="G864" t="inlineStr">
        <is>
          <t>Llamada directa</t>
        </is>
      </c>
      <c r="H864" t="inlineStr">
        <is>
          <t>Ana Quintero</t>
        </is>
      </c>
      <c r="I864" t="inlineStr">
        <is>
          <t>Perdido</t>
        </is>
      </c>
      <c r="J864" s="28" t="n">
        <v>45563</v>
      </c>
      <c r="K864" s="28" t="n">
        <v>45578</v>
      </c>
      <c r="L864" t="inlineStr">
        <is>
          <t>Datos de contacto errados</t>
        </is>
      </c>
    </row>
    <row r="865" ht="15.75" customHeight="1" s="25">
      <c r="A865" t="inlineStr">
        <is>
          <t>CLI-0863</t>
        </is>
      </c>
      <c r="B865" t="inlineStr">
        <is>
          <t>Camila Muñoz Vargas</t>
        </is>
      </c>
      <c r="C865" t="inlineStr">
        <is>
          <t>3132671004</t>
        </is>
      </c>
      <c r="D865" t="inlineStr">
        <is>
          <t>camila.munoz69@yahoo.com</t>
        </is>
      </c>
      <c r="E865" t="inlineStr">
        <is>
          <t>Medellín</t>
        </is>
      </c>
      <c r="F865" t="inlineStr">
        <is>
          <t>PRY-004</t>
        </is>
      </c>
      <c r="G865" t="inlineStr">
        <is>
          <t>Instagram</t>
        </is>
      </c>
      <c r="H865" t="inlineStr">
        <is>
          <t>Andrés Torres</t>
        </is>
      </c>
      <c r="I865" t="inlineStr">
        <is>
          <t>Perdido</t>
        </is>
      </c>
      <c r="J865" s="28" t="n">
        <v>45563</v>
      </c>
      <c r="K865" s="28" t="n">
        <v>45586</v>
      </c>
      <c r="L865" t="inlineStr">
        <is>
          <t>No calificó para crédito</t>
        </is>
      </c>
    </row>
    <row r="866" ht="15.75" customHeight="1" s="25">
      <c r="A866" t="inlineStr">
        <is>
          <t>CLI-0864</t>
        </is>
      </c>
      <c r="B866" t="inlineStr">
        <is>
          <t>Daniela Henao Restrepo</t>
        </is>
      </c>
      <c r="C866" t="inlineStr">
        <is>
          <t>3227755382</t>
        </is>
      </c>
      <c r="D866" t="inlineStr">
        <is>
          <t>daniela.henao99@gmail.com</t>
        </is>
      </c>
      <c r="E866" t="inlineStr">
        <is>
          <t>La Estrella</t>
        </is>
      </c>
      <c r="F866" t="inlineStr">
        <is>
          <t>PRY-008</t>
        </is>
      </c>
      <c r="G866" t="inlineStr">
        <is>
          <t>Instagram</t>
        </is>
      </c>
      <c r="H866" t="inlineStr">
        <is>
          <t>Miguel Salazar</t>
        </is>
      </c>
      <c r="I866" t="inlineStr">
        <is>
          <t>Perdido</t>
        </is>
      </c>
      <c r="J866" s="28" t="n">
        <v>45563</v>
      </c>
      <c r="K866" s="28" t="n">
        <v>45579</v>
      </c>
      <c r="L866" t="inlineStr">
        <is>
          <t>Buscaba arriendo, no compra</t>
        </is>
      </c>
    </row>
    <row r="867" ht="15.75" customHeight="1" s="25">
      <c r="A867" t="inlineStr">
        <is>
          <t>CLI-0865</t>
        </is>
      </c>
      <c r="B867" t="inlineStr">
        <is>
          <t>Isabel Bedoya Arango</t>
        </is>
      </c>
      <c r="C867" t="inlineStr">
        <is>
          <t>3046429073</t>
        </is>
      </c>
      <c r="D867" t="inlineStr">
        <is>
          <t>isabel.bedoya46@outlook.com</t>
        </is>
      </c>
      <c r="E867" t="inlineStr">
        <is>
          <t>Envigado</t>
        </is>
      </c>
      <c r="F867" t="inlineStr">
        <is>
          <t>PRY-004</t>
        </is>
      </c>
      <c r="G867" t="inlineStr">
        <is>
          <t>Referido</t>
        </is>
      </c>
      <c r="H867" t="inlineStr">
        <is>
          <t>Santiago Muñoz</t>
        </is>
      </c>
      <c r="I867" t="inlineStr">
        <is>
          <t>Perdido</t>
        </is>
      </c>
      <c r="J867" s="28" t="n">
        <v>45564</v>
      </c>
      <c r="K867" s="28" t="n">
        <v>45593</v>
      </c>
      <c r="L867" t="inlineStr">
        <is>
          <t>No calificó para crédito</t>
        </is>
      </c>
    </row>
    <row r="868" ht="15.75" customHeight="1" s="25">
      <c r="A868" t="inlineStr">
        <is>
          <t>CLI-0866</t>
        </is>
      </c>
      <c r="B868" t="inlineStr">
        <is>
          <t>José Hernández Gómez</t>
        </is>
      </c>
      <c r="C868" t="inlineStr">
        <is>
          <t>3008824386</t>
        </is>
      </c>
      <c r="D868" t="inlineStr">
        <is>
          <t>jose.hernandez53@outlook.com</t>
        </is>
      </c>
      <c r="E868" t="inlineStr">
        <is>
          <t>Sabaneta</t>
        </is>
      </c>
      <c r="F868" t="inlineStr">
        <is>
          <t>PRY-008</t>
        </is>
      </c>
      <c r="G868" t="inlineStr">
        <is>
          <t>Portal Web</t>
        </is>
      </c>
      <c r="H868" t="inlineStr">
        <is>
          <t>Ana Quintero</t>
        </is>
      </c>
      <c r="I868" t="inlineStr">
        <is>
          <t>Perdido</t>
        </is>
      </c>
      <c r="J868" s="28" t="n">
        <v>45564</v>
      </c>
      <c r="K868" s="28" t="n">
        <v>45575</v>
      </c>
      <c r="L868" t="inlineStr">
        <is>
          <t>Sin respuesta tras 3 contactos</t>
        </is>
      </c>
    </row>
    <row r="869" ht="15.75" customHeight="1" s="25">
      <c r="A869" t="inlineStr">
        <is>
          <t>CLI-0867</t>
        </is>
      </c>
      <c r="B869" t="inlineStr">
        <is>
          <t>Ricardo Escobar Salcedo</t>
        </is>
      </c>
      <c r="C869" t="inlineStr">
        <is>
          <t>3241406967</t>
        </is>
      </c>
      <c r="D869" t="inlineStr">
        <is>
          <t>ricardo.escobar52@gmail.com</t>
        </is>
      </c>
      <c r="E869" t="inlineStr">
        <is>
          <t>Medellín</t>
        </is>
      </c>
      <c r="F869" t="inlineStr">
        <is>
          <t>PRY-002</t>
        </is>
      </c>
      <c r="G869" t="inlineStr">
        <is>
          <t>Instagram</t>
        </is>
      </c>
      <c r="H869" t="inlineStr">
        <is>
          <t>Ana Quintero</t>
        </is>
      </c>
      <c r="I869" t="inlineStr">
        <is>
          <t>Ganado</t>
        </is>
      </c>
      <c r="J869" s="28" t="n">
        <v>45565</v>
      </c>
      <c r="K869" s="28" t="n">
        <v>45748</v>
      </c>
      <c r="L869" t="inlineStr">
        <is>
          <t>Compró Casa 59 en Reserva Santa Elena</t>
        </is>
      </c>
    </row>
    <row r="870" ht="15.75" customHeight="1" s="25">
      <c r="A870" t="inlineStr">
        <is>
          <t>CLI-0868</t>
        </is>
      </c>
      <c r="B870" t="inlineStr">
        <is>
          <t>Santiago Cifuentes Castaño</t>
        </is>
      </c>
      <c r="C870" t="inlineStr">
        <is>
          <t>3019350783</t>
        </is>
      </c>
      <c r="D870" t="inlineStr">
        <is>
          <t>santiago.cifuentes5@hotmail.com</t>
        </is>
      </c>
      <c r="E870" t="inlineStr">
        <is>
          <t>Itagüí</t>
        </is>
      </c>
      <c r="F870" t="inlineStr">
        <is>
          <t>PRY-001</t>
        </is>
      </c>
      <c r="G870" t="inlineStr">
        <is>
          <t>Portal Web</t>
        </is>
      </c>
      <c r="H870" t="inlineStr">
        <is>
          <t>Ana Quintero</t>
        </is>
      </c>
      <c r="I870" t="inlineStr">
        <is>
          <t>Perdido</t>
        </is>
      </c>
      <c r="J870" s="28" t="n">
        <v>45565</v>
      </c>
      <c r="K870" s="28" t="n">
        <v>45583</v>
      </c>
      <c r="L870" t="inlineStr">
        <is>
          <t>Buscaba arriendo, no compra</t>
        </is>
      </c>
    </row>
    <row r="871" ht="15.75" customHeight="1" s="25">
      <c r="A871" t="inlineStr">
        <is>
          <t>CLI-0869</t>
        </is>
      </c>
      <c r="B871" t="inlineStr">
        <is>
          <t>José Bedoya Betancur</t>
        </is>
      </c>
      <c r="C871" t="inlineStr">
        <is>
          <t>3146967274</t>
        </is>
      </c>
      <c r="D871" t="inlineStr">
        <is>
          <t>jose.bedoya39@hotmail.com</t>
        </is>
      </c>
      <c r="E871" t="inlineStr">
        <is>
          <t>Rionegro</t>
        </is>
      </c>
      <c r="F871" t="inlineStr">
        <is>
          <t>PRY-007</t>
        </is>
      </c>
      <c r="G871" t="inlineStr">
        <is>
          <t>Portal Web</t>
        </is>
      </c>
      <c r="H871" t="inlineStr">
        <is>
          <t>Ana Quintero</t>
        </is>
      </c>
      <c r="I871" t="inlineStr">
        <is>
          <t>Perdido</t>
        </is>
      </c>
      <c r="J871" s="28" t="n">
        <v>45566</v>
      </c>
      <c r="K871" s="28" t="n">
        <v>45592</v>
      </c>
      <c r="L871" t="inlineStr">
        <is>
          <t>Sin respuesta tras 3 contactos</t>
        </is>
      </c>
    </row>
    <row r="872" ht="15.75" customHeight="1" s="25">
      <c r="A872" t="inlineStr">
        <is>
          <t>CLI-0870</t>
        </is>
      </c>
      <c r="B872" t="inlineStr">
        <is>
          <t>Tomás Ríos Higuita</t>
        </is>
      </c>
      <c r="C872" t="inlineStr">
        <is>
          <t>3152750795</t>
        </is>
      </c>
      <c r="D872" t="inlineStr">
        <is>
          <t>tomas.rios88@gmail.com</t>
        </is>
      </c>
      <c r="E872" t="inlineStr">
        <is>
          <t>Envigado</t>
        </is>
      </c>
      <c r="F872" t="inlineStr">
        <is>
          <t>PRY-007</t>
        </is>
      </c>
      <c r="G872" t="inlineStr">
        <is>
          <t>Portal Web</t>
        </is>
      </c>
      <c r="H872" t="inlineStr">
        <is>
          <t>Ana Quintero</t>
        </is>
      </c>
      <c r="I872" t="inlineStr">
        <is>
          <t>Perdido</t>
        </is>
      </c>
      <c r="J872" s="28" t="n">
        <v>45566</v>
      </c>
      <c r="K872" s="28" t="n">
        <v>45584</v>
      </c>
      <c r="L872" t="inlineStr">
        <is>
          <t>No calificó para crédito</t>
        </is>
      </c>
    </row>
    <row r="873" ht="15.75" customHeight="1" s="25">
      <c r="A873" t="inlineStr">
        <is>
          <t>CLI-0871</t>
        </is>
      </c>
      <c r="B873" t="inlineStr">
        <is>
          <t>Juliana Uribe Marín</t>
        </is>
      </c>
      <c r="C873" t="inlineStr">
        <is>
          <t>3176693672</t>
        </is>
      </c>
      <c r="D873" t="inlineStr">
        <is>
          <t>juliana.uribe94@outlook.com</t>
        </is>
      </c>
      <c r="E873" t="inlineStr">
        <is>
          <t>Medellín</t>
        </is>
      </c>
      <c r="F873" t="inlineStr">
        <is>
          <t>PRY-001</t>
        </is>
      </c>
      <c r="G873" t="inlineStr">
        <is>
          <t>Llamada directa</t>
        </is>
      </c>
      <c r="H873" t="inlineStr">
        <is>
          <t>Ana Quintero</t>
        </is>
      </c>
      <c r="I873" t="inlineStr">
        <is>
          <t>Perdido</t>
        </is>
      </c>
      <c r="J873" s="28" t="n">
        <v>45566</v>
      </c>
      <c r="K873" s="28" t="n">
        <v>45572</v>
      </c>
      <c r="L873" t="inlineStr">
        <is>
          <t>Buscaba arriendo, no compra</t>
        </is>
      </c>
    </row>
    <row r="874" ht="15.75" customHeight="1" s="25">
      <c r="A874" t="inlineStr">
        <is>
          <t>CLI-0872</t>
        </is>
      </c>
      <c r="B874" t="inlineStr">
        <is>
          <t>Daniela Agudelo Sánchez</t>
        </is>
      </c>
      <c r="C874" t="inlineStr">
        <is>
          <t>3017144459</t>
        </is>
      </c>
      <c r="D874" t="inlineStr">
        <is>
          <t>daniela.agudelo20@gmail.com</t>
        </is>
      </c>
      <c r="E874" t="inlineStr">
        <is>
          <t>Bello</t>
        </is>
      </c>
      <c r="F874" t="inlineStr">
        <is>
          <t>PRY-007</t>
        </is>
      </c>
      <c r="G874" t="inlineStr">
        <is>
          <t>Portal Web</t>
        </is>
      </c>
      <c r="H874" t="inlineStr">
        <is>
          <t>Santiago Muñoz</t>
        </is>
      </c>
      <c r="I874" t="inlineStr">
        <is>
          <t>Perdido</t>
        </is>
      </c>
      <c r="J874" s="28" t="n">
        <v>45567</v>
      </c>
      <c r="K874" s="28" t="n">
        <v>45573</v>
      </c>
      <c r="L874" t="inlineStr">
        <is>
          <t>Sin respuesta tras 3 contactos</t>
        </is>
      </c>
    </row>
    <row r="875" ht="15.75" customHeight="1" s="25">
      <c r="A875" t="inlineStr">
        <is>
          <t>CLI-0873</t>
        </is>
      </c>
      <c r="B875" t="inlineStr">
        <is>
          <t>Felipe Echeverri Zuluaga</t>
        </is>
      </c>
      <c r="C875" t="inlineStr">
        <is>
          <t>3156179755</t>
        </is>
      </c>
      <c r="D875" t="inlineStr">
        <is>
          <t>felipe.echeverri64@hotmail.com</t>
        </is>
      </c>
      <c r="E875" t="inlineStr">
        <is>
          <t>Envigado</t>
        </is>
      </c>
      <c r="F875" t="inlineStr">
        <is>
          <t>PRY-007</t>
        </is>
      </c>
      <c r="G875" t="inlineStr">
        <is>
          <t>Llamada directa</t>
        </is>
      </c>
      <c r="H875" t="inlineStr">
        <is>
          <t>Andrés Torres</t>
        </is>
      </c>
      <c r="I875" t="inlineStr">
        <is>
          <t>Perdido</t>
        </is>
      </c>
      <c r="J875" s="28" t="n">
        <v>45567</v>
      </c>
      <c r="K875" s="28" t="n">
        <v>45594</v>
      </c>
      <c r="L875" t="inlineStr">
        <is>
          <t>Presupuesto insuficiente</t>
        </is>
      </c>
    </row>
    <row r="876" ht="15.75" customHeight="1" s="25">
      <c r="A876" t="inlineStr">
        <is>
          <t>CLI-0874</t>
        </is>
      </c>
      <c r="B876" t="inlineStr">
        <is>
          <t>Esteban Sánchez Valencia</t>
        </is>
      </c>
      <c r="C876" t="inlineStr">
        <is>
          <t>3238682316</t>
        </is>
      </c>
      <c r="D876" t="inlineStr">
        <is>
          <t>esteban.sanchez16@gmail.com</t>
        </is>
      </c>
      <c r="E876" t="inlineStr">
        <is>
          <t>Medellín</t>
        </is>
      </c>
      <c r="F876" t="inlineStr">
        <is>
          <t>PRY-004</t>
        </is>
      </c>
      <c r="G876" t="inlineStr">
        <is>
          <t>Feria Inmobiliaria</t>
        </is>
      </c>
      <c r="H876" t="inlineStr">
        <is>
          <t>Miguel Salazar</t>
        </is>
      </c>
      <c r="I876" t="inlineStr">
        <is>
          <t>Ganado</t>
        </is>
      </c>
      <c r="J876" s="28" t="n">
        <v>45568</v>
      </c>
      <c r="K876" s="28" t="n">
        <v>45681</v>
      </c>
      <c r="L876" t="inlineStr">
        <is>
          <t>Compró Casa 9 en Altavista Park</t>
        </is>
      </c>
    </row>
    <row r="877" ht="15.75" customHeight="1" s="25">
      <c r="A877" t="inlineStr">
        <is>
          <t>CLI-0875</t>
        </is>
      </c>
      <c r="B877" t="inlineStr">
        <is>
          <t>Camila Valencia Arango</t>
        </is>
      </c>
      <c r="C877" t="inlineStr">
        <is>
          <t>3133049849</t>
        </is>
      </c>
      <c r="D877" t="inlineStr">
        <is>
          <t>camila.valencia57@hotmail.com</t>
        </is>
      </c>
      <c r="E877" t="inlineStr">
        <is>
          <t>Medellín</t>
        </is>
      </c>
      <c r="F877" t="inlineStr">
        <is>
          <t>PRY-004</t>
        </is>
      </c>
      <c r="G877" t="inlineStr">
        <is>
          <t>Portal Web</t>
        </is>
      </c>
      <c r="H877" t="inlineStr">
        <is>
          <t>Juliana Vélez</t>
        </is>
      </c>
      <c r="I877" t="inlineStr">
        <is>
          <t>Ganado</t>
        </is>
      </c>
      <c r="J877" s="28" t="n">
        <v>45568</v>
      </c>
      <c r="K877" s="28" t="n">
        <v>45668</v>
      </c>
      <c r="L877" t="inlineStr">
        <is>
          <t>Compró Casa 74 en Altavista Park</t>
        </is>
      </c>
    </row>
    <row r="878" ht="15.75" customHeight="1" s="25">
      <c r="A878" t="inlineStr">
        <is>
          <t>CLI-0876</t>
        </is>
      </c>
      <c r="B878" t="inlineStr">
        <is>
          <t>Mariana Marín Montoya</t>
        </is>
      </c>
      <c r="C878" t="inlineStr">
        <is>
          <t>3008380652</t>
        </is>
      </c>
      <c r="D878" t="inlineStr">
        <is>
          <t>mariana.marin22@outlook.com</t>
        </is>
      </c>
      <c r="E878" t="inlineStr">
        <is>
          <t>Rionegro</t>
        </is>
      </c>
      <c r="F878" t="inlineStr">
        <is>
          <t>PRY-007</t>
        </is>
      </c>
      <c r="G878" t="inlineStr">
        <is>
          <t>Instagram</t>
        </is>
      </c>
      <c r="H878" t="inlineStr">
        <is>
          <t>Juliana Vélez</t>
        </is>
      </c>
      <c r="I878" t="inlineStr">
        <is>
          <t>Perdido</t>
        </is>
      </c>
      <c r="J878" s="28" t="n">
        <v>45568</v>
      </c>
      <c r="K878" s="28" t="n">
        <v>45583</v>
      </c>
      <c r="L878" t="inlineStr">
        <is>
          <t>Sin respuesta tras 3 contactos</t>
        </is>
      </c>
    </row>
    <row r="879" ht="15.75" customHeight="1" s="25">
      <c r="A879" t="inlineStr">
        <is>
          <t>CLI-0877</t>
        </is>
      </c>
      <c r="B879" t="inlineStr">
        <is>
          <t>Jorge Restrepo Hernández</t>
        </is>
      </c>
      <c r="C879" t="inlineStr">
        <is>
          <t>3002440521</t>
        </is>
      </c>
      <c r="D879" t="inlineStr">
        <is>
          <t>jorge.restrepo33@hotmail.com</t>
        </is>
      </c>
      <c r="E879" t="inlineStr">
        <is>
          <t>Itagüí</t>
        </is>
      </c>
      <c r="F879" t="inlineStr">
        <is>
          <t>PRY-004</t>
        </is>
      </c>
      <c r="G879" t="inlineStr">
        <is>
          <t>Facebook</t>
        </is>
      </c>
      <c r="H879" t="inlineStr">
        <is>
          <t>Andrés Torres</t>
        </is>
      </c>
      <c r="I879" t="inlineStr">
        <is>
          <t>Perdido</t>
        </is>
      </c>
      <c r="J879" s="28" t="n">
        <v>45568</v>
      </c>
      <c r="K879" s="28" t="n">
        <v>45593</v>
      </c>
      <c r="L879" t="inlineStr">
        <is>
          <t>Presupuesto insuficiente</t>
        </is>
      </c>
    </row>
    <row r="880" ht="15.75" customHeight="1" s="25">
      <c r="A880" t="inlineStr">
        <is>
          <t>CLI-0878</t>
        </is>
      </c>
      <c r="B880" t="inlineStr">
        <is>
          <t>Liliana Montes Mejía</t>
        </is>
      </c>
      <c r="C880" t="inlineStr">
        <is>
          <t>3179288759</t>
        </is>
      </c>
      <c r="D880" t="inlineStr">
        <is>
          <t>liliana.montes94@outlook.com</t>
        </is>
      </c>
      <c r="E880" t="inlineStr">
        <is>
          <t>Itagüí</t>
        </is>
      </c>
      <c r="F880" t="inlineStr">
        <is>
          <t>PRY-008</t>
        </is>
      </c>
      <c r="G880" t="inlineStr">
        <is>
          <t>Referido</t>
        </is>
      </c>
      <c r="H880" t="inlineStr">
        <is>
          <t>Sofía Prada</t>
        </is>
      </c>
      <c r="I880" t="inlineStr">
        <is>
          <t>Ganado</t>
        </is>
      </c>
      <c r="J880" s="28" t="n">
        <v>45570</v>
      </c>
      <c r="K880" s="28" t="n">
        <v>45651</v>
      </c>
      <c r="L880" t="inlineStr">
        <is>
          <t>Compró Casa 42 en Valle Verde Itagüí</t>
        </is>
      </c>
    </row>
    <row r="881" ht="15.75" customHeight="1" s="25">
      <c r="A881" t="inlineStr">
        <is>
          <t>CLI-0879</t>
        </is>
      </c>
      <c r="B881" t="inlineStr">
        <is>
          <t>David Vargas Peláez</t>
        </is>
      </c>
      <c r="C881" t="inlineStr">
        <is>
          <t>3103145743</t>
        </is>
      </c>
      <c r="D881" t="inlineStr">
        <is>
          <t>david.vargas39@hotmail.com</t>
        </is>
      </c>
      <c r="E881" t="inlineStr">
        <is>
          <t>Bello</t>
        </is>
      </c>
      <c r="F881" t="inlineStr">
        <is>
          <t>PRY-005</t>
        </is>
      </c>
      <c r="G881" t="inlineStr">
        <is>
          <t>Llamada directa</t>
        </is>
      </c>
      <c r="H881" t="inlineStr">
        <is>
          <t>Ana Quintero</t>
        </is>
      </c>
      <c r="I881" t="inlineStr">
        <is>
          <t>Perdido</t>
        </is>
      </c>
      <c r="J881" s="28" t="n">
        <v>45570</v>
      </c>
      <c r="K881" s="28" t="n">
        <v>45577</v>
      </c>
      <c r="L881" t="inlineStr">
        <is>
          <t>Sin respuesta tras 3 contactos</t>
        </is>
      </c>
    </row>
    <row r="882" ht="15.75" customHeight="1" s="25">
      <c r="A882" t="inlineStr">
        <is>
          <t>CLI-0880</t>
        </is>
      </c>
      <c r="B882" t="inlineStr">
        <is>
          <t>Iván Escobar Montoya</t>
        </is>
      </c>
      <c r="C882" t="inlineStr">
        <is>
          <t>3179445284</t>
        </is>
      </c>
      <c r="D882" t="inlineStr">
        <is>
          <t>ivan.escobar98@hotmail.com</t>
        </is>
      </c>
      <c r="E882" t="inlineStr">
        <is>
          <t>Bello</t>
        </is>
      </c>
      <c r="F882" t="inlineStr">
        <is>
          <t>PRY-003</t>
        </is>
      </c>
      <c r="G882" t="inlineStr">
        <is>
          <t>Portal Web</t>
        </is>
      </c>
      <c r="H882" t="inlineStr">
        <is>
          <t>Andrés Torres</t>
        </is>
      </c>
      <c r="I882" t="inlineStr">
        <is>
          <t>Perdido</t>
        </is>
      </c>
      <c r="J882" s="28" t="n">
        <v>45570</v>
      </c>
      <c r="K882" s="28" t="n">
        <v>45581</v>
      </c>
      <c r="L882" t="inlineStr">
        <is>
          <t>Presupuesto insuficiente</t>
        </is>
      </c>
    </row>
    <row r="883" ht="15.75" customHeight="1" s="25">
      <c r="A883" t="inlineStr">
        <is>
          <t>CLI-0881</t>
        </is>
      </c>
      <c r="B883" t="inlineStr">
        <is>
          <t>Simón Montes Sánchez</t>
        </is>
      </c>
      <c r="C883" t="inlineStr">
        <is>
          <t>3207977283</t>
        </is>
      </c>
      <c r="D883" t="inlineStr">
        <is>
          <t>simon.montes18@yahoo.com</t>
        </is>
      </c>
      <c r="E883" t="inlineStr">
        <is>
          <t>Medellín</t>
        </is>
      </c>
      <c r="F883" t="inlineStr">
        <is>
          <t>PRY-004</t>
        </is>
      </c>
      <c r="G883" t="inlineStr">
        <is>
          <t>Portal Web</t>
        </is>
      </c>
      <c r="H883" t="inlineStr">
        <is>
          <t>Paula Arenas</t>
        </is>
      </c>
      <c r="I883" t="inlineStr">
        <is>
          <t>Ganado</t>
        </is>
      </c>
      <c r="J883" s="28" t="n">
        <v>45571</v>
      </c>
      <c r="K883" s="28" t="n">
        <v>45652</v>
      </c>
      <c r="L883" t="inlineStr">
        <is>
          <t>Compró Casa 77 en Altavista Park</t>
        </is>
      </c>
    </row>
    <row r="884" ht="15.75" customHeight="1" s="25">
      <c r="A884" t="inlineStr">
        <is>
          <t>CLI-0882</t>
        </is>
      </c>
      <c r="B884" t="inlineStr">
        <is>
          <t>Sebastián Cano Bedoya</t>
        </is>
      </c>
      <c r="C884" t="inlineStr">
        <is>
          <t>3238704749</t>
        </is>
      </c>
      <c r="D884" t="inlineStr">
        <is>
          <t>sebastian.cano30@yahoo.com</t>
        </is>
      </c>
      <c r="E884" t="inlineStr">
        <is>
          <t>Medellín</t>
        </is>
      </c>
      <c r="F884" t="inlineStr">
        <is>
          <t>PRY-002</t>
        </is>
      </c>
      <c r="G884" t="inlineStr">
        <is>
          <t>Portal Web</t>
        </is>
      </c>
      <c r="H884" t="inlineStr">
        <is>
          <t>Sofía Prada</t>
        </is>
      </c>
      <c r="I884" t="inlineStr">
        <is>
          <t>Perdido</t>
        </is>
      </c>
      <c r="J884" s="28" t="n">
        <v>45571</v>
      </c>
      <c r="K884" s="28" t="n">
        <v>45598</v>
      </c>
      <c r="L884" t="inlineStr">
        <is>
          <t>Presupuesto insuficiente</t>
        </is>
      </c>
    </row>
    <row r="885" ht="15.75" customHeight="1" s="25">
      <c r="A885" t="inlineStr">
        <is>
          <t>CLI-0883</t>
        </is>
      </c>
      <c r="B885" t="inlineStr">
        <is>
          <t>Mauricio Castaño Ríos</t>
        </is>
      </c>
      <c r="C885" t="inlineStr">
        <is>
          <t>3008820186</t>
        </is>
      </c>
      <c r="D885" t="inlineStr">
        <is>
          <t>mauricio.castano45@yahoo.com</t>
        </is>
      </c>
      <c r="E885" t="inlineStr">
        <is>
          <t>Envigado</t>
        </is>
      </c>
      <c r="F885" t="inlineStr">
        <is>
          <t>PRY-007</t>
        </is>
      </c>
      <c r="G885" t="inlineStr">
        <is>
          <t>Llamada directa</t>
        </is>
      </c>
      <c r="H885" t="inlineStr">
        <is>
          <t>Andrés Torres</t>
        </is>
      </c>
      <c r="I885" t="inlineStr">
        <is>
          <t>Perdido</t>
        </is>
      </c>
      <c r="J885" s="28" t="n">
        <v>45571</v>
      </c>
      <c r="K885" s="28" t="n">
        <v>45590</v>
      </c>
      <c r="L885" t="inlineStr">
        <is>
          <t>Presupuesto insuficiente</t>
        </is>
      </c>
    </row>
    <row r="886" ht="15.75" customHeight="1" s="25">
      <c r="A886" t="inlineStr">
        <is>
          <t>CLI-0884</t>
        </is>
      </c>
      <c r="B886" t="inlineStr">
        <is>
          <t>Tomás Cano Sánchez</t>
        </is>
      </c>
      <c r="C886" t="inlineStr">
        <is>
          <t>3223882430</t>
        </is>
      </c>
      <c r="D886" t="inlineStr">
        <is>
          <t>tomas.cano15@gmail.com</t>
        </is>
      </c>
      <c r="E886" t="inlineStr">
        <is>
          <t>Medellín</t>
        </is>
      </c>
      <c r="F886" t="inlineStr">
        <is>
          <t>PRY-003</t>
        </is>
      </c>
      <c r="G886" t="inlineStr">
        <is>
          <t>Instagram</t>
        </is>
      </c>
      <c r="H886" t="inlineStr">
        <is>
          <t>Santiago Muñoz</t>
        </is>
      </c>
      <c r="I886" t="inlineStr">
        <is>
          <t>Perdido</t>
        </is>
      </c>
      <c r="J886" s="28" t="n">
        <v>45571</v>
      </c>
      <c r="K886" s="28" t="n">
        <v>45582</v>
      </c>
      <c r="L886" t="inlineStr">
        <is>
          <t>Sin respuesta tras 3 contactos</t>
        </is>
      </c>
    </row>
    <row r="887" ht="15.75" customHeight="1" s="25">
      <c r="A887" t="inlineStr">
        <is>
          <t>CLI-0885</t>
        </is>
      </c>
      <c r="B887" t="inlineStr">
        <is>
          <t>Mauricio Valencia Jaramillo</t>
        </is>
      </c>
      <c r="C887" t="inlineStr">
        <is>
          <t>3242714015</t>
        </is>
      </c>
      <c r="D887" t="inlineStr">
        <is>
          <t>mauricio.valencia3@outlook.com</t>
        </is>
      </c>
      <c r="E887" t="inlineStr">
        <is>
          <t>Medellín</t>
        </is>
      </c>
      <c r="F887" t="inlineStr">
        <is>
          <t>PRY-004</t>
        </is>
      </c>
      <c r="G887" t="inlineStr">
        <is>
          <t>Facebook</t>
        </is>
      </c>
      <c r="H887" t="inlineStr">
        <is>
          <t>Santiago Muñoz</t>
        </is>
      </c>
      <c r="I887" t="inlineStr">
        <is>
          <t>Perdido</t>
        </is>
      </c>
      <c r="J887" s="28" t="n">
        <v>45571</v>
      </c>
      <c r="K887" s="28" t="n">
        <v>45589</v>
      </c>
      <c r="L887" t="inlineStr">
        <is>
          <t>Datos de contacto errados</t>
        </is>
      </c>
    </row>
    <row r="888" ht="15.75" customHeight="1" s="25">
      <c r="A888" t="inlineStr">
        <is>
          <t>CLI-0886</t>
        </is>
      </c>
      <c r="B888" t="inlineStr">
        <is>
          <t>Paola Londoño Duque</t>
        </is>
      </c>
      <c r="C888" t="inlineStr">
        <is>
          <t>3135658482</t>
        </is>
      </c>
      <c r="D888" t="inlineStr">
        <is>
          <t>paola.londono35@hotmail.com</t>
        </is>
      </c>
      <c r="E888" t="inlineStr">
        <is>
          <t>Rionegro</t>
        </is>
      </c>
      <c r="F888" t="inlineStr">
        <is>
          <t>PRY-003</t>
        </is>
      </c>
      <c r="G888" t="inlineStr">
        <is>
          <t>Llamada directa</t>
        </is>
      </c>
      <c r="H888" t="inlineStr">
        <is>
          <t>Sofía Prada</t>
        </is>
      </c>
      <c r="I888" t="inlineStr">
        <is>
          <t>Ganado</t>
        </is>
      </c>
      <c r="J888" s="28" t="n">
        <v>45572</v>
      </c>
      <c r="K888" s="28" t="n">
        <v>45672</v>
      </c>
      <c r="L888" t="inlineStr">
        <is>
          <t>Compró Apto 1305 en Conecta Laureles</t>
        </is>
      </c>
    </row>
    <row r="889" ht="15.75" customHeight="1" s="25">
      <c r="A889" t="inlineStr">
        <is>
          <t>CLI-0887</t>
        </is>
      </c>
      <c r="B889" t="inlineStr">
        <is>
          <t>Mauricio Zuluaga Escobar</t>
        </is>
      </c>
      <c r="C889" t="inlineStr">
        <is>
          <t>3201657881</t>
        </is>
      </c>
      <c r="D889" t="inlineStr">
        <is>
          <t>mauricio.zuluaga61@hotmail.com</t>
        </is>
      </c>
      <c r="E889" t="inlineStr">
        <is>
          <t>La Estrella</t>
        </is>
      </c>
      <c r="F889" t="inlineStr">
        <is>
          <t>PRY-003</t>
        </is>
      </c>
      <c r="G889" t="inlineStr">
        <is>
          <t>Portal Web</t>
        </is>
      </c>
      <c r="H889" t="inlineStr">
        <is>
          <t>Sofía Prada</t>
        </is>
      </c>
      <c r="I889" t="inlineStr">
        <is>
          <t>Perdido</t>
        </is>
      </c>
      <c r="J889" s="28" t="n">
        <v>45572</v>
      </c>
      <c r="K889" s="28" t="n">
        <v>45631</v>
      </c>
      <c r="L889" t="inlineStr">
        <is>
          <t>Precio fuera de presupuesto</t>
        </is>
      </c>
    </row>
    <row r="890" ht="15.75" customHeight="1" s="25">
      <c r="A890" t="inlineStr">
        <is>
          <t>CLI-0888</t>
        </is>
      </c>
      <c r="B890" t="inlineStr">
        <is>
          <t>Paola Escobar Pérez</t>
        </is>
      </c>
      <c r="C890" t="inlineStr">
        <is>
          <t>3006651715</t>
        </is>
      </c>
      <c r="D890" t="inlineStr">
        <is>
          <t>paola.escobar38@yahoo.com</t>
        </is>
      </c>
      <c r="E890" t="inlineStr">
        <is>
          <t>Bello</t>
        </is>
      </c>
      <c r="F890" t="inlineStr">
        <is>
          <t>PRY-004</t>
        </is>
      </c>
      <c r="G890" t="inlineStr">
        <is>
          <t>Llamada directa</t>
        </is>
      </c>
      <c r="H890" t="inlineStr">
        <is>
          <t>Luis Bedoya</t>
        </is>
      </c>
      <c r="I890" t="inlineStr">
        <is>
          <t>Perdido</t>
        </is>
      </c>
      <c r="J890" s="28" t="n">
        <v>45572</v>
      </c>
      <c r="K890" s="28" t="n">
        <v>45593</v>
      </c>
      <c r="L890" t="inlineStr">
        <is>
          <t>No calificó para crédito</t>
        </is>
      </c>
    </row>
    <row r="891" ht="15.75" customHeight="1" s="25">
      <c r="A891" t="inlineStr">
        <is>
          <t>CLI-0889</t>
        </is>
      </c>
      <c r="B891" t="inlineStr">
        <is>
          <t>Manuela Marín Betancur</t>
        </is>
      </c>
      <c r="C891" t="inlineStr">
        <is>
          <t>3005849177</t>
        </is>
      </c>
      <c r="D891" t="inlineStr">
        <is>
          <t>manuela.marin89@yahoo.com</t>
        </is>
      </c>
      <c r="E891" t="inlineStr">
        <is>
          <t>La Estrella</t>
        </is>
      </c>
      <c r="F891" t="inlineStr">
        <is>
          <t>PRY-005</t>
        </is>
      </c>
      <c r="G891" t="inlineStr">
        <is>
          <t>Facebook</t>
        </is>
      </c>
      <c r="H891" t="inlineStr">
        <is>
          <t>Paula Arenas</t>
        </is>
      </c>
      <c r="I891" t="inlineStr">
        <is>
          <t>Perdido</t>
        </is>
      </c>
      <c r="J891" s="28" t="n">
        <v>45572</v>
      </c>
      <c r="K891" s="28" t="n">
        <v>45584</v>
      </c>
      <c r="L891" t="inlineStr">
        <is>
          <t>No calificó para crédito</t>
        </is>
      </c>
    </row>
    <row r="892" ht="15.75" customHeight="1" s="25">
      <c r="A892" t="inlineStr">
        <is>
          <t>CLI-0890</t>
        </is>
      </c>
      <c r="B892" t="inlineStr">
        <is>
          <t>Daniela Osorio Osorio</t>
        </is>
      </c>
      <c r="C892" t="inlineStr">
        <is>
          <t>3151354062</t>
        </is>
      </c>
      <c r="D892" t="inlineStr">
        <is>
          <t>daniela.osorio86@outlook.com</t>
        </is>
      </c>
      <c r="E892" t="inlineStr">
        <is>
          <t>Itagüí</t>
        </is>
      </c>
      <c r="F892" t="inlineStr">
        <is>
          <t>PRY-008</t>
        </is>
      </c>
      <c r="G892" t="inlineStr">
        <is>
          <t>Instagram</t>
        </is>
      </c>
      <c r="H892" t="inlineStr">
        <is>
          <t>Miguel Salazar</t>
        </is>
      </c>
      <c r="I892" t="inlineStr">
        <is>
          <t>Perdido</t>
        </is>
      </c>
      <c r="J892" s="28" t="n">
        <v>45572</v>
      </c>
      <c r="K892" s="28" t="n">
        <v>45583</v>
      </c>
      <c r="L892" t="inlineStr">
        <is>
          <t>Sin respuesta tras 3 contactos</t>
        </is>
      </c>
    </row>
    <row r="893" ht="15.75" customHeight="1" s="25">
      <c r="A893" t="inlineStr">
        <is>
          <t>CLI-0891</t>
        </is>
      </c>
      <c r="B893" t="inlineStr">
        <is>
          <t>Verónica Gaviria Echeverri</t>
        </is>
      </c>
      <c r="C893" t="inlineStr">
        <is>
          <t>3232407313</t>
        </is>
      </c>
      <c r="D893" t="inlineStr">
        <is>
          <t>veronica.gaviria49@outlook.com</t>
        </is>
      </c>
      <c r="E893" t="inlineStr">
        <is>
          <t>La Estrella</t>
        </is>
      </c>
      <c r="F893" t="inlineStr">
        <is>
          <t>PRY-007</t>
        </is>
      </c>
      <c r="G893" t="inlineStr">
        <is>
          <t>Instagram</t>
        </is>
      </c>
      <c r="H893" t="inlineStr">
        <is>
          <t>Sofía Prada</t>
        </is>
      </c>
      <c r="I893" t="inlineStr">
        <is>
          <t>Perdido</t>
        </is>
      </c>
      <c r="J893" s="28" t="n">
        <v>45572</v>
      </c>
      <c r="K893" s="28" t="n">
        <v>45589</v>
      </c>
      <c r="L893" t="inlineStr">
        <is>
          <t>Datos de contacto errados</t>
        </is>
      </c>
    </row>
    <row r="894" ht="15.75" customHeight="1" s="25">
      <c r="A894" t="inlineStr">
        <is>
          <t>CLI-0892</t>
        </is>
      </c>
      <c r="B894" t="inlineStr">
        <is>
          <t>Mónica Cardona Ramírez</t>
        </is>
      </c>
      <c r="C894" t="inlineStr">
        <is>
          <t>3019909785</t>
        </is>
      </c>
      <c r="D894" t="inlineStr">
        <is>
          <t>monica.cardona48@outlook.com</t>
        </is>
      </c>
      <c r="E894" t="inlineStr">
        <is>
          <t>Medellín</t>
        </is>
      </c>
      <c r="F894" t="inlineStr">
        <is>
          <t>PRY-007</t>
        </is>
      </c>
      <c r="G894" t="inlineStr">
        <is>
          <t>Llamada directa</t>
        </is>
      </c>
      <c r="H894" t="inlineStr">
        <is>
          <t>Santiago Muñoz</t>
        </is>
      </c>
      <c r="I894" t="inlineStr">
        <is>
          <t>Perdido</t>
        </is>
      </c>
      <c r="J894" s="28" t="n">
        <v>45572</v>
      </c>
      <c r="K894" s="28" t="n">
        <v>45582</v>
      </c>
      <c r="L894" t="inlineStr">
        <is>
          <t>Buscaba arriendo, no compra</t>
        </is>
      </c>
    </row>
    <row r="895" ht="15.75" customHeight="1" s="25">
      <c r="A895" t="inlineStr">
        <is>
          <t>CLI-0893</t>
        </is>
      </c>
      <c r="B895" t="inlineStr">
        <is>
          <t>Juan Pablo Salcedo Muñoz</t>
        </is>
      </c>
      <c r="C895" t="inlineStr">
        <is>
          <t>3233724292</t>
        </is>
      </c>
      <c r="D895" t="inlineStr">
        <is>
          <t>juan.salcedo76@outlook.com</t>
        </is>
      </c>
      <c r="E895" t="inlineStr">
        <is>
          <t>Rionegro</t>
        </is>
      </c>
      <c r="F895" t="inlineStr">
        <is>
          <t>PRY-005</t>
        </is>
      </c>
      <c r="G895" t="inlineStr">
        <is>
          <t>Portal Web</t>
        </is>
      </c>
      <c r="H895" t="inlineStr">
        <is>
          <t>Andrés Torres</t>
        </is>
      </c>
      <c r="I895" t="inlineStr">
        <is>
          <t>Perdido</t>
        </is>
      </c>
      <c r="J895" s="28" t="n">
        <v>45572</v>
      </c>
      <c r="K895" s="28" t="n">
        <v>45585</v>
      </c>
      <c r="L895" t="inlineStr">
        <is>
          <t>Buscaba arriendo, no compra</t>
        </is>
      </c>
    </row>
    <row r="896" ht="15.75" customHeight="1" s="25">
      <c r="A896" t="inlineStr">
        <is>
          <t>CLI-0894</t>
        </is>
      </c>
      <c r="B896" t="inlineStr">
        <is>
          <t>Carolina Arango Mejía</t>
        </is>
      </c>
      <c r="C896" t="inlineStr">
        <is>
          <t>3134635655</t>
        </is>
      </c>
      <c r="D896" t="inlineStr">
        <is>
          <t>carolina.arango27@outlook.com</t>
        </is>
      </c>
      <c r="E896" t="inlineStr">
        <is>
          <t>Rionegro</t>
        </is>
      </c>
      <c r="F896" t="inlineStr">
        <is>
          <t>PRY-005</t>
        </is>
      </c>
      <c r="G896" t="inlineStr">
        <is>
          <t>Portal Web</t>
        </is>
      </c>
      <c r="H896" t="inlineStr">
        <is>
          <t>Ana Quintero</t>
        </is>
      </c>
      <c r="I896" t="inlineStr">
        <is>
          <t>Perdido</t>
        </is>
      </c>
      <c r="J896" s="28" t="n">
        <v>45572</v>
      </c>
      <c r="K896" s="28" t="n">
        <v>45597</v>
      </c>
      <c r="L896" t="inlineStr">
        <is>
          <t>Presupuesto insuficiente</t>
        </is>
      </c>
    </row>
    <row r="897" ht="15.75" customHeight="1" s="25">
      <c r="A897" t="inlineStr">
        <is>
          <t>CLI-0895</t>
        </is>
      </c>
      <c r="B897" t="inlineStr">
        <is>
          <t>Natalia Higuita Álvarez</t>
        </is>
      </c>
      <c r="C897" t="inlineStr">
        <is>
          <t>3019304671</t>
        </is>
      </c>
      <c r="D897" t="inlineStr">
        <is>
          <t>natalia.higuita86@yahoo.com</t>
        </is>
      </c>
      <c r="E897" t="inlineStr">
        <is>
          <t>Itagüí</t>
        </is>
      </c>
      <c r="F897" t="inlineStr">
        <is>
          <t>PRY-008</t>
        </is>
      </c>
      <c r="G897" t="inlineStr">
        <is>
          <t>Portal Web</t>
        </is>
      </c>
      <c r="H897" t="inlineStr">
        <is>
          <t>Sofía Prada</t>
        </is>
      </c>
      <c r="I897" t="inlineStr">
        <is>
          <t>Perdido</t>
        </is>
      </c>
      <c r="J897" s="28" t="n">
        <v>45573</v>
      </c>
      <c r="K897" s="28" t="n">
        <v>45591</v>
      </c>
      <c r="L897" t="inlineStr">
        <is>
          <t>No calificó para crédito</t>
        </is>
      </c>
    </row>
    <row r="898" ht="15.75" customHeight="1" s="25">
      <c r="A898" t="inlineStr">
        <is>
          <t>CLI-0896</t>
        </is>
      </c>
      <c r="B898" t="inlineStr">
        <is>
          <t>Juliana Zuluaga Peláez</t>
        </is>
      </c>
      <c r="C898" t="inlineStr">
        <is>
          <t>3011579709</t>
        </is>
      </c>
      <c r="D898" t="inlineStr">
        <is>
          <t>juliana.zuluaga51@yahoo.com</t>
        </is>
      </c>
      <c r="E898" t="inlineStr">
        <is>
          <t>Medellín</t>
        </is>
      </c>
      <c r="F898" t="inlineStr">
        <is>
          <t>PRY-002</t>
        </is>
      </c>
      <c r="G898" t="inlineStr">
        <is>
          <t>Referido</t>
        </is>
      </c>
      <c r="H898" t="inlineStr">
        <is>
          <t>Santiago Muñoz</t>
        </is>
      </c>
      <c r="I898" t="inlineStr">
        <is>
          <t>Perdido</t>
        </is>
      </c>
      <c r="J898" s="28" t="n">
        <v>45573</v>
      </c>
      <c r="K898" s="28" t="n">
        <v>45585</v>
      </c>
      <c r="L898" t="inlineStr">
        <is>
          <t>No calificó para crédito</t>
        </is>
      </c>
    </row>
    <row r="899" ht="15.75" customHeight="1" s="25">
      <c r="A899" t="inlineStr">
        <is>
          <t>CLI-0897</t>
        </is>
      </c>
      <c r="B899" t="inlineStr">
        <is>
          <t>Hernán Vélez Henao</t>
        </is>
      </c>
      <c r="C899" t="inlineStr">
        <is>
          <t>3048387295</t>
        </is>
      </c>
      <c r="D899" t="inlineStr">
        <is>
          <t>hernan.velez28@hotmail.com</t>
        </is>
      </c>
      <c r="E899" t="inlineStr">
        <is>
          <t>Sabaneta</t>
        </is>
      </c>
      <c r="F899" t="inlineStr">
        <is>
          <t>PRY-002</t>
        </is>
      </c>
      <c r="G899" t="inlineStr">
        <is>
          <t>Feria Inmobiliaria</t>
        </is>
      </c>
      <c r="H899" t="inlineStr">
        <is>
          <t>Miguel Salazar</t>
        </is>
      </c>
      <c r="I899" t="inlineStr">
        <is>
          <t>Perdido</t>
        </is>
      </c>
      <c r="J899" s="28" t="n">
        <v>45573</v>
      </c>
      <c r="K899" s="28" t="n">
        <v>45589</v>
      </c>
      <c r="L899" t="inlineStr">
        <is>
          <t>No calificó para crédito</t>
        </is>
      </c>
    </row>
    <row r="900" ht="15.75" customHeight="1" s="25">
      <c r="A900" t="inlineStr">
        <is>
          <t>CLI-0898</t>
        </is>
      </c>
      <c r="B900" t="inlineStr">
        <is>
          <t>Marcela Escobar Cifuentes</t>
        </is>
      </c>
      <c r="C900" t="inlineStr">
        <is>
          <t>3144501129</t>
        </is>
      </c>
      <c r="D900" t="inlineStr">
        <is>
          <t>marcela.escobar12@hotmail.com</t>
        </is>
      </c>
      <c r="E900" t="inlineStr">
        <is>
          <t>Medellín</t>
        </is>
      </c>
      <c r="F900" t="inlineStr">
        <is>
          <t>PRY-003</t>
        </is>
      </c>
      <c r="G900" t="inlineStr">
        <is>
          <t>Instagram</t>
        </is>
      </c>
      <c r="H900" t="inlineStr">
        <is>
          <t>Miguel Salazar</t>
        </is>
      </c>
      <c r="I900" t="inlineStr">
        <is>
          <t>Perdido</t>
        </is>
      </c>
      <c r="J900" s="28" t="n">
        <v>45574</v>
      </c>
      <c r="K900" s="28" t="n">
        <v>45582</v>
      </c>
      <c r="L900" t="inlineStr">
        <is>
          <t>No calificó para crédito</t>
        </is>
      </c>
    </row>
    <row r="901" ht="15.75" customHeight="1" s="25">
      <c r="A901" t="inlineStr">
        <is>
          <t>CLI-0899</t>
        </is>
      </c>
      <c r="B901" t="inlineStr">
        <is>
          <t>Mariana Higuita Vásquez</t>
        </is>
      </c>
      <c r="C901" t="inlineStr">
        <is>
          <t>3042092984</t>
        </is>
      </c>
      <c r="D901" t="inlineStr">
        <is>
          <t>mariana.higuita70@gmail.com</t>
        </is>
      </c>
      <c r="E901" t="inlineStr">
        <is>
          <t>Medellín</t>
        </is>
      </c>
      <c r="F901" t="inlineStr">
        <is>
          <t>PRY-001</t>
        </is>
      </c>
      <c r="G901" t="inlineStr">
        <is>
          <t>Portal Web</t>
        </is>
      </c>
      <c r="H901" t="inlineStr">
        <is>
          <t>Luis Bedoya</t>
        </is>
      </c>
      <c r="I901" t="inlineStr">
        <is>
          <t>Perdido</t>
        </is>
      </c>
      <c r="J901" s="28" t="n">
        <v>45574</v>
      </c>
      <c r="K901" s="28" t="n">
        <v>45584</v>
      </c>
      <c r="L901" t="inlineStr">
        <is>
          <t>Buscaba arriendo, no compra</t>
        </is>
      </c>
    </row>
    <row r="902" ht="15.75" customHeight="1" s="25">
      <c r="A902" t="inlineStr">
        <is>
          <t>CLI-0900</t>
        </is>
      </c>
      <c r="B902" t="inlineStr">
        <is>
          <t>Mariana Agudelo Jaramillo</t>
        </is>
      </c>
      <c r="C902" t="inlineStr">
        <is>
          <t>3131189046</t>
        </is>
      </c>
      <c r="D902" t="inlineStr">
        <is>
          <t>mariana.agudelo72@yahoo.com</t>
        </is>
      </c>
      <c r="E902" t="inlineStr">
        <is>
          <t>Rionegro</t>
        </is>
      </c>
      <c r="F902" t="inlineStr">
        <is>
          <t>PRY-003</t>
        </is>
      </c>
      <c r="G902" t="inlineStr">
        <is>
          <t>Instagram</t>
        </is>
      </c>
      <c r="H902" t="inlineStr">
        <is>
          <t>Miguel Salazar</t>
        </is>
      </c>
      <c r="I902" t="inlineStr">
        <is>
          <t>Perdido</t>
        </is>
      </c>
      <c r="J902" s="28" t="n">
        <v>45574</v>
      </c>
      <c r="K902" s="28" t="n">
        <v>45591</v>
      </c>
      <c r="L902" t="inlineStr">
        <is>
          <t>Sin respuesta tras 3 contactos</t>
        </is>
      </c>
    </row>
    <row r="903" ht="15.75" customHeight="1" s="25">
      <c r="A903" t="inlineStr">
        <is>
          <t>CLI-0901</t>
        </is>
      </c>
      <c r="B903" t="inlineStr">
        <is>
          <t>Julián Osorio Bedoya</t>
        </is>
      </c>
      <c r="C903" t="inlineStr">
        <is>
          <t>3177211584</t>
        </is>
      </c>
      <c r="D903" t="inlineStr">
        <is>
          <t>julian.osorio86@outlook.com</t>
        </is>
      </c>
      <c r="E903" t="inlineStr">
        <is>
          <t>Envigado</t>
        </is>
      </c>
      <c r="F903" t="inlineStr">
        <is>
          <t>PRY-007</t>
        </is>
      </c>
      <c r="G903" t="inlineStr">
        <is>
          <t>Llamada directa</t>
        </is>
      </c>
      <c r="H903" t="inlineStr">
        <is>
          <t>Santiago Muñoz</t>
        </is>
      </c>
      <c r="I903" t="inlineStr">
        <is>
          <t>Perdido</t>
        </is>
      </c>
      <c r="J903" s="28" t="n">
        <v>45575</v>
      </c>
      <c r="K903" s="28" t="n">
        <v>45588</v>
      </c>
      <c r="L903" t="inlineStr">
        <is>
          <t>Sin respuesta tras 3 contactos</t>
        </is>
      </c>
    </row>
    <row r="904" ht="15.75" customHeight="1" s="25">
      <c r="A904" t="inlineStr">
        <is>
          <t>CLI-0902</t>
        </is>
      </c>
      <c r="B904" t="inlineStr">
        <is>
          <t>Emilio Marín Montoya</t>
        </is>
      </c>
      <c r="C904" t="inlineStr">
        <is>
          <t>3223123289</t>
        </is>
      </c>
      <c r="D904" t="inlineStr">
        <is>
          <t>emilio.marin27@gmail.com</t>
        </is>
      </c>
      <c r="E904" t="inlineStr">
        <is>
          <t>Itagüí</t>
        </is>
      </c>
      <c r="F904" t="inlineStr">
        <is>
          <t>PRY-008</t>
        </is>
      </c>
      <c r="G904" t="inlineStr">
        <is>
          <t>Facebook</t>
        </is>
      </c>
      <c r="H904" t="inlineStr">
        <is>
          <t>Sofía Prada</t>
        </is>
      </c>
      <c r="I904" t="inlineStr">
        <is>
          <t>Perdido</t>
        </is>
      </c>
      <c r="J904" s="28" t="n">
        <v>45575</v>
      </c>
      <c r="K904" s="28" t="n">
        <v>45601</v>
      </c>
      <c r="L904" t="inlineStr">
        <is>
          <t>No calificó para crédito</t>
        </is>
      </c>
    </row>
    <row r="905" ht="15.75" customHeight="1" s="25">
      <c r="A905" t="inlineStr">
        <is>
          <t>CLI-0903</t>
        </is>
      </c>
      <c r="B905" t="inlineStr">
        <is>
          <t>Felipe Quintero Bedoya</t>
        </is>
      </c>
      <c r="C905" t="inlineStr">
        <is>
          <t>3144369654</t>
        </is>
      </c>
      <c r="D905" t="inlineStr">
        <is>
          <t>felipe.quintero12@outlook.com</t>
        </is>
      </c>
      <c r="E905" t="inlineStr">
        <is>
          <t>Medellín</t>
        </is>
      </c>
      <c r="F905" t="inlineStr">
        <is>
          <t>PRY-003</t>
        </is>
      </c>
      <c r="G905" t="inlineStr">
        <is>
          <t>Portal Web</t>
        </is>
      </c>
      <c r="H905" t="inlineStr">
        <is>
          <t>Luis Bedoya</t>
        </is>
      </c>
      <c r="I905" t="inlineStr">
        <is>
          <t>Perdido</t>
        </is>
      </c>
      <c r="J905" s="28" t="n">
        <v>45575</v>
      </c>
      <c r="K905" s="28" t="n">
        <v>45596</v>
      </c>
      <c r="L905" t="inlineStr">
        <is>
          <t>No calificó para crédito</t>
        </is>
      </c>
    </row>
    <row r="906" ht="15.75" customHeight="1" s="25">
      <c r="A906" t="inlineStr">
        <is>
          <t>CLI-0904</t>
        </is>
      </c>
      <c r="B906" t="inlineStr">
        <is>
          <t>Natalia Sánchez Ochoa</t>
        </is>
      </c>
      <c r="C906" t="inlineStr">
        <is>
          <t>3171244241</t>
        </is>
      </c>
      <c r="D906" t="inlineStr">
        <is>
          <t>natalia.sanchez92@hotmail.com</t>
        </is>
      </c>
      <c r="E906" t="inlineStr">
        <is>
          <t>Medellín</t>
        </is>
      </c>
      <c r="F906" t="inlineStr">
        <is>
          <t>PRY-002</t>
        </is>
      </c>
      <c r="G906" t="inlineStr">
        <is>
          <t>Facebook</t>
        </is>
      </c>
      <c r="H906" t="inlineStr">
        <is>
          <t>Andrés Torres</t>
        </is>
      </c>
      <c r="I906" t="inlineStr">
        <is>
          <t>Ganado</t>
        </is>
      </c>
      <c r="J906" s="28" t="n">
        <v>45576</v>
      </c>
      <c r="K906" s="28" t="n">
        <v>45764</v>
      </c>
      <c r="L906" t="inlineStr">
        <is>
          <t>Compró Casa 6 en Reserva Santa Elena</t>
        </is>
      </c>
    </row>
    <row r="907" ht="15.75" customHeight="1" s="25">
      <c r="A907" t="inlineStr">
        <is>
          <t>CLI-0905</t>
        </is>
      </c>
      <c r="B907" t="inlineStr">
        <is>
          <t>Rodrigo Agudelo Cano</t>
        </is>
      </c>
      <c r="C907" t="inlineStr">
        <is>
          <t>3241908273</t>
        </is>
      </c>
      <c r="D907" t="inlineStr">
        <is>
          <t>rodrigo.agudelo8@hotmail.com</t>
        </is>
      </c>
      <c r="E907" t="inlineStr">
        <is>
          <t>Itagüí</t>
        </is>
      </c>
      <c r="F907" t="inlineStr">
        <is>
          <t>PRY-008</t>
        </is>
      </c>
      <c r="G907" t="inlineStr">
        <is>
          <t>Instagram</t>
        </is>
      </c>
      <c r="H907" t="inlineStr">
        <is>
          <t>Ana Quintero</t>
        </is>
      </c>
      <c r="I907" t="inlineStr">
        <is>
          <t>Perdido</t>
        </is>
      </c>
      <c r="J907" s="28" t="n">
        <v>45576</v>
      </c>
      <c r="K907" s="28" t="n">
        <v>45603</v>
      </c>
      <c r="L907" t="inlineStr">
        <is>
          <t>Buscaba arriendo, no compra</t>
        </is>
      </c>
    </row>
    <row r="908" ht="15.75" customHeight="1" s="25">
      <c r="A908" t="inlineStr">
        <is>
          <t>CLI-0906</t>
        </is>
      </c>
      <c r="B908" t="inlineStr">
        <is>
          <t>Felipe Arango Sánchez</t>
        </is>
      </c>
      <c r="C908" t="inlineStr">
        <is>
          <t>3239589109</t>
        </is>
      </c>
      <c r="D908" t="inlineStr">
        <is>
          <t>felipe.arango71@gmail.com</t>
        </is>
      </c>
      <c r="E908" t="inlineStr">
        <is>
          <t>La Estrella</t>
        </is>
      </c>
      <c r="F908" t="inlineStr">
        <is>
          <t>PRY-007</t>
        </is>
      </c>
      <c r="G908" t="inlineStr">
        <is>
          <t>Facebook</t>
        </is>
      </c>
      <c r="H908" t="inlineStr">
        <is>
          <t>Luis Bedoya</t>
        </is>
      </c>
      <c r="I908" t="inlineStr">
        <is>
          <t>Perdido</t>
        </is>
      </c>
      <c r="J908" s="28" t="n">
        <v>45576</v>
      </c>
      <c r="K908" s="28" t="n">
        <v>45598</v>
      </c>
      <c r="L908" t="inlineStr">
        <is>
          <t>Sin respuesta tras 3 contactos</t>
        </is>
      </c>
    </row>
    <row r="909" ht="15.75" customHeight="1" s="25">
      <c r="A909" t="inlineStr">
        <is>
          <t>CLI-0907</t>
        </is>
      </c>
      <c r="B909" t="inlineStr">
        <is>
          <t>Mateo Henao Rojas</t>
        </is>
      </c>
      <c r="C909" t="inlineStr">
        <is>
          <t>3015207514</t>
        </is>
      </c>
      <c r="D909" t="inlineStr">
        <is>
          <t>mateo.henao25@gmail.com</t>
        </is>
      </c>
      <c r="E909" t="inlineStr">
        <is>
          <t>Itagüí</t>
        </is>
      </c>
      <c r="F909" t="inlineStr">
        <is>
          <t>PRY-008</t>
        </is>
      </c>
      <c r="G909" t="inlineStr">
        <is>
          <t>Facebook</t>
        </is>
      </c>
      <c r="H909" t="inlineStr">
        <is>
          <t>Luis Bedoya</t>
        </is>
      </c>
      <c r="I909" t="inlineStr">
        <is>
          <t>Perdido</t>
        </is>
      </c>
      <c r="J909" s="28" t="n">
        <v>45576</v>
      </c>
      <c r="K909" s="28" t="n">
        <v>45604</v>
      </c>
      <c r="L909" t="inlineStr">
        <is>
          <t>No calificó para crédito</t>
        </is>
      </c>
    </row>
    <row r="910" ht="15.75" customHeight="1" s="25">
      <c r="A910" t="inlineStr">
        <is>
          <t>CLI-0908</t>
        </is>
      </c>
      <c r="B910" t="inlineStr">
        <is>
          <t>Iván Marín Ochoa</t>
        </is>
      </c>
      <c r="C910" t="inlineStr">
        <is>
          <t>3209927448</t>
        </is>
      </c>
      <c r="D910" t="inlineStr">
        <is>
          <t>ivan.marin94@yahoo.com</t>
        </is>
      </c>
      <c r="E910" t="inlineStr">
        <is>
          <t>Medellín</t>
        </is>
      </c>
      <c r="F910" t="inlineStr">
        <is>
          <t>PRY-004</t>
        </is>
      </c>
      <c r="G910" t="inlineStr">
        <is>
          <t>Llamada directa</t>
        </is>
      </c>
      <c r="H910" t="inlineStr">
        <is>
          <t>Ana Quintero</t>
        </is>
      </c>
      <c r="I910" t="inlineStr">
        <is>
          <t>Perdido</t>
        </is>
      </c>
      <c r="J910" s="28" t="n">
        <v>45576</v>
      </c>
      <c r="K910" s="28" t="n">
        <v>45593</v>
      </c>
      <c r="L910" t="inlineStr">
        <is>
          <t>Datos de contacto errados</t>
        </is>
      </c>
    </row>
    <row r="911" ht="15.75" customHeight="1" s="25">
      <c r="A911" t="inlineStr">
        <is>
          <t>CLI-0909</t>
        </is>
      </c>
      <c r="B911" t="inlineStr">
        <is>
          <t>Hernán Correa Castaño</t>
        </is>
      </c>
      <c r="C911" t="inlineStr">
        <is>
          <t>3007077888</t>
        </is>
      </c>
      <c r="D911" t="inlineStr">
        <is>
          <t>hernan.correa82@gmail.com</t>
        </is>
      </c>
      <c r="E911" t="inlineStr">
        <is>
          <t>Medellín</t>
        </is>
      </c>
      <c r="F911" t="inlineStr">
        <is>
          <t>PRY-003</t>
        </is>
      </c>
      <c r="G911" t="inlineStr">
        <is>
          <t>Llamada directa</t>
        </is>
      </c>
      <c r="H911" t="inlineStr">
        <is>
          <t>Andrés Torres</t>
        </is>
      </c>
      <c r="I911" t="inlineStr">
        <is>
          <t>Perdido</t>
        </is>
      </c>
      <c r="J911" s="28" t="n">
        <v>45576</v>
      </c>
      <c r="K911" s="28" t="n">
        <v>45588</v>
      </c>
      <c r="L911" t="inlineStr">
        <is>
          <t>Presupuesto insuficiente</t>
        </is>
      </c>
    </row>
    <row r="912" ht="15.75" customHeight="1" s="25">
      <c r="A912" t="inlineStr">
        <is>
          <t>CLI-0910</t>
        </is>
      </c>
      <c r="B912" t="inlineStr">
        <is>
          <t>Gloria Zuluaga Valencia</t>
        </is>
      </c>
      <c r="C912" t="inlineStr">
        <is>
          <t>3176957977</t>
        </is>
      </c>
      <c r="D912" t="inlineStr">
        <is>
          <t>gloria.zuluaga25@hotmail.com</t>
        </is>
      </c>
      <c r="E912" t="inlineStr">
        <is>
          <t>Medellín</t>
        </is>
      </c>
      <c r="F912" t="inlineStr">
        <is>
          <t>PRY-003</t>
        </is>
      </c>
      <c r="G912" t="inlineStr">
        <is>
          <t>Instagram</t>
        </is>
      </c>
      <c r="H912" t="inlineStr">
        <is>
          <t>Paula Arenas</t>
        </is>
      </c>
      <c r="I912" t="inlineStr">
        <is>
          <t>Perdido</t>
        </is>
      </c>
      <c r="J912" s="28" t="n">
        <v>45576</v>
      </c>
      <c r="K912" s="28" t="n">
        <v>45589</v>
      </c>
      <c r="L912" t="inlineStr">
        <is>
          <t>No calificó para crédito</t>
        </is>
      </c>
    </row>
    <row r="913" ht="15.75" customHeight="1" s="25">
      <c r="A913" t="inlineStr">
        <is>
          <t>CLI-0911</t>
        </is>
      </c>
      <c r="B913" t="inlineStr">
        <is>
          <t>Natalia Mejía Valencia</t>
        </is>
      </c>
      <c r="C913" t="inlineStr">
        <is>
          <t>3137091363</t>
        </is>
      </c>
      <c r="D913" t="inlineStr">
        <is>
          <t>natalia.mejia17@gmail.com</t>
        </is>
      </c>
      <c r="E913" t="inlineStr">
        <is>
          <t>La Estrella</t>
        </is>
      </c>
      <c r="F913" t="inlineStr">
        <is>
          <t>PRY-005</t>
        </is>
      </c>
      <c r="G913" t="inlineStr">
        <is>
          <t>Referido</t>
        </is>
      </c>
      <c r="H913" t="inlineStr">
        <is>
          <t>Paula Arenas</t>
        </is>
      </c>
      <c r="I913" t="inlineStr">
        <is>
          <t>Ganado</t>
        </is>
      </c>
      <c r="J913" s="28" t="n">
        <v>45577</v>
      </c>
      <c r="K913" s="28" t="n">
        <v>45708</v>
      </c>
      <c r="L913" t="inlineStr">
        <is>
          <t>Compró Apto 1005 en Ciudadela Rionegro</t>
        </is>
      </c>
    </row>
    <row r="914" ht="15.75" customHeight="1" s="25">
      <c r="A914" t="inlineStr">
        <is>
          <t>CLI-0912</t>
        </is>
      </c>
      <c r="B914" t="inlineStr">
        <is>
          <t>Andrés Peláez Giraldo</t>
        </is>
      </c>
      <c r="C914" t="inlineStr">
        <is>
          <t>3008647894</t>
        </is>
      </c>
      <c r="D914" t="inlineStr">
        <is>
          <t>andres.pelaez22@outlook.com</t>
        </is>
      </c>
      <c r="E914" t="inlineStr">
        <is>
          <t>La Estrella</t>
        </is>
      </c>
      <c r="F914" t="inlineStr">
        <is>
          <t>PRY-008</t>
        </is>
      </c>
      <c r="G914" t="inlineStr">
        <is>
          <t>Portal Web</t>
        </is>
      </c>
      <c r="H914" t="inlineStr">
        <is>
          <t>Andrés Torres</t>
        </is>
      </c>
      <c r="I914" t="inlineStr">
        <is>
          <t>Perdido</t>
        </is>
      </c>
      <c r="J914" s="28" t="n">
        <v>45577</v>
      </c>
      <c r="K914" s="28" t="n">
        <v>45586</v>
      </c>
      <c r="L914" t="inlineStr">
        <is>
          <t>Sin respuesta tras 3 contactos</t>
        </is>
      </c>
    </row>
    <row r="915" ht="15.75" customHeight="1" s="25">
      <c r="A915" t="inlineStr">
        <is>
          <t>CLI-0913</t>
        </is>
      </c>
      <c r="B915" t="inlineStr">
        <is>
          <t>Cristian Osorio Cano</t>
        </is>
      </c>
      <c r="C915" t="inlineStr">
        <is>
          <t>3047093657</t>
        </is>
      </c>
      <c r="D915" t="inlineStr">
        <is>
          <t>cristian.osorio33@outlook.com</t>
        </is>
      </c>
      <c r="E915" t="inlineStr">
        <is>
          <t>Medellín</t>
        </is>
      </c>
      <c r="F915" t="inlineStr">
        <is>
          <t>PRY-001</t>
        </is>
      </c>
      <c r="G915" t="inlineStr">
        <is>
          <t>Llamada directa</t>
        </is>
      </c>
      <c r="H915" t="inlineStr">
        <is>
          <t>Miguel Salazar</t>
        </is>
      </c>
      <c r="I915" t="inlineStr">
        <is>
          <t>Perdido</t>
        </is>
      </c>
      <c r="J915" s="28" t="n">
        <v>45577</v>
      </c>
      <c r="K915" s="28" t="n">
        <v>45602</v>
      </c>
      <c r="L915" t="inlineStr">
        <is>
          <t>Sin respuesta tras 3 contactos</t>
        </is>
      </c>
    </row>
    <row r="916" ht="15.75" customHeight="1" s="25">
      <c r="A916" t="inlineStr">
        <is>
          <t>CLI-0914</t>
        </is>
      </c>
      <c r="B916" t="inlineStr">
        <is>
          <t>Paola Marín Salcedo</t>
        </is>
      </c>
      <c r="C916" t="inlineStr">
        <is>
          <t>3143899623</t>
        </is>
      </c>
      <c r="D916" t="inlineStr">
        <is>
          <t>paola.marin66@outlook.com</t>
        </is>
      </c>
      <c r="E916" t="inlineStr">
        <is>
          <t>Sabaneta</t>
        </is>
      </c>
      <c r="F916" t="inlineStr">
        <is>
          <t>PRY-004</t>
        </is>
      </c>
      <c r="G916" t="inlineStr">
        <is>
          <t>Referido</t>
        </is>
      </c>
      <c r="H916" t="inlineStr">
        <is>
          <t>Paula Arenas</t>
        </is>
      </c>
      <c r="I916" t="inlineStr">
        <is>
          <t>Ganado</t>
        </is>
      </c>
      <c r="J916" s="28" t="n">
        <v>45578</v>
      </c>
      <c r="K916" s="28" t="n">
        <v>45688</v>
      </c>
      <c r="L916" t="inlineStr">
        <is>
          <t>Compró Casa 64 en Altavista Park</t>
        </is>
      </c>
    </row>
    <row r="917" ht="15.75" customHeight="1" s="25">
      <c r="A917" t="inlineStr">
        <is>
          <t>CLI-0915</t>
        </is>
      </c>
      <c r="B917" t="inlineStr">
        <is>
          <t>Paola Ramírez Ríos</t>
        </is>
      </c>
      <c r="C917" t="inlineStr">
        <is>
          <t>3106034757</t>
        </is>
      </c>
      <c r="D917" t="inlineStr">
        <is>
          <t>paola.ramirez12@gmail.com</t>
        </is>
      </c>
      <c r="E917" t="inlineStr">
        <is>
          <t>Medellín</t>
        </is>
      </c>
      <c r="F917" t="inlineStr">
        <is>
          <t>PRY-004</t>
        </is>
      </c>
      <c r="G917" t="inlineStr">
        <is>
          <t>Portal Web</t>
        </is>
      </c>
      <c r="H917" t="inlineStr">
        <is>
          <t>Santiago Muñoz</t>
        </is>
      </c>
      <c r="I917" t="inlineStr">
        <is>
          <t>Perdido</t>
        </is>
      </c>
      <c r="J917" s="28" t="n">
        <v>45578</v>
      </c>
      <c r="K917" s="28" t="n">
        <v>45593</v>
      </c>
      <c r="L917" t="inlineStr">
        <is>
          <t>Presupuesto insuficiente</t>
        </is>
      </c>
    </row>
    <row r="918" ht="15.75" customHeight="1" s="25">
      <c r="A918" t="inlineStr">
        <is>
          <t>CLI-0916</t>
        </is>
      </c>
      <c r="B918" t="inlineStr">
        <is>
          <t>Alejandra Duque Giraldo</t>
        </is>
      </c>
      <c r="C918" t="inlineStr">
        <is>
          <t>3105801517</t>
        </is>
      </c>
      <c r="D918" t="inlineStr">
        <is>
          <t>alejandra.duque55@gmail.com</t>
        </is>
      </c>
      <c r="E918" t="inlineStr">
        <is>
          <t>Sabaneta</t>
        </is>
      </c>
      <c r="F918" t="inlineStr">
        <is>
          <t>PRY-003</t>
        </is>
      </c>
      <c r="G918" t="inlineStr">
        <is>
          <t>Portal Web</t>
        </is>
      </c>
      <c r="H918" t="inlineStr">
        <is>
          <t>Luis Bedoya</t>
        </is>
      </c>
      <c r="I918" t="inlineStr">
        <is>
          <t>Perdido</t>
        </is>
      </c>
      <c r="J918" s="28" t="n">
        <v>45578</v>
      </c>
      <c r="K918" s="28" t="n">
        <v>45600</v>
      </c>
      <c r="L918" t="inlineStr">
        <is>
          <t>Sin respuesta tras 3 contactos</t>
        </is>
      </c>
    </row>
    <row r="919" ht="15.75" customHeight="1" s="25">
      <c r="A919" t="inlineStr">
        <is>
          <t>CLI-0917</t>
        </is>
      </c>
      <c r="B919" t="inlineStr">
        <is>
          <t>Santiago Correa López</t>
        </is>
      </c>
      <c r="C919" t="inlineStr">
        <is>
          <t>3005124814</t>
        </is>
      </c>
      <c r="D919" t="inlineStr">
        <is>
          <t>santiago.correa43@gmail.com</t>
        </is>
      </c>
      <c r="E919" t="inlineStr">
        <is>
          <t>Itagüí</t>
        </is>
      </c>
      <c r="F919" t="inlineStr">
        <is>
          <t>PRY-005</t>
        </is>
      </c>
      <c r="G919" t="inlineStr">
        <is>
          <t>Instagram</t>
        </is>
      </c>
      <c r="H919" t="inlineStr">
        <is>
          <t>Santiago Muñoz</t>
        </is>
      </c>
      <c r="I919" t="inlineStr">
        <is>
          <t>Perdido</t>
        </is>
      </c>
      <c r="J919" s="28" t="n">
        <v>45578</v>
      </c>
      <c r="K919" s="28" t="n">
        <v>45597</v>
      </c>
      <c r="L919" t="inlineStr">
        <is>
          <t>Sin respuesta tras 3 contactos</t>
        </is>
      </c>
    </row>
    <row r="920" ht="15.75" customHeight="1" s="25">
      <c r="A920" t="inlineStr">
        <is>
          <t>CLI-0918</t>
        </is>
      </c>
      <c r="B920" t="inlineStr">
        <is>
          <t>Marcela Quintero Osorio</t>
        </is>
      </c>
      <c r="C920" t="inlineStr">
        <is>
          <t>3237894198</t>
        </is>
      </c>
      <c r="D920" t="inlineStr">
        <is>
          <t>marcela.quintero80@outlook.com</t>
        </is>
      </c>
      <c r="E920" t="inlineStr">
        <is>
          <t>Medellín</t>
        </is>
      </c>
      <c r="F920" t="inlineStr">
        <is>
          <t>PRY-003</t>
        </is>
      </c>
      <c r="G920" t="inlineStr">
        <is>
          <t>Portal Web</t>
        </is>
      </c>
      <c r="H920" t="inlineStr">
        <is>
          <t>Luis Bedoya</t>
        </is>
      </c>
      <c r="I920" t="inlineStr">
        <is>
          <t>Perdido</t>
        </is>
      </c>
      <c r="J920" s="28" t="n">
        <v>45578</v>
      </c>
      <c r="K920" s="28" t="n">
        <v>45583</v>
      </c>
      <c r="L920" t="inlineStr">
        <is>
          <t>No calificó para crédito</t>
        </is>
      </c>
    </row>
    <row r="921" ht="15.75" customHeight="1" s="25">
      <c r="A921" t="inlineStr">
        <is>
          <t>CLI-0919</t>
        </is>
      </c>
      <c r="B921" t="inlineStr">
        <is>
          <t>Juliana Espinosa Giraldo</t>
        </is>
      </c>
      <c r="C921" t="inlineStr">
        <is>
          <t>3244961788</t>
        </is>
      </c>
      <c r="D921" t="inlineStr">
        <is>
          <t>juliana.espinosa49@yahoo.com</t>
        </is>
      </c>
      <c r="E921" t="inlineStr">
        <is>
          <t>Medellín</t>
        </is>
      </c>
      <c r="F921" t="inlineStr">
        <is>
          <t>PRY-001</t>
        </is>
      </c>
      <c r="G921" t="inlineStr">
        <is>
          <t>Referido</t>
        </is>
      </c>
      <c r="H921" t="inlineStr">
        <is>
          <t>Ana Quintero</t>
        </is>
      </c>
      <c r="I921" t="inlineStr">
        <is>
          <t>Ganado</t>
        </is>
      </c>
      <c r="J921" s="28" t="n">
        <v>45579</v>
      </c>
      <c r="K921" s="28" t="n">
        <v>45673</v>
      </c>
      <c r="L921" t="inlineStr">
        <is>
          <t>Compró Apto 1304 en Torres del Poblado</t>
        </is>
      </c>
    </row>
    <row r="922" ht="15.75" customHeight="1" s="25">
      <c r="A922" t="inlineStr">
        <is>
          <t>CLI-0920</t>
        </is>
      </c>
      <c r="B922" t="inlineStr">
        <is>
          <t>Carolina Betancur Betancur</t>
        </is>
      </c>
      <c r="C922" t="inlineStr">
        <is>
          <t>3243601391</t>
        </is>
      </c>
      <c r="D922" t="inlineStr">
        <is>
          <t>carolina.betancur67@outlook.com</t>
        </is>
      </c>
      <c r="E922" t="inlineStr">
        <is>
          <t>Medellín</t>
        </is>
      </c>
      <c r="F922" t="inlineStr">
        <is>
          <t>PRY-004</t>
        </is>
      </c>
      <c r="G922" t="inlineStr">
        <is>
          <t>Feria Inmobiliaria</t>
        </is>
      </c>
      <c r="H922" t="inlineStr">
        <is>
          <t>Juliana Vélez</t>
        </is>
      </c>
      <c r="I922" t="inlineStr">
        <is>
          <t>Ganado</t>
        </is>
      </c>
      <c r="J922" s="28" t="n">
        <v>45579</v>
      </c>
      <c r="K922" s="28" t="n">
        <v>45673</v>
      </c>
      <c r="L922" t="inlineStr">
        <is>
          <t>Compró Casa 80 en Altavista Park</t>
        </is>
      </c>
    </row>
    <row r="923" ht="15.75" customHeight="1" s="25">
      <c r="A923" t="inlineStr">
        <is>
          <t>CLI-0921</t>
        </is>
      </c>
      <c r="B923" t="inlineStr">
        <is>
          <t>Alejandra Montoya Gómez</t>
        </is>
      </c>
      <c r="C923" t="inlineStr">
        <is>
          <t>3001267373</t>
        </is>
      </c>
      <c r="D923" t="inlineStr">
        <is>
          <t>alejandra.montoya88@gmail.com</t>
        </is>
      </c>
      <c r="E923" t="inlineStr">
        <is>
          <t>Envigado</t>
        </is>
      </c>
      <c r="F923" t="inlineStr">
        <is>
          <t>PRY-007</t>
        </is>
      </c>
      <c r="G923" t="inlineStr">
        <is>
          <t>Facebook</t>
        </is>
      </c>
      <c r="H923" t="inlineStr">
        <is>
          <t>Luis Bedoya</t>
        </is>
      </c>
      <c r="I923" t="inlineStr">
        <is>
          <t>Ganado</t>
        </is>
      </c>
      <c r="J923" s="28" t="n">
        <v>45579</v>
      </c>
      <c r="K923" s="28" t="n">
        <v>45698</v>
      </c>
      <c r="L923" t="inlineStr">
        <is>
          <t>Compró Apto 1106 en Mirador de Envigado</t>
        </is>
      </c>
    </row>
    <row r="924" ht="15.75" customHeight="1" s="25">
      <c r="A924" t="inlineStr">
        <is>
          <t>CLI-0922</t>
        </is>
      </c>
      <c r="B924" t="inlineStr">
        <is>
          <t>Sebastián Gaviria Ríos</t>
        </is>
      </c>
      <c r="C924" t="inlineStr">
        <is>
          <t>3105313458</t>
        </is>
      </c>
      <c r="D924" t="inlineStr">
        <is>
          <t>sebastian.gaviria77@yahoo.com</t>
        </is>
      </c>
      <c r="E924" t="inlineStr">
        <is>
          <t>Itagüí</t>
        </is>
      </c>
      <c r="F924" t="inlineStr">
        <is>
          <t>PRY-001</t>
        </is>
      </c>
      <c r="G924" t="inlineStr">
        <is>
          <t>Llamada directa</t>
        </is>
      </c>
      <c r="H924" t="inlineStr">
        <is>
          <t>Ana Quintero</t>
        </is>
      </c>
      <c r="I924" t="inlineStr">
        <is>
          <t>Perdido</t>
        </is>
      </c>
      <c r="J924" s="28" t="n">
        <v>45579</v>
      </c>
      <c r="K924" s="28" t="n">
        <v>45593</v>
      </c>
      <c r="L924" t="inlineStr">
        <is>
          <t>No calificó para crédito</t>
        </is>
      </c>
    </row>
    <row r="925" ht="15.75" customHeight="1" s="25">
      <c r="A925" t="inlineStr">
        <is>
          <t>CLI-0923</t>
        </is>
      </c>
      <c r="B925" t="inlineStr">
        <is>
          <t>Juan Pablo Giraldo Agudelo</t>
        </is>
      </c>
      <c r="C925" t="inlineStr">
        <is>
          <t>3248428274</t>
        </is>
      </c>
      <c r="D925" t="inlineStr">
        <is>
          <t>juan.giraldo65@hotmail.com</t>
        </is>
      </c>
      <c r="E925" t="inlineStr">
        <is>
          <t>Medellín</t>
        </is>
      </c>
      <c r="F925" t="inlineStr">
        <is>
          <t>PRY-001</t>
        </is>
      </c>
      <c r="G925" t="inlineStr">
        <is>
          <t>Portal Web</t>
        </is>
      </c>
      <c r="H925" t="inlineStr">
        <is>
          <t>Ana Quintero</t>
        </is>
      </c>
      <c r="I925" t="inlineStr">
        <is>
          <t>Perdido</t>
        </is>
      </c>
      <c r="J925" s="28" t="n">
        <v>45579</v>
      </c>
      <c r="K925" s="28" t="n">
        <v>45598</v>
      </c>
      <c r="L925" t="inlineStr">
        <is>
          <t>Buscaba arriendo, no compra</t>
        </is>
      </c>
    </row>
    <row r="926" ht="15.75" customHeight="1" s="25">
      <c r="A926" t="inlineStr">
        <is>
          <t>CLI-0924</t>
        </is>
      </c>
      <c r="B926" t="inlineStr">
        <is>
          <t>Carlos Toro Vásquez</t>
        </is>
      </c>
      <c r="C926" t="inlineStr">
        <is>
          <t>3041607676</t>
        </is>
      </c>
      <c r="D926" t="inlineStr">
        <is>
          <t>carlos.toro36@gmail.com</t>
        </is>
      </c>
      <c r="E926" t="inlineStr">
        <is>
          <t>Medellín</t>
        </is>
      </c>
      <c r="F926" t="inlineStr">
        <is>
          <t>PRY-002</t>
        </is>
      </c>
      <c r="G926" t="inlineStr">
        <is>
          <t>Portal Web</t>
        </is>
      </c>
      <c r="H926" t="inlineStr">
        <is>
          <t>Andrés Torres</t>
        </is>
      </c>
      <c r="I926" t="inlineStr">
        <is>
          <t>Perdido</t>
        </is>
      </c>
      <c r="J926" s="28" t="n">
        <v>45580</v>
      </c>
      <c r="K926" s="28" t="n">
        <v>45712</v>
      </c>
      <c r="L926" t="inlineStr">
        <is>
          <t>Crédito no aprobado</t>
        </is>
      </c>
    </row>
    <row r="927" ht="15.75" customHeight="1" s="25">
      <c r="A927" t="inlineStr">
        <is>
          <t>CLI-0925</t>
        </is>
      </c>
      <c r="B927" t="inlineStr">
        <is>
          <t>Emilio Álvarez Vélez</t>
        </is>
      </c>
      <c r="C927" t="inlineStr">
        <is>
          <t>3247674309</t>
        </is>
      </c>
      <c r="D927" t="inlineStr">
        <is>
          <t>emilio.alvarez59@yahoo.com</t>
        </is>
      </c>
      <c r="E927" t="inlineStr">
        <is>
          <t>Medellín</t>
        </is>
      </c>
      <c r="F927" t="inlineStr">
        <is>
          <t>PRY-001</t>
        </is>
      </c>
      <c r="G927" t="inlineStr">
        <is>
          <t>Llamada directa</t>
        </is>
      </c>
      <c r="H927" t="inlineStr">
        <is>
          <t>Andrés Torres</t>
        </is>
      </c>
      <c r="I927" t="inlineStr">
        <is>
          <t>Ganado</t>
        </is>
      </c>
      <c r="J927" s="28" t="n">
        <v>45580</v>
      </c>
      <c r="K927" s="28" t="n">
        <v>45737</v>
      </c>
      <c r="L927" t="inlineStr">
        <is>
          <t>Compró Apto 1203 en Torres del Poblado</t>
        </is>
      </c>
    </row>
    <row r="928" ht="15.75" customHeight="1" s="25">
      <c r="A928" t="inlineStr">
        <is>
          <t>CLI-0926</t>
        </is>
      </c>
      <c r="B928" t="inlineStr">
        <is>
          <t>Julián Vargas Quintero</t>
        </is>
      </c>
      <c r="C928" t="inlineStr">
        <is>
          <t>3104224714</t>
        </is>
      </c>
      <c r="D928" t="inlineStr">
        <is>
          <t>julian.vargas49@hotmail.com</t>
        </is>
      </c>
      <c r="E928" t="inlineStr">
        <is>
          <t>La Estrella</t>
        </is>
      </c>
      <c r="F928" t="inlineStr">
        <is>
          <t>PRY-007</t>
        </is>
      </c>
      <c r="G928" t="inlineStr">
        <is>
          <t>Instagram</t>
        </is>
      </c>
      <c r="H928" t="inlineStr">
        <is>
          <t>Sofía Prada</t>
        </is>
      </c>
      <c r="I928" t="inlineStr">
        <is>
          <t>Perdido</t>
        </is>
      </c>
      <c r="J928" s="28" t="n">
        <v>45580</v>
      </c>
      <c r="K928" s="28" t="n">
        <v>45604</v>
      </c>
      <c r="L928" t="inlineStr">
        <is>
          <t>No calificó para crédito</t>
        </is>
      </c>
    </row>
    <row r="929" ht="15.75" customHeight="1" s="25">
      <c r="A929" t="inlineStr">
        <is>
          <t>CLI-0927</t>
        </is>
      </c>
      <c r="B929" t="inlineStr">
        <is>
          <t>Lorena Mejía Ríos</t>
        </is>
      </c>
      <c r="C929" t="inlineStr">
        <is>
          <t>3011379769</t>
        </is>
      </c>
      <c r="D929" t="inlineStr">
        <is>
          <t>lorena.mejia99@outlook.com</t>
        </is>
      </c>
      <c r="E929" t="inlineStr">
        <is>
          <t>La Estrella</t>
        </is>
      </c>
      <c r="F929" t="inlineStr">
        <is>
          <t>PRY-003</t>
        </is>
      </c>
      <c r="G929" t="inlineStr">
        <is>
          <t>Portal Web</t>
        </is>
      </c>
      <c r="H929" t="inlineStr">
        <is>
          <t>Santiago Muñoz</t>
        </is>
      </c>
      <c r="I929" t="inlineStr">
        <is>
          <t>Perdido</t>
        </is>
      </c>
      <c r="J929" s="28" t="n">
        <v>45580</v>
      </c>
      <c r="K929" s="28" t="n">
        <v>45597</v>
      </c>
      <c r="L929" t="inlineStr">
        <is>
          <t>Sin respuesta tras 3 contactos</t>
        </is>
      </c>
    </row>
    <row r="930" ht="15.75" customHeight="1" s="25">
      <c r="A930" t="inlineStr">
        <is>
          <t>CLI-0928</t>
        </is>
      </c>
      <c r="B930" t="inlineStr">
        <is>
          <t>Mónica Espinosa Rojas</t>
        </is>
      </c>
      <c r="C930" t="inlineStr">
        <is>
          <t>3016070288</t>
        </is>
      </c>
      <c r="D930" t="inlineStr">
        <is>
          <t>monica.espinosa66@yahoo.com</t>
        </is>
      </c>
      <c r="E930" t="inlineStr">
        <is>
          <t>La Estrella</t>
        </is>
      </c>
      <c r="F930" t="inlineStr">
        <is>
          <t>PRY-005</t>
        </is>
      </c>
      <c r="G930" t="inlineStr">
        <is>
          <t>Portal Web</t>
        </is>
      </c>
      <c r="H930" t="inlineStr">
        <is>
          <t>Ana Quintero</t>
        </is>
      </c>
      <c r="I930" t="inlineStr">
        <is>
          <t>Perdido</t>
        </is>
      </c>
      <c r="J930" s="28" t="n">
        <v>45581</v>
      </c>
      <c r="K930" s="28" t="n">
        <v>45632</v>
      </c>
      <c r="L930" t="inlineStr">
        <is>
          <t>Desistió de la compra</t>
        </is>
      </c>
    </row>
    <row r="931" ht="15.75" customHeight="1" s="25">
      <c r="A931" t="inlineStr">
        <is>
          <t>CLI-0929</t>
        </is>
      </c>
      <c r="B931" t="inlineStr">
        <is>
          <t>Andrés Sánchez Londoño</t>
        </is>
      </c>
      <c r="C931" t="inlineStr">
        <is>
          <t>3044196834</t>
        </is>
      </c>
      <c r="D931" t="inlineStr">
        <is>
          <t>andres.sanchez98@gmail.com</t>
        </is>
      </c>
      <c r="E931" t="inlineStr">
        <is>
          <t>Medellín</t>
        </is>
      </c>
      <c r="F931" t="inlineStr">
        <is>
          <t>PRY-003</t>
        </is>
      </c>
      <c r="G931" t="inlineStr">
        <is>
          <t>Portal Web</t>
        </is>
      </c>
      <c r="H931" t="inlineStr">
        <is>
          <t>Juliana Vélez</t>
        </is>
      </c>
      <c r="I931" t="inlineStr">
        <is>
          <t>Ganado</t>
        </is>
      </c>
      <c r="J931" s="28" t="n">
        <v>45581</v>
      </c>
      <c r="K931" s="28" t="n">
        <v>45694</v>
      </c>
      <c r="L931" t="inlineStr">
        <is>
          <t>Compró Apto 607 en Conecta Laureles</t>
        </is>
      </c>
    </row>
    <row r="932" ht="15.75" customHeight="1" s="25">
      <c r="A932" t="inlineStr">
        <is>
          <t>CLI-0930</t>
        </is>
      </c>
      <c r="B932" t="inlineStr">
        <is>
          <t>Sara Bedoya Echeverri</t>
        </is>
      </c>
      <c r="C932" t="inlineStr">
        <is>
          <t>3206085810</t>
        </is>
      </c>
      <c r="D932" t="inlineStr">
        <is>
          <t>sara.bedoya79@hotmail.com</t>
        </is>
      </c>
      <c r="E932" t="inlineStr">
        <is>
          <t>Bello</t>
        </is>
      </c>
      <c r="F932" t="inlineStr">
        <is>
          <t>PRY-008</t>
        </is>
      </c>
      <c r="G932" t="inlineStr">
        <is>
          <t>Facebook</t>
        </is>
      </c>
      <c r="H932" t="inlineStr">
        <is>
          <t>Juliana Vélez</t>
        </is>
      </c>
      <c r="I932" t="inlineStr">
        <is>
          <t>Perdido</t>
        </is>
      </c>
      <c r="J932" s="28" t="n">
        <v>45581</v>
      </c>
      <c r="K932" s="28" t="n">
        <v>45587</v>
      </c>
      <c r="L932" t="inlineStr">
        <is>
          <t>Buscaba arriendo, no compra</t>
        </is>
      </c>
    </row>
    <row r="933" ht="15.75" customHeight="1" s="25">
      <c r="A933" t="inlineStr">
        <is>
          <t>CLI-0931</t>
        </is>
      </c>
      <c r="B933" t="inlineStr">
        <is>
          <t>Hernán Muñoz Montes</t>
        </is>
      </c>
      <c r="C933" t="inlineStr">
        <is>
          <t>3209063480</t>
        </is>
      </c>
      <c r="D933" t="inlineStr">
        <is>
          <t>hernan.munoz39@gmail.com</t>
        </is>
      </c>
      <c r="E933" t="inlineStr">
        <is>
          <t>Rionegro</t>
        </is>
      </c>
      <c r="F933" t="inlineStr">
        <is>
          <t>PRY-005</t>
        </is>
      </c>
      <c r="G933" t="inlineStr">
        <is>
          <t>Facebook</t>
        </is>
      </c>
      <c r="H933" t="inlineStr">
        <is>
          <t>Miguel Salazar</t>
        </is>
      </c>
      <c r="I933" t="inlineStr">
        <is>
          <t>Perdido</t>
        </is>
      </c>
      <c r="J933" s="28" t="n">
        <v>45582</v>
      </c>
      <c r="K933" s="28" t="n">
        <v>45608</v>
      </c>
      <c r="L933" t="inlineStr">
        <is>
          <t>Buscaba arriendo, no compra</t>
        </is>
      </c>
    </row>
    <row r="934" ht="15.75" customHeight="1" s="25">
      <c r="A934" t="inlineStr">
        <is>
          <t>CLI-0932</t>
        </is>
      </c>
      <c r="B934" t="inlineStr">
        <is>
          <t>Katherine Montes Escobar</t>
        </is>
      </c>
      <c r="C934" t="inlineStr">
        <is>
          <t>3177534513</t>
        </is>
      </c>
      <c r="D934" t="inlineStr">
        <is>
          <t>katherine.montes63@gmail.com</t>
        </is>
      </c>
      <c r="E934" t="inlineStr">
        <is>
          <t>Envigado</t>
        </is>
      </c>
      <c r="F934" t="inlineStr">
        <is>
          <t>PRY-007</t>
        </is>
      </c>
      <c r="G934" t="inlineStr">
        <is>
          <t>Feria Inmobiliaria</t>
        </is>
      </c>
      <c r="H934" t="inlineStr">
        <is>
          <t>Andrés Torres</t>
        </is>
      </c>
      <c r="I934" t="inlineStr">
        <is>
          <t>Perdido</t>
        </is>
      </c>
      <c r="J934" s="28" t="n">
        <v>45582</v>
      </c>
      <c r="K934" s="28" t="n">
        <v>45593</v>
      </c>
      <c r="L934" t="inlineStr">
        <is>
          <t>Datos de contacto errados</t>
        </is>
      </c>
    </row>
    <row r="935" ht="15.75" customHeight="1" s="25">
      <c r="A935" t="inlineStr">
        <is>
          <t>CLI-0933</t>
        </is>
      </c>
      <c r="B935" t="inlineStr">
        <is>
          <t>Esteban Peláez Henao</t>
        </is>
      </c>
      <c r="C935" t="inlineStr">
        <is>
          <t>3244428595</t>
        </is>
      </c>
      <c r="D935" t="inlineStr">
        <is>
          <t>esteban.pelaez83@outlook.com</t>
        </is>
      </c>
      <c r="E935" t="inlineStr">
        <is>
          <t>Sabaneta</t>
        </is>
      </c>
      <c r="F935" t="inlineStr">
        <is>
          <t>PRY-004</t>
        </is>
      </c>
      <c r="G935" t="inlineStr">
        <is>
          <t>Portal Web</t>
        </is>
      </c>
      <c r="H935" t="inlineStr">
        <is>
          <t>Luis Bedoya</t>
        </is>
      </c>
      <c r="I935" t="inlineStr">
        <is>
          <t>Perdido</t>
        </is>
      </c>
      <c r="J935" s="28" t="n">
        <v>45583</v>
      </c>
      <c r="K935" s="28" t="n">
        <v>45685</v>
      </c>
      <c r="L935" t="inlineStr">
        <is>
          <t>Precio fuera de presupuesto</t>
        </is>
      </c>
    </row>
    <row r="936" ht="15.75" customHeight="1" s="25">
      <c r="A936" t="inlineStr">
        <is>
          <t>CLI-0934</t>
        </is>
      </c>
      <c r="B936" t="inlineStr">
        <is>
          <t>Lorena Giraldo Marín</t>
        </is>
      </c>
      <c r="C936" t="inlineStr">
        <is>
          <t>3145852002</t>
        </is>
      </c>
      <c r="D936" t="inlineStr">
        <is>
          <t>lorena.giraldo21@hotmail.com</t>
        </is>
      </c>
      <c r="E936" t="inlineStr">
        <is>
          <t>Envigado</t>
        </is>
      </c>
      <c r="F936" t="inlineStr">
        <is>
          <t>PRY-007</t>
        </is>
      </c>
      <c r="G936" t="inlineStr">
        <is>
          <t>Instagram</t>
        </is>
      </c>
      <c r="H936" t="inlineStr">
        <is>
          <t>Luis Bedoya</t>
        </is>
      </c>
      <c r="I936" t="inlineStr">
        <is>
          <t>Perdido</t>
        </is>
      </c>
      <c r="J936" s="28" t="n">
        <v>45583</v>
      </c>
      <c r="K936" s="28" t="n">
        <v>45609</v>
      </c>
      <c r="L936" t="inlineStr">
        <is>
          <t>No calificó para crédito</t>
        </is>
      </c>
    </row>
    <row r="937" ht="15.75" customHeight="1" s="25">
      <c r="A937" t="inlineStr">
        <is>
          <t>CLI-0935</t>
        </is>
      </c>
      <c r="B937" t="inlineStr">
        <is>
          <t>Felipe Muñoz Mejía</t>
        </is>
      </c>
      <c r="C937" t="inlineStr">
        <is>
          <t>3132238821</t>
        </is>
      </c>
      <c r="D937" t="inlineStr">
        <is>
          <t>felipe.munoz35@hotmail.com</t>
        </is>
      </c>
      <c r="E937" t="inlineStr">
        <is>
          <t>Medellín</t>
        </is>
      </c>
      <c r="F937" t="inlineStr">
        <is>
          <t>PRY-003</t>
        </is>
      </c>
      <c r="G937" t="inlineStr">
        <is>
          <t>Feria Inmobiliaria</t>
        </is>
      </c>
      <c r="H937" t="inlineStr">
        <is>
          <t>Santiago Muñoz</t>
        </is>
      </c>
      <c r="I937" t="inlineStr">
        <is>
          <t>Perdido</t>
        </is>
      </c>
      <c r="J937" s="28" t="n">
        <v>45583</v>
      </c>
      <c r="K937" s="28" t="n">
        <v>45592</v>
      </c>
      <c r="L937" t="inlineStr">
        <is>
          <t>No calificó para crédito</t>
        </is>
      </c>
    </row>
    <row r="938" ht="15.75" customHeight="1" s="25">
      <c r="A938" t="inlineStr">
        <is>
          <t>CLI-0936</t>
        </is>
      </c>
      <c r="B938" t="inlineStr">
        <is>
          <t>Juliana Montes Espinosa</t>
        </is>
      </c>
      <c r="C938" t="inlineStr">
        <is>
          <t>3207832711</t>
        </is>
      </c>
      <c r="D938" t="inlineStr">
        <is>
          <t>juliana.montes11@outlook.com</t>
        </is>
      </c>
      <c r="E938" t="inlineStr">
        <is>
          <t>Rionegro</t>
        </is>
      </c>
      <c r="F938" t="inlineStr">
        <is>
          <t>PRY-005</t>
        </is>
      </c>
      <c r="G938" t="inlineStr">
        <is>
          <t>Instagram</t>
        </is>
      </c>
      <c r="H938" t="inlineStr">
        <is>
          <t>Santiago Muñoz</t>
        </is>
      </c>
      <c r="I938" t="inlineStr">
        <is>
          <t>Perdido</t>
        </is>
      </c>
      <c r="J938" s="28" t="n">
        <v>45583</v>
      </c>
      <c r="K938" s="28" t="n">
        <v>45600</v>
      </c>
      <c r="L938" t="inlineStr">
        <is>
          <t>Presupuesto insuficiente</t>
        </is>
      </c>
    </row>
    <row r="939" ht="15.75" customHeight="1" s="25">
      <c r="A939" t="inlineStr">
        <is>
          <t>CLI-0937</t>
        </is>
      </c>
      <c r="B939" t="inlineStr">
        <is>
          <t>Simón Pérez Correa</t>
        </is>
      </c>
      <c r="C939" t="inlineStr">
        <is>
          <t>3136950673</t>
        </is>
      </c>
      <c r="D939" t="inlineStr">
        <is>
          <t>simon.perez22@outlook.com</t>
        </is>
      </c>
      <c r="E939" t="inlineStr">
        <is>
          <t>Medellín</t>
        </is>
      </c>
      <c r="F939" t="inlineStr">
        <is>
          <t>PRY-004</t>
        </is>
      </c>
      <c r="G939" t="inlineStr">
        <is>
          <t>Portal Web</t>
        </is>
      </c>
      <c r="H939" t="inlineStr">
        <is>
          <t>Luis Bedoya</t>
        </is>
      </c>
      <c r="I939" t="inlineStr">
        <is>
          <t>Perdido</t>
        </is>
      </c>
      <c r="J939" s="28" t="n">
        <v>45583</v>
      </c>
      <c r="K939" s="28" t="n">
        <v>45607</v>
      </c>
      <c r="L939" t="inlineStr">
        <is>
          <t>Buscaba arriendo, no compra</t>
        </is>
      </c>
    </row>
    <row r="940" ht="15.75" customHeight="1" s="25">
      <c r="A940" t="inlineStr">
        <is>
          <t>CLI-0938</t>
        </is>
      </c>
      <c r="B940" t="inlineStr">
        <is>
          <t>Isabel Álvarez Ramírez</t>
        </is>
      </c>
      <c r="C940" t="inlineStr">
        <is>
          <t>3239991065</t>
        </is>
      </c>
      <c r="D940" t="inlineStr">
        <is>
          <t>isabel.alvarez70@outlook.com</t>
        </is>
      </c>
      <c r="E940" t="inlineStr">
        <is>
          <t>Itagüí</t>
        </is>
      </c>
      <c r="F940" t="inlineStr">
        <is>
          <t>PRY-003</t>
        </is>
      </c>
      <c r="G940" t="inlineStr">
        <is>
          <t>Facebook</t>
        </is>
      </c>
      <c r="H940" t="inlineStr">
        <is>
          <t>Andrés Torres</t>
        </is>
      </c>
      <c r="I940" t="inlineStr">
        <is>
          <t>Perdido</t>
        </is>
      </c>
      <c r="J940" s="28" t="n">
        <v>45584</v>
      </c>
      <c r="K940" s="28" t="n">
        <v>45597</v>
      </c>
      <c r="L940" t="inlineStr">
        <is>
          <t>No calificó para crédito</t>
        </is>
      </c>
    </row>
    <row r="941" ht="15.75" customHeight="1" s="25">
      <c r="A941" t="inlineStr">
        <is>
          <t>CLI-0939</t>
        </is>
      </c>
      <c r="B941" t="inlineStr">
        <is>
          <t>Felipe Vargas Espinosa</t>
        </is>
      </c>
      <c r="C941" t="inlineStr">
        <is>
          <t>3137239856</t>
        </is>
      </c>
      <c r="D941" t="inlineStr">
        <is>
          <t>felipe.vargas21@yahoo.com</t>
        </is>
      </c>
      <c r="E941" t="inlineStr">
        <is>
          <t>Sabaneta</t>
        </is>
      </c>
      <c r="F941" t="inlineStr">
        <is>
          <t>PRY-005</t>
        </is>
      </c>
      <c r="G941" t="inlineStr">
        <is>
          <t>Facebook</t>
        </is>
      </c>
      <c r="H941" t="inlineStr">
        <is>
          <t>Ana Quintero</t>
        </is>
      </c>
      <c r="I941" t="inlineStr">
        <is>
          <t>Perdido</t>
        </is>
      </c>
      <c r="J941" s="28" t="n">
        <v>45584</v>
      </c>
      <c r="K941" s="28" t="n">
        <v>45598</v>
      </c>
      <c r="L941" t="inlineStr">
        <is>
          <t>Sin respuesta tras 3 contactos</t>
        </is>
      </c>
    </row>
    <row r="942" ht="15.75" customHeight="1" s="25">
      <c r="A942" t="inlineStr">
        <is>
          <t>CLI-0940</t>
        </is>
      </c>
      <c r="B942" t="inlineStr">
        <is>
          <t>Esteban Toro Zuluaga</t>
        </is>
      </c>
      <c r="C942" t="inlineStr">
        <is>
          <t>3135162032</t>
        </is>
      </c>
      <c r="D942" t="inlineStr">
        <is>
          <t>esteban.toro90@outlook.com</t>
        </is>
      </c>
      <c r="E942" t="inlineStr">
        <is>
          <t>Rionegro</t>
        </is>
      </c>
      <c r="F942" t="inlineStr">
        <is>
          <t>PRY-005</t>
        </is>
      </c>
      <c r="G942" t="inlineStr">
        <is>
          <t>Portal Web</t>
        </is>
      </c>
      <c r="H942" t="inlineStr">
        <is>
          <t>Paula Arenas</t>
        </is>
      </c>
      <c r="I942" t="inlineStr">
        <is>
          <t>Perdido</t>
        </is>
      </c>
      <c r="J942" s="28" t="n">
        <v>45584</v>
      </c>
      <c r="K942" s="28" t="n">
        <v>45604</v>
      </c>
      <c r="L942" t="inlineStr">
        <is>
          <t>Sin respuesta tras 3 contactos</t>
        </is>
      </c>
    </row>
    <row r="943" ht="15.75" customHeight="1" s="25">
      <c r="A943" t="inlineStr">
        <is>
          <t>CLI-0941</t>
        </is>
      </c>
      <c r="B943" t="inlineStr">
        <is>
          <t>Rodrigo Palacio Sánchez</t>
        </is>
      </c>
      <c r="C943" t="inlineStr">
        <is>
          <t>3102188907</t>
        </is>
      </c>
      <c r="D943" t="inlineStr">
        <is>
          <t>rodrigo.palacio79@outlook.com</t>
        </is>
      </c>
      <c r="E943" t="inlineStr">
        <is>
          <t>Medellín</t>
        </is>
      </c>
      <c r="F943" t="inlineStr">
        <is>
          <t>PRY-002</t>
        </is>
      </c>
      <c r="G943" t="inlineStr">
        <is>
          <t>Instagram</t>
        </is>
      </c>
      <c r="H943" t="inlineStr">
        <is>
          <t>Luis Bedoya</t>
        </is>
      </c>
      <c r="I943" t="inlineStr">
        <is>
          <t>Perdido</t>
        </is>
      </c>
      <c r="J943" s="28" t="n">
        <v>45584</v>
      </c>
      <c r="K943" s="28" t="n">
        <v>45596</v>
      </c>
      <c r="L943" t="inlineStr">
        <is>
          <t>Buscaba arriendo, no compra</t>
        </is>
      </c>
    </row>
    <row r="944" ht="15.75" customHeight="1" s="25">
      <c r="A944" t="inlineStr">
        <is>
          <t>CLI-0942</t>
        </is>
      </c>
      <c r="B944" t="inlineStr">
        <is>
          <t>Emilio Vásquez Pérez</t>
        </is>
      </c>
      <c r="C944" t="inlineStr">
        <is>
          <t>3231509639</t>
        </is>
      </c>
      <c r="D944" t="inlineStr">
        <is>
          <t>emilio.vasquez51@gmail.com</t>
        </is>
      </c>
      <c r="E944" t="inlineStr">
        <is>
          <t>Medellín</t>
        </is>
      </c>
      <c r="F944" t="inlineStr">
        <is>
          <t>PRY-008</t>
        </is>
      </c>
      <c r="G944" t="inlineStr">
        <is>
          <t>Portal Web</t>
        </is>
      </c>
      <c r="H944" t="inlineStr">
        <is>
          <t>Andrés Torres</t>
        </is>
      </c>
      <c r="I944" t="inlineStr">
        <is>
          <t>Ganado</t>
        </is>
      </c>
      <c r="J944" s="28" t="n">
        <v>45585</v>
      </c>
      <c r="K944" s="28" t="n">
        <v>45699</v>
      </c>
      <c r="L944" t="inlineStr">
        <is>
          <t>Compró Casa 78 en Valle Verde Itagüí</t>
        </is>
      </c>
    </row>
    <row r="945" ht="15.75" customHeight="1" s="25">
      <c r="A945" t="inlineStr">
        <is>
          <t>CLI-0943</t>
        </is>
      </c>
      <c r="B945" t="inlineStr">
        <is>
          <t>Camila Duque Echeverri</t>
        </is>
      </c>
      <c r="C945" t="inlineStr">
        <is>
          <t>3108029528</t>
        </is>
      </c>
      <c r="D945" t="inlineStr">
        <is>
          <t>camila.duque53@gmail.com</t>
        </is>
      </c>
      <c r="E945" t="inlineStr">
        <is>
          <t>Envigado</t>
        </is>
      </c>
      <c r="F945" t="inlineStr">
        <is>
          <t>PRY-001</t>
        </is>
      </c>
      <c r="G945" t="inlineStr">
        <is>
          <t>Facebook</t>
        </is>
      </c>
      <c r="H945" t="inlineStr">
        <is>
          <t>Miguel Salazar</t>
        </is>
      </c>
      <c r="I945" t="inlineStr">
        <is>
          <t>Perdido</t>
        </is>
      </c>
      <c r="J945" s="28" t="n">
        <v>45585</v>
      </c>
      <c r="K945" s="28" t="n">
        <v>45604</v>
      </c>
      <c r="L945" t="inlineStr">
        <is>
          <t>Sin respuesta tras 3 contactos</t>
        </is>
      </c>
    </row>
    <row r="946" ht="15.75" customHeight="1" s="25">
      <c r="A946" t="inlineStr">
        <is>
          <t>CLI-0944</t>
        </is>
      </c>
      <c r="B946" t="inlineStr">
        <is>
          <t>Daniela Peláez Montoya</t>
        </is>
      </c>
      <c r="C946" t="inlineStr">
        <is>
          <t>3177589281</t>
        </is>
      </c>
      <c r="D946" t="inlineStr">
        <is>
          <t>daniela.pelaez22@yahoo.com</t>
        </is>
      </c>
      <c r="E946" t="inlineStr">
        <is>
          <t>Envigado</t>
        </is>
      </c>
      <c r="F946" t="inlineStr">
        <is>
          <t>PRY-007</t>
        </is>
      </c>
      <c r="G946" t="inlineStr">
        <is>
          <t>Portal Web</t>
        </is>
      </c>
      <c r="H946" t="inlineStr">
        <is>
          <t>Juliana Vélez</t>
        </is>
      </c>
      <c r="I946" t="inlineStr">
        <is>
          <t>Perdido</t>
        </is>
      </c>
      <c r="J946" s="28" t="n">
        <v>45585</v>
      </c>
      <c r="K946" s="28" t="n">
        <v>45596</v>
      </c>
      <c r="L946" t="inlineStr">
        <is>
          <t>Presupuesto insuficiente</t>
        </is>
      </c>
    </row>
    <row r="947" ht="15.75" customHeight="1" s="25">
      <c r="A947" t="inlineStr">
        <is>
          <t>CLI-0945</t>
        </is>
      </c>
      <c r="B947" t="inlineStr">
        <is>
          <t>Diana Jaramillo Zuluaga</t>
        </is>
      </c>
      <c r="C947" t="inlineStr">
        <is>
          <t>3243327707</t>
        </is>
      </c>
      <c r="D947" t="inlineStr">
        <is>
          <t>diana.jaramillo28@gmail.com</t>
        </is>
      </c>
      <c r="E947" t="inlineStr">
        <is>
          <t>Itagüí</t>
        </is>
      </c>
      <c r="F947" t="inlineStr">
        <is>
          <t>PRY-008</t>
        </is>
      </c>
      <c r="G947" t="inlineStr">
        <is>
          <t>Facebook</t>
        </is>
      </c>
      <c r="H947" t="inlineStr">
        <is>
          <t>Miguel Salazar</t>
        </is>
      </c>
      <c r="I947" t="inlineStr">
        <is>
          <t>Perdido</t>
        </is>
      </c>
      <c r="J947" s="28" t="n">
        <v>45585</v>
      </c>
      <c r="K947" s="28" t="n">
        <v>45608</v>
      </c>
      <c r="L947" t="inlineStr">
        <is>
          <t>No calificó para crédito</t>
        </is>
      </c>
    </row>
    <row r="948" ht="15.75" customHeight="1" s="25">
      <c r="A948" t="inlineStr">
        <is>
          <t>CLI-0946</t>
        </is>
      </c>
      <c r="B948" t="inlineStr">
        <is>
          <t>Patricia Betancur Montoya</t>
        </is>
      </c>
      <c r="C948" t="inlineStr">
        <is>
          <t>3003372832</t>
        </is>
      </c>
      <c r="D948" t="inlineStr">
        <is>
          <t>patricia.betancur84@outlook.com</t>
        </is>
      </c>
      <c r="E948" t="inlineStr">
        <is>
          <t>Envigado</t>
        </is>
      </c>
      <c r="F948" t="inlineStr">
        <is>
          <t>PRY-007</t>
        </is>
      </c>
      <c r="G948" t="inlineStr">
        <is>
          <t>Portal Web</t>
        </is>
      </c>
      <c r="H948" t="inlineStr">
        <is>
          <t>Andrés Torres</t>
        </is>
      </c>
      <c r="I948" t="inlineStr">
        <is>
          <t>Perdido</t>
        </is>
      </c>
      <c r="J948" s="28" t="n">
        <v>45585</v>
      </c>
      <c r="K948" s="28" t="n">
        <v>45599</v>
      </c>
      <c r="L948" t="inlineStr">
        <is>
          <t>No calificó para crédito</t>
        </is>
      </c>
    </row>
    <row r="949" ht="15.75" customHeight="1" s="25">
      <c r="A949" t="inlineStr">
        <is>
          <t>CLI-0947</t>
        </is>
      </c>
      <c r="B949" t="inlineStr">
        <is>
          <t>María Vélez Gaviria</t>
        </is>
      </c>
      <c r="C949" t="inlineStr">
        <is>
          <t>3106541557</t>
        </is>
      </c>
      <c r="D949" t="inlineStr">
        <is>
          <t>maria.velez82@yahoo.com</t>
        </is>
      </c>
      <c r="E949" t="inlineStr">
        <is>
          <t>Medellín</t>
        </is>
      </c>
      <c r="F949" t="inlineStr">
        <is>
          <t>PRY-002</t>
        </is>
      </c>
      <c r="G949" t="inlineStr">
        <is>
          <t>Llamada directa</t>
        </is>
      </c>
      <c r="H949" t="inlineStr">
        <is>
          <t>Juliana Vélez</t>
        </is>
      </c>
      <c r="I949" t="inlineStr">
        <is>
          <t>Perdido</t>
        </is>
      </c>
      <c r="J949" s="28" t="n">
        <v>45585</v>
      </c>
      <c r="K949" s="28" t="n">
        <v>45613</v>
      </c>
      <c r="L949" t="inlineStr">
        <is>
          <t>No calificó para crédito</t>
        </is>
      </c>
    </row>
    <row r="950" ht="15.75" customHeight="1" s="25">
      <c r="A950" t="inlineStr">
        <is>
          <t>CLI-0948</t>
        </is>
      </c>
      <c r="B950" t="inlineStr">
        <is>
          <t>Mauricio Rojas Sánchez</t>
        </is>
      </c>
      <c r="C950" t="inlineStr">
        <is>
          <t>3104689332</t>
        </is>
      </c>
      <c r="D950" t="inlineStr">
        <is>
          <t>mauricio.rojas40@outlook.com</t>
        </is>
      </c>
      <c r="E950" t="inlineStr">
        <is>
          <t>Medellín</t>
        </is>
      </c>
      <c r="F950" t="inlineStr">
        <is>
          <t>PRY-002</t>
        </is>
      </c>
      <c r="G950" t="inlineStr">
        <is>
          <t>Facebook</t>
        </is>
      </c>
      <c r="H950" t="inlineStr">
        <is>
          <t>Andrés Torres</t>
        </is>
      </c>
      <c r="I950" t="inlineStr">
        <is>
          <t>Ganado</t>
        </is>
      </c>
      <c r="J950" s="28" t="n">
        <v>45586</v>
      </c>
      <c r="K950" s="28" t="n">
        <v>45735</v>
      </c>
      <c r="L950" t="inlineStr">
        <is>
          <t>Compró Casa 44 en Reserva Santa Elena</t>
        </is>
      </c>
    </row>
    <row r="951" ht="15.75" customHeight="1" s="25">
      <c r="A951" t="inlineStr">
        <is>
          <t>CLI-0949</t>
        </is>
      </c>
      <c r="B951" t="inlineStr">
        <is>
          <t>Diego Cardona Vargas</t>
        </is>
      </c>
      <c r="C951" t="inlineStr">
        <is>
          <t>3001336303</t>
        </is>
      </c>
      <c r="D951" t="inlineStr">
        <is>
          <t>diego.cardona13@outlook.com</t>
        </is>
      </c>
      <c r="E951" t="inlineStr">
        <is>
          <t>Envigado</t>
        </is>
      </c>
      <c r="F951" t="inlineStr">
        <is>
          <t>PRY-002</t>
        </is>
      </c>
      <c r="G951" t="inlineStr">
        <is>
          <t>Facebook</t>
        </is>
      </c>
      <c r="H951" t="inlineStr">
        <is>
          <t>Ana Quintero</t>
        </is>
      </c>
      <c r="I951" t="inlineStr">
        <is>
          <t>Perdido</t>
        </is>
      </c>
      <c r="J951" s="28" t="n">
        <v>45586</v>
      </c>
      <c r="K951" s="28" t="n">
        <v>45591</v>
      </c>
      <c r="L951" t="inlineStr">
        <is>
          <t>Presupuesto insuficiente</t>
        </is>
      </c>
    </row>
    <row r="952" ht="15.75" customHeight="1" s="25">
      <c r="A952" t="inlineStr">
        <is>
          <t>CLI-0950</t>
        </is>
      </c>
      <c r="B952" t="inlineStr">
        <is>
          <t>Mónica Londoño Montes</t>
        </is>
      </c>
      <c r="C952" t="inlineStr">
        <is>
          <t>3155358953</t>
        </is>
      </c>
      <c r="D952" t="inlineStr">
        <is>
          <t>monica.londono43@outlook.com</t>
        </is>
      </c>
      <c r="E952" t="inlineStr">
        <is>
          <t>Medellín</t>
        </is>
      </c>
      <c r="F952" t="inlineStr">
        <is>
          <t>PRY-003</t>
        </is>
      </c>
      <c r="G952" t="inlineStr">
        <is>
          <t>Facebook</t>
        </is>
      </c>
      <c r="H952" t="inlineStr">
        <is>
          <t>Juliana Vélez</t>
        </is>
      </c>
      <c r="I952" t="inlineStr">
        <is>
          <t>Perdido</t>
        </is>
      </c>
      <c r="J952" s="28" t="n">
        <v>45586</v>
      </c>
      <c r="K952" s="28" t="n">
        <v>45591</v>
      </c>
      <c r="L952" t="inlineStr">
        <is>
          <t>No calificó para crédito</t>
        </is>
      </c>
    </row>
    <row r="953" ht="15.75" customHeight="1" s="25">
      <c r="A953" t="inlineStr">
        <is>
          <t>CLI-0951</t>
        </is>
      </c>
      <c r="B953" t="inlineStr">
        <is>
          <t>Marcela Peláez Muñoz</t>
        </is>
      </c>
      <c r="C953" t="inlineStr">
        <is>
          <t>3008168859</t>
        </is>
      </c>
      <c r="D953" t="inlineStr">
        <is>
          <t>marcela.pelaez54@gmail.com</t>
        </is>
      </c>
      <c r="E953" t="inlineStr">
        <is>
          <t>La Estrella</t>
        </is>
      </c>
      <c r="F953" t="inlineStr">
        <is>
          <t>PRY-007</t>
        </is>
      </c>
      <c r="G953" t="inlineStr">
        <is>
          <t>Facebook</t>
        </is>
      </c>
      <c r="H953" t="inlineStr">
        <is>
          <t>Miguel Salazar</t>
        </is>
      </c>
      <c r="I953" t="inlineStr">
        <is>
          <t>Perdido</t>
        </is>
      </c>
      <c r="J953" s="28" t="n">
        <v>45586</v>
      </c>
      <c r="K953" s="28" t="n">
        <v>45612</v>
      </c>
      <c r="L953" t="inlineStr">
        <is>
          <t>Presupuesto insuficiente</t>
        </is>
      </c>
    </row>
    <row r="954" ht="15.75" customHeight="1" s="25">
      <c r="A954" t="inlineStr">
        <is>
          <t>CLI-0952</t>
        </is>
      </c>
      <c r="B954" t="inlineStr">
        <is>
          <t>Gabriel Palacio Arango</t>
        </is>
      </c>
      <c r="C954" t="inlineStr">
        <is>
          <t>3145060865</t>
        </is>
      </c>
      <c r="D954" t="inlineStr">
        <is>
          <t>gabriel.palacio67@yahoo.com</t>
        </is>
      </c>
      <c r="E954" t="inlineStr">
        <is>
          <t>Medellín</t>
        </is>
      </c>
      <c r="F954" t="inlineStr">
        <is>
          <t>PRY-004</t>
        </is>
      </c>
      <c r="G954" t="inlineStr">
        <is>
          <t>Instagram</t>
        </is>
      </c>
      <c r="H954" t="inlineStr">
        <is>
          <t>Miguel Salazar</t>
        </is>
      </c>
      <c r="I954" t="inlineStr">
        <is>
          <t>Perdido</t>
        </is>
      </c>
      <c r="J954" s="28" t="n">
        <v>45587</v>
      </c>
      <c r="K954" s="28" t="n">
        <v>45636</v>
      </c>
      <c r="L954" t="inlineStr">
        <is>
          <t>Eligió otro proyecto</t>
        </is>
      </c>
    </row>
    <row r="955" ht="15.75" customHeight="1" s="25">
      <c r="A955" t="inlineStr">
        <is>
          <t>CLI-0953</t>
        </is>
      </c>
      <c r="B955" t="inlineStr">
        <is>
          <t>Hernán Sánchez Osorio</t>
        </is>
      </c>
      <c r="C955" t="inlineStr">
        <is>
          <t>3001713430</t>
        </is>
      </c>
      <c r="D955" t="inlineStr">
        <is>
          <t>hernan.sanchez67@outlook.com</t>
        </is>
      </c>
      <c r="E955" t="inlineStr">
        <is>
          <t>Medellín</t>
        </is>
      </c>
      <c r="F955" t="inlineStr">
        <is>
          <t>PRY-001</t>
        </is>
      </c>
      <c r="G955" t="inlineStr">
        <is>
          <t>Portal Web</t>
        </is>
      </c>
      <c r="H955" t="inlineStr">
        <is>
          <t>Luis Bedoya</t>
        </is>
      </c>
      <c r="I955" t="inlineStr">
        <is>
          <t>Perdido</t>
        </is>
      </c>
      <c r="J955" s="28" t="n">
        <v>45587</v>
      </c>
      <c r="K955" s="28" t="n">
        <v>45596</v>
      </c>
      <c r="L955" t="inlineStr">
        <is>
          <t>No calificó para crédito</t>
        </is>
      </c>
    </row>
    <row r="956" ht="15.75" customHeight="1" s="25">
      <c r="A956" t="inlineStr">
        <is>
          <t>CLI-0954</t>
        </is>
      </c>
      <c r="B956" t="inlineStr">
        <is>
          <t>Emilio Ríos Franco</t>
        </is>
      </c>
      <c r="C956" t="inlineStr">
        <is>
          <t>3227805421</t>
        </is>
      </c>
      <c r="D956" t="inlineStr">
        <is>
          <t>emilio.rios89@hotmail.com</t>
        </is>
      </c>
      <c r="E956" t="inlineStr">
        <is>
          <t>Rionegro</t>
        </is>
      </c>
      <c r="F956" t="inlineStr">
        <is>
          <t>PRY-002</t>
        </is>
      </c>
      <c r="G956" t="inlineStr">
        <is>
          <t>Instagram</t>
        </is>
      </c>
      <c r="H956" t="inlineStr">
        <is>
          <t>Miguel Salazar</t>
        </is>
      </c>
      <c r="I956" t="inlineStr">
        <is>
          <t>Perdido</t>
        </is>
      </c>
      <c r="J956" s="28" t="n">
        <v>45587</v>
      </c>
      <c r="K956" s="28" t="n">
        <v>45615</v>
      </c>
      <c r="L956" t="inlineStr">
        <is>
          <t>Sin respuesta tras 3 contactos</t>
        </is>
      </c>
    </row>
    <row r="957" ht="15.75" customHeight="1" s="25">
      <c r="A957" t="inlineStr">
        <is>
          <t>CLI-0955</t>
        </is>
      </c>
      <c r="B957" t="inlineStr">
        <is>
          <t>Wilson Giraldo Higuita</t>
        </is>
      </c>
      <c r="C957" t="inlineStr">
        <is>
          <t>3204466645</t>
        </is>
      </c>
      <c r="D957" t="inlineStr">
        <is>
          <t>wilson.giraldo76@outlook.com</t>
        </is>
      </c>
      <c r="E957" t="inlineStr">
        <is>
          <t>Medellín</t>
        </is>
      </c>
      <c r="F957" t="inlineStr">
        <is>
          <t>PRY-002</t>
        </is>
      </c>
      <c r="G957" t="inlineStr">
        <is>
          <t>Instagram</t>
        </is>
      </c>
      <c r="H957" t="inlineStr">
        <is>
          <t>Sofía Prada</t>
        </is>
      </c>
      <c r="I957" t="inlineStr">
        <is>
          <t>Perdido</t>
        </is>
      </c>
      <c r="J957" s="28" t="n">
        <v>45587</v>
      </c>
      <c r="K957" s="28" t="n">
        <v>45611</v>
      </c>
      <c r="L957" t="inlineStr">
        <is>
          <t>Presupuesto insuficiente</t>
        </is>
      </c>
    </row>
    <row r="958" ht="15.75" customHeight="1" s="25">
      <c r="A958" t="inlineStr">
        <is>
          <t>CLI-0956</t>
        </is>
      </c>
      <c r="B958" t="inlineStr">
        <is>
          <t>Carlos Agudelo Duque</t>
        </is>
      </c>
      <c r="C958" t="inlineStr">
        <is>
          <t>3247035727</t>
        </is>
      </c>
      <c r="D958" t="inlineStr">
        <is>
          <t>carlos.agudelo89@yahoo.com</t>
        </is>
      </c>
      <c r="E958" t="inlineStr">
        <is>
          <t>Itagüí</t>
        </is>
      </c>
      <c r="F958" t="inlineStr">
        <is>
          <t>PRY-007</t>
        </is>
      </c>
      <c r="G958" t="inlineStr">
        <is>
          <t>Facebook</t>
        </is>
      </c>
      <c r="H958" t="inlineStr">
        <is>
          <t>Andrés Torres</t>
        </is>
      </c>
      <c r="I958" t="inlineStr">
        <is>
          <t>Perdido</t>
        </is>
      </c>
      <c r="J958" s="28" t="n">
        <v>45588</v>
      </c>
      <c r="K958" s="28" t="n">
        <v>45615</v>
      </c>
      <c r="L958" t="inlineStr">
        <is>
          <t>Sin respuesta tras 3 contactos</t>
        </is>
      </c>
    </row>
    <row r="959" ht="15.75" customHeight="1" s="25">
      <c r="A959" t="inlineStr">
        <is>
          <t>CLI-0957</t>
        </is>
      </c>
      <c r="B959" t="inlineStr">
        <is>
          <t>Andrés Marín Betancur</t>
        </is>
      </c>
      <c r="C959" t="inlineStr">
        <is>
          <t>3132439258</t>
        </is>
      </c>
      <c r="D959" t="inlineStr">
        <is>
          <t>andres.marin16@outlook.com</t>
        </is>
      </c>
      <c r="E959" t="inlineStr">
        <is>
          <t>Sabaneta</t>
        </is>
      </c>
      <c r="F959" t="inlineStr">
        <is>
          <t>PRY-001</t>
        </is>
      </c>
      <c r="G959" t="inlineStr">
        <is>
          <t>Facebook</t>
        </is>
      </c>
      <c r="H959" t="inlineStr">
        <is>
          <t>Miguel Salazar</t>
        </is>
      </c>
      <c r="I959" t="inlineStr">
        <is>
          <t>Perdido</t>
        </is>
      </c>
      <c r="J959" s="28" t="n">
        <v>45588</v>
      </c>
      <c r="K959" s="28" t="n">
        <v>45607</v>
      </c>
      <c r="L959" t="inlineStr">
        <is>
          <t>Buscaba arriendo, no compra</t>
        </is>
      </c>
    </row>
    <row r="960" ht="15.75" customHeight="1" s="25">
      <c r="A960" t="inlineStr">
        <is>
          <t>CLI-0958</t>
        </is>
      </c>
      <c r="B960" t="inlineStr">
        <is>
          <t>Esteban Muñoz Ochoa</t>
        </is>
      </c>
      <c r="C960" t="inlineStr">
        <is>
          <t>3012583636</t>
        </is>
      </c>
      <c r="D960" t="inlineStr">
        <is>
          <t>esteban.munoz57@gmail.com</t>
        </is>
      </c>
      <c r="E960" t="inlineStr">
        <is>
          <t>Rionegro</t>
        </is>
      </c>
      <c r="F960" t="inlineStr">
        <is>
          <t>PRY-008</t>
        </is>
      </c>
      <c r="G960" t="inlineStr">
        <is>
          <t>Facebook</t>
        </is>
      </c>
      <c r="H960" t="inlineStr">
        <is>
          <t>Andrés Torres</t>
        </is>
      </c>
      <c r="I960" t="inlineStr">
        <is>
          <t>Perdido</t>
        </is>
      </c>
      <c r="J960" s="28" t="n">
        <v>45588</v>
      </c>
      <c r="K960" s="28" t="n">
        <v>45595</v>
      </c>
      <c r="L960" t="inlineStr">
        <is>
          <t>No calificó para crédito</t>
        </is>
      </c>
    </row>
    <row r="961" ht="15.75" customHeight="1" s="25">
      <c r="A961" t="inlineStr">
        <is>
          <t>CLI-0959</t>
        </is>
      </c>
      <c r="B961" t="inlineStr">
        <is>
          <t>Gabriel Montes Valencia</t>
        </is>
      </c>
      <c r="C961" t="inlineStr">
        <is>
          <t>3109428562</t>
        </is>
      </c>
      <c r="D961" t="inlineStr">
        <is>
          <t>gabriel.montes54@gmail.com</t>
        </is>
      </c>
      <c r="E961" t="inlineStr">
        <is>
          <t>Medellín</t>
        </is>
      </c>
      <c r="F961" t="inlineStr">
        <is>
          <t>PRY-001</t>
        </is>
      </c>
      <c r="G961" t="inlineStr">
        <is>
          <t>Portal Web</t>
        </is>
      </c>
      <c r="H961" t="inlineStr">
        <is>
          <t>Andrés Torres</t>
        </is>
      </c>
      <c r="I961" t="inlineStr">
        <is>
          <t>Perdido</t>
        </is>
      </c>
      <c r="J961" s="28" t="n">
        <v>45588</v>
      </c>
      <c r="K961" s="28" t="n">
        <v>45594</v>
      </c>
      <c r="L961" t="inlineStr">
        <is>
          <t>No calificó para crédito</t>
        </is>
      </c>
    </row>
    <row r="962" ht="15.75" customHeight="1" s="25">
      <c r="A962" t="inlineStr">
        <is>
          <t>CLI-0960</t>
        </is>
      </c>
      <c r="B962" t="inlineStr">
        <is>
          <t>Gloria Pérez Valencia</t>
        </is>
      </c>
      <c r="C962" t="inlineStr">
        <is>
          <t>3203297700</t>
        </is>
      </c>
      <c r="D962" t="inlineStr">
        <is>
          <t>gloria.perez50@gmail.com</t>
        </is>
      </c>
      <c r="E962" t="inlineStr">
        <is>
          <t>Bello</t>
        </is>
      </c>
      <c r="F962" t="inlineStr">
        <is>
          <t>PRY-001</t>
        </is>
      </c>
      <c r="G962" t="inlineStr">
        <is>
          <t>Referido</t>
        </is>
      </c>
      <c r="H962" t="inlineStr">
        <is>
          <t>Juliana Vélez</t>
        </is>
      </c>
      <c r="I962" t="inlineStr">
        <is>
          <t>Ganado</t>
        </is>
      </c>
      <c r="J962" s="28" t="n">
        <v>45589</v>
      </c>
      <c r="K962" s="28" t="n">
        <v>45700</v>
      </c>
      <c r="L962" t="inlineStr">
        <is>
          <t>Compró Apto 1701 en Torres del Poblado</t>
        </is>
      </c>
    </row>
    <row r="963" ht="15.75" customHeight="1" s="25">
      <c r="A963" t="inlineStr">
        <is>
          <t>CLI-0961</t>
        </is>
      </c>
      <c r="B963" t="inlineStr">
        <is>
          <t>Emilio Londoño Peláez</t>
        </is>
      </c>
      <c r="C963" t="inlineStr">
        <is>
          <t>3006759037</t>
        </is>
      </c>
      <c r="D963" t="inlineStr">
        <is>
          <t>emilio.londono69@outlook.com</t>
        </is>
      </c>
      <c r="E963" t="inlineStr">
        <is>
          <t>Medellín</t>
        </is>
      </c>
      <c r="F963" t="inlineStr">
        <is>
          <t>PRY-004</t>
        </is>
      </c>
      <c r="G963" t="inlineStr">
        <is>
          <t>Facebook</t>
        </is>
      </c>
      <c r="H963" t="inlineStr">
        <is>
          <t>Sofía Prada</t>
        </is>
      </c>
      <c r="I963" t="inlineStr">
        <is>
          <t>Perdido</t>
        </is>
      </c>
      <c r="J963" s="28" t="n">
        <v>45589</v>
      </c>
      <c r="K963" s="28" t="n">
        <v>45612</v>
      </c>
      <c r="L963" t="inlineStr">
        <is>
          <t>No calificó para crédito</t>
        </is>
      </c>
    </row>
    <row r="964" ht="15.75" customHeight="1" s="25">
      <c r="A964" t="inlineStr">
        <is>
          <t>CLI-0962</t>
        </is>
      </c>
      <c r="B964" t="inlineStr">
        <is>
          <t>Manuela Castaño Restrepo</t>
        </is>
      </c>
      <c r="C964" t="inlineStr">
        <is>
          <t>3049410431</t>
        </is>
      </c>
      <c r="D964" t="inlineStr">
        <is>
          <t>manuela.castano4@yahoo.com</t>
        </is>
      </c>
      <c r="E964" t="inlineStr">
        <is>
          <t>Medellín</t>
        </is>
      </c>
      <c r="F964" t="inlineStr">
        <is>
          <t>PRY-004</t>
        </is>
      </c>
      <c r="G964" t="inlineStr">
        <is>
          <t>Facebook</t>
        </is>
      </c>
      <c r="H964" t="inlineStr">
        <is>
          <t>Luis Bedoya</t>
        </is>
      </c>
      <c r="I964" t="inlineStr">
        <is>
          <t>Perdido</t>
        </is>
      </c>
      <c r="J964" s="28" t="n">
        <v>45590</v>
      </c>
      <c r="K964" s="28" t="n">
        <v>45596</v>
      </c>
      <c r="L964" t="inlineStr">
        <is>
          <t>Sin respuesta tras 3 contactos</t>
        </is>
      </c>
    </row>
    <row r="965" ht="15.75" customHeight="1" s="25">
      <c r="A965" t="inlineStr">
        <is>
          <t>CLI-0963</t>
        </is>
      </c>
      <c r="B965" t="inlineStr">
        <is>
          <t>Diego Hernández Ramírez</t>
        </is>
      </c>
      <c r="C965" t="inlineStr">
        <is>
          <t>3208436378</t>
        </is>
      </c>
      <c r="D965" t="inlineStr">
        <is>
          <t>diego.hernandez60@yahoo.com</t>
        </is>
      </c>
      <c r="E965" t="inlineStr">
        <is>
          <t>Medellín</t>
        </is>
      </c>
      <c r="F965" t="inlineStr">
        <is>
          <t>PRY-007</t>
        </is>
      </c>
      <c r="G965" t="inlineStr">
        <is>
          <t>Instagram</t>
        </is>
      </c>
      <c r="H965" t="inlineStr">
        <is>
          <t>Sofía Prada</t>
        </is>
      </c>
      <c r="I965" t="inlineStr">
        <is>
          <t>Perdido</t>
        </is>
      </c>
      <c r="J965" s="28" t="n">
        <v>45590</v>
      </c>
      <c r="K965" s="28" t="n">
        <v>45596</v>
      </c>
      <c r="L965" t="inlineStr">
        <is>
          <t>Sin respuesta tras 3 contactos</t>
        </is>
      </c>
    </row>
    <row r="966" ht="15.75" customHeight="1" s="25">
      <c r="A966" t="inlineStr">
        <is>
          <t>CLI-0964</t>
        </is>
      </c>
      <c r="B966" t="inlineStr">
        <is>
          <t>Julián López Bedoya</t>
        </is>
      </c>
      <c r="C966" t="inlineStr">
        <is>
          <t>3102443244</t>
        </is>
      </c>
      <c r="D966" t="inlineStr">
        <is>
          <t>julian.lopez76@yahoo.com</t>
        </is>
      </c>
      <c r="E966" t="inlineStr">
        <is>
          <t>Rionegro</t>
        </is>
      </c>
      <c r="F966" t="inlineStr">
        <is>
          <t>PRY-008</t>
        </is>
      </c>
      <c r="G966" t="inlineStr">
        <is>
          <t>Facebook</t>
        </is>
      </c>
      <c r="H966" t="inlineStr">
        <is>
          <t>Ana Quintero</t>
        </is>
      </c>
      <c r="I966" t="inlineStr">
        <is>
          <t>Perdido</t>
        </is>
      </c>
      <c r="J966" s="28" t="n">
        <v>45591</v>
      </c>
      <c r="K966" s="28" t="n">
        <v>45650</v>
      </c>
      <c r="L966" t="inlineStr">
        <is>
          <t>Eligió otro proyecto</t>
        </is>
      </c>
    </row>
    <row r="967" ht="15.75" customHeight="1" s="25">
      <c r="A967" t="inlineStr">
        <is>
          <t>CLI-0965</t>
        </is>
      </c>
      <c r="B967" t="inlineStr">
        <is>
          <t>Sebastián Peláez Higuita</t>
        </is>
      </c>
      <c r="C967" t="inlineStr">
        <is>
          <t>3017087626</t>
        </is>
      </c>
      <c r="D967" t="inlineStr">
        <is>
          <t>sebastian.pelaez29@gmail.com</t>
        </is>
      </c>
      <c r="E967" t="inlineStr">
        <is>
          <t>Bello</t>
        </is>
      </c>
      <c r="F967" t="inlineStr">
        <is>
          <t>PRY-004</t>
        </is>
      </c>
      <c r="G967" t="inlineStr">
        <is>
          <t>Portal Web</t>
        </is>
      </c>
      <c r="H967" t="inlineStr">
        <is>
          <t>Santiago Muñoz</t>
        </is>
      </c>
      <c r="I967" t="inlineStr">
        <is>
          <t>Ganado</t>
        </is>
      </c>
      <c r="J967" s="28" t="n">
        <v>45591</v>
      </c>
      <c r="K967" s="28" t="n">
        <v>45744</v>
      </c>
      <c r="L967" t="inlineStr">
        <is>
          <t>Compró Casa 30 en Altavista Park</t>
        </is>
      </c>
    </row>
    <row r="968" ht="15.75" customHeight="1" s="25">
      <c r="A968" t="inlineStr">
        <is>
          <t>CLI-0966</t>
        </is>
      </c>
      <c r="B968" t="inlineStr">
        <is>
          <t>Esteban Salazar Hernández</t>
        </is>
      </c>
      <c r="C968" t="inlineStr">
        <is>
          <t>3104889985</t>
        </is>
      </c>
      <c r="D968" t="inlineStr">
        <is>
          <t>esteban.salazar69@hotmail.com</t>
        </is>
      </c>
      <c r="E968" t="inlineStr">
        <is>
          <t>Bello</t>
        </is>
      </c>
      <c r="F968" t="inlineStr">
        <is>
          <t>PRY-004</t>
        </is>
      </c>
      <c r="G968" t="inlineStr">
        <is>
          <t>Feria Inmobiliaria</t>
        </is>
      </c>
      <c r="H968" t="inlineStr">
        <is>
          <t>Juliana Vélez</t>
        </is>
      </c>
      <c r="I968" t="inlineStr">
        <is>
          <t>Ganado</t>
        </is>
      </c>
      <c r="J968" s="28" t="n">
        <v>45591</v>
      </c>
      <c r="K968" s="28" t="n">
        <v>45687</v>
      </c>
      <c r="L968" t="inlineStr">
        <is>
          <t>Compró Casa 50 en Altavista Park</t>
        </is>
      </c>
    </row>
    <row r="969" ht="15.75" customHeight="1" s="25">
      <c r="A969" t="inlineStr">
        <is>
          <t>CLI-0967</t>
        </is>
      </c>
      <c r="B969" t="inlineStr">
        <is>
          <t>Nicolás Duque Franco</t>
        </is>
      </c>
      <c r="C969" t="inlineStr">
        <is>
          <t>3141349591</t>
        </is>
      </c>
      <c r="D969" t="inlineStr">
        <is>
          <t>nicolas.duque34@gmail.com</t>
        </is>
      </c>
      <c r="E969" t="inlineStr">
        <is>
          <t>Medellín</t>
        </is>
      </c>
      <c r="F969" t="inlineStr">
        <is>
          <t>PRY-004</t>
        </is>
      </c>
      <c r="G969" t="inlineStr">
        <is>
          <t>Portal Web</t>
        </is>
      </c>
      <c r="H969" t="inlineStr">
        <is>
          <t>Luis Bedoya</t>
        </is>
      </c>
      <c r="I969" t="inlineStr">
        <is>
          <t>Perdido</t>
        </is>
      </c>
      <c r="J969" s="28" t="n">
        <v>45591</v>
      </c>
      <c r="K969" s="28" t="n">
        <v>45600</v>
      </c>
      <c r="L969" t="inlineStr">
        <is>
          <t>Sin respuesta tras 3 contactos</t>
        </is>
      </c>
    </row>
    <row r="970" ht="15.75" customHeight="1" s="25">
      <c r="A970" t="inlineStr">
        <is>
          <t>CLI-0968</t>
        </is>
      </c>
      <c r="B970" t="inlineStr">
        <is>
          <t>Juliana Castaño Duque</t>
        </is>
      </c>
      <c r="C970" t="inlineStr">
        <is>
          <t>3013685280</t>
        </is>
      </c>
      <c r="D970" t="inlineStr">
        <is>
          <t>juliana.castano64@yahoo.com</t>
        </is>
      </c>
      <c r="E970" t="inlineStr">
        <is>
          <t>Rionegro</t>
        </is>
      </c>
      <c r="F970" t="inlineStr">
        <is>
          <t>PRY-002</t>
        </is>
      </c>
      <c r="G970" t="inlineStr">
        <is>
          <t>Portal Web</t>
        </is>
      </c>
      <c r="H970" t="inlineStr">
        <is>
          <t>Paula Arenas</t>
        </is>
      </c>
      <c r="I970" t="inlineStr">
        <is>
          <t>Perdido</t>
        </is>
      </c>
      <c r="J970" s="28" t="n">
        <v>45591</v>
      </c>
      <c r="K970" s="28" t="n">
        <v>45600</v>
      </c>
      <c r="L970" t="inlineStr">
        <is>
          <t>No calificó para crédito</t>
        </is>
      </c>
    </row>
    <row r="971" ht="15.75" customHeight="1" s="25">
      <c r="A971" t="inlineStr">
        <is>
          <t>CLI-0969</t>
        </is>
      </c>
      <c r="B971" t="inlineStr">
        <is>
          <t>Mónica Montoya Higuita</t>
        </is>
      </c>
      <c r="C971" t="inlineStr">
        <is>
          <t>3243997763</t>
        </is>
      </c>
      <c r="D971" t="inlineStr">
        <is>
          <t>monica.montoya16@yahoo.com</t>
        </is>
      </c>
      <c r="E971" t="inlineStr">
        <is>
          <t>Envigado</t>
        </is>
      </c>
      <c r="F971" t="inlineStr">
        <is>
          <t>PRY-003</t>
        </is>
      </c>
      <c r="G971" t="inlineStr">
        <is>
          <t>Instagram</t>
        </is>
      </c>
      <c r="H971" t="inlineStr">
        <is>
          <t>Luis Bedoya</t>
        </is>
      </c>
      <c r="I971" t="inlineStr">
        <is>
          <t>Perdido</t>
        </is>
      </c>
      <c r="J971" s="28" t="n">
        <v>45591</v>
      </c>
      <c r="K971" s="28" t="n">
        <v>45619</v>
      </c>
      <c r="L971" t="inlineStr">
        <is>
          <t>Buscaba arriendo, no compra</t>
        </is>
      </c>
    </row>
    <row r="972" ht="15.75" customHeight="1" s="25">
      <c r="A972" t="inlineStr">
        <is>
          <t>CLI-0970</t>
        </is>
      </c>
      <c r="B972" t="inlineStr">
        <is>
          <t>Ximena Gómez Escobar</t>
        </is>
      </c>
      <c r="C972" t="inlineStr">
        <is>
          <t>3157561084</t>
        </is>
      </c>
      <c r="D972" t="inlineStr">
        <is>
          <t>ximena.gomez52@hotmail.com</t>
        </is>
      </c>
      <c r="E972" t="inlineStr">
        <is>
          <t>Rionegro</t>
        </is>
      </c>
      <c r="F972" t="inlineStr">
        <is>
          <t>PRY-003</t>
        </is>
      </c>
      <c r="G972" t="inlineStr">
        <is>
          <t>Llamada directa</t>
        </is>
      </c>
      <c r="H972" t="inlineStr">
        <is>
          <t>Sofía Prada</t>
        </is>
      </c>
      <c r="I972" t="inlineStr">
        <is>
          <t>Perdido</t>
        </is>
      </c>
      <c r="J972" s="28" t="n">
        <v>45591</v>
      </c>
      <c r="K972" s="28" t="n">
        <v>45599</v>
      </c>
      <c r="L972" t="inlineStr">
        <is>
          <t>Sin respuesta tras 3 contactos</t>
        </is>
      </c>
    </row>
    <row r="973" ht="15.75" customHeight="1" s="25">
      <c r="A973" t="inlineStr">
        <is>
          <t>CLI-0971</t>
        </is>
      </c>
      <c r="B973" t="inlineStr">
        <is>
          <t>Isabel Ochoa Valencia</t>
        </is>
      </c>
      <c r="C973" t="inlineStr">
        <is>
          <t>3227143291</t>
        </is>
      </c>
      <c r="D973" t="inlineStr">
        <is>
          <t>isabel.ochoa71@gmail.com</t>
        </is>
      </c>
      <c r="E973" t="inlineStr">
        <is>
          <t>Medellín</t>
        </is>
      </c>
      <c r="F973" t="inlineStr">
        <is>
          <t>PRY-002</t>
        </is>
      </c>
      <c r="G973" t="inlineStr">
        <is>
          <t>Portal Web</t>
        </is>
      </c>
      <c r="H973" t="inlineStr">
        <is>
          <t>Juliana Vélez</t>
        </is>
      </c>
      <c r="I973" t="inlineStr">
        <is>
          <t>Perdido</t>
        </is>
      </c>
      <c r="J973" s="28" t="n">
        <v>45591</v>
      </c>
      <c r="K973" s="28" t="n">
        <v>45601</v>
      </c>
      <c r="L973" t="inlineStr">
        <is>
          <t>Sin respuesta tras 3 contactos</t>
        </is>
      </c>
    </row>
    <row r="974" ht="15.75" customHeight="1" s="25">
      <c r="A974" t="inlineStr">
        <is>
          <t>CLI-0972</t>
        </is>
      </c>
      <c r="B974" t="inlineStr">
        <is>
          <t>Carolina Castaño Giraldo</t>
        </is>
      </c>
      <c r="C974" t="inlineStr">
        <is>
          <t>3148251899</t>
        </is>
      </c>
      <c r="D974" t="inlineStr">
        <is>
          <t>carolina.castano71@hotmail.com</t>
        </is>
      </c>
      <c r="E974" t="inlineStr">
        <is>
          <t>Envigado</t>
        </is>
      </c>
      <c r="F974" t="inlineStr">
        <is>
          <t>PRY-003</t>
        </is>
      </c>
      <c r="G974" t="inlineStr">
        <is>
          <t>Portal Web</t>
        </is>
      </c>
      <c r="H974" t="inlineStr">
        <is>
          <t>Luis Bedoya</t>
        </is>
      </c>
      <c r="I974" t="inlineStr">
        <is>
          <t>Ganado</t>
        </is>
      </c>
      <c r="J974" s="28" t="n">
        <v>45592</v>
      </c>
      <c r="K974" s="28" t="n">
        <v>45732</v>
      </c>
      <c r="L974" t="inlineStr">
        <is>
          <t>Compró Apto 1901 en Conecta Laureles</t>
        </is>
      </c>
    </row>
    <row r="975" ht="15.75" customHeight="1" s="25">
      <c r="A975" t="inlineStr">
        <is>
          <t>CLI-0973</t>
        </is>
      </c>
      <c r="B975" t="inlineStr">
        <is>
          <t>María Marín López</t>
        </is>
      </c>
      <c r="C975" t="inlineStr">
        <is>
          <t>3149332942</t>
        </is>
      </c>
      <c r="D975" t="inlineStr">
        <is>
          <t>maria.marin9@yahoo.com</t>
        </is>
      </c>
      <c r="E975" t="inlineStr">
        <is>
          <t>Bello</t>
        </is>
      </c>
      <c r="F975" t="inlineStr">
        <is>
          <t>PRY-005</t>
        </is>
      </c>
      <c r="G975" t="inlineStr">
        <is>
          <t>Referido</t>
        </is>
      </c>
      <c r="H975" t="inlineStr">
        <is>
          <t>Sofía Prada</t>
        </is>
      </c>
      <c r="I975" t="inlineStr">
        <is>
          <t>Perdido</t>
        </is>
      </c>
      <c r="J975" s="28" t="n">
        <v>45593</v>
      </c>
      <c r="K975" s="28" t="n">
        <v>45606</v>
      </c>
      <c r="L975" t="inlineStr">
        <is>
          <t>Sin respuesta tras 3 contactos</t>
        </is>
      </c>
    </row>
    <row r="976" ht="15.75" customHeight="1" s="25">
      <c r="A976" t="inlineStr">
        <is>
          <t>CLI-0974</t>
        </is>
      </c>
      <c r="B976" t="inlineStr">
        <is>
          <t>Lorena Jaramillo Salcedo</t>
        </is>
      </c>
      <c r="C976" t="inlineStr">
        <is>
          <t>3044422367</t>
        </is>
      </c>
      <c r="D976" t="inlineStr">
        <is>
          <t>lorena.jaramillo46@yahoo.com</t>
        </is>
      </c>
      <c r="E976" t="inlineStr">
        <is>
          <t>Medellín</t>
        </is>
      </c>
      <c r="F976" t="inlineStr">
        <is>
          <t>PRY-003</t>
        </is>
      </c>
      <c r="G976" t="inlineStr">
        <is>
          <t>Portal Web</t>
        </is>
      </c>
      <c r="H976" t="inlineStr">
        <is>
          <t>Ana Quintero</t>
        </is>
      </c>
      <c r="I976" t="inlineStr">
        <is>
          <t>Perdido</t>
        </is>
      </c>
      <c r="J976" s="28" t="n">
        <v>45594</v>
      </c>
      <c r="K976" s="28" t="n">
        <v>45603</v>
      </c>
      <c r="L976" t="inlineStr">
        <is>
          <t>No calificó para crédito</t>
        </is>
      </c>
    </row>
    <row r="977" ht="15.75" customHeight="1" s="25">
      <c r="A977" t="inlineStr">
        <is>
          <t>CLI-0975</t>
        </is>
      </c>
      <c r="B977" t="inlineStr">
        <is>
          <t>Patricia Vélez Quintero</t>
        </is>
      </c>
      <c r="C977" t="inlineStr">
        <is>
          <t>3147581502</t>
        </is>
      </c>
      <c r="D977" t="inlineStr">
        <is>
          <t>patricia.velez79@gmail.com</t>
        </is>
      </c>
      <c r="E977" t="inlineStr">
        <is>
          <t>Itagüí</t>
        </is>
      </c>
      <c r="F977" t="inlineStr">
        <is>
          <t>PRY-008</t>
        </is>
      </c>
      <c r="G977" t="inlineStr">
        <is>
          <t>Facebook</t>
        </is>
      </c>
      <c r="H977" t="inlineStr">
        <is>
          <t>Miguel Salazar</t>
        </is>
      </c>
      <c r="I977" t="inlineStr">
        <is>
          <t>Perdido</t>
        </is>
      </c>
      <c r="J977" s="28" t="n">
        <v>45594</v>
      </c>
      <c r="K977" s="28" t="n">
        <v>45605</v>
      </c>
      <c r="L977" t="inlineStr">
        <is>
          <t>No calificó para crédito</t>
        </is>
      </c>
    </row>
    <row r="978" ht="15.75" customHeight="1" s="25">
      <c r="A978" t="inlineStr">
        <is>
          <t>CLI-0976</t>
        </is>
      </c>
      <c r="B978" t="inlineStr">
        <is>
          <t>Andrés Gaviria Pérez</t>
        </is>
      </c>
      <c r="C978" t="inlineStr">
        <is>
          <t>3015287582</t>
        </is>
      </c>
      <c r="D978" t="inlineStr">
        <is>
          <t>andres.gaviria30@gmail.com</t>
        </is>
      </c>
      <c r="E978" t="inlineStr">
        <is>
          <t>Rionegro</t>
        </is>
      </c>
      <c r="F978" t="inlineStr">
        <is>
          <t>PRY-007</t>
        </is>
      </c>
      <c r="G978" t="inlineStr">
        <is>
          <t>Portal Web</t>
        </is>
      </c>
      <c r="H978" t="inlineStr">
        <is>
          <t>Miguel Salazar</t>
        </is>
      </c>
      <c r="I978" t="inlineStr">
        <is>
          <t>Perdido</t>
        </is>
      </c>
      <c r="J978" s="28" t="n">
        <v>45594</v>
      </c>
      <c r="K978" s="28" t="n">
        <v>45618</v>
      </c>
      <c r="L978" t="inlineStr">
        <is>
          <t>Presupuesto insuficiente</t>
        </is>
      </c>
    </row>
    <row r="979" ht="15.75" customHeight="1" s="25">
      <c r="A979" t="inlineStr">
        <is>
          <t>CLI-0977</t>
        </is>
      </c>
      <c r="B979" t="inlineStr">
        <is>
          <t>Lorena Valencia Higuita</t>
        </is>
      </c>
      <c r="C979" t="inlineStr">
        <is>
          <t>3014578274</t>
        </is>
      </c>
      <c r="D979" t="inlineStr">
        <is>
          <t>lorena.valencia94@yahoo.com</t>
        </is>
      </c>
      <c r="E979" t="inlineStr">
        <is>
          <t>Medellín</t>
        </is>
      </c>
      <c r="F979" t="inlineStr">
        <is>
          <t>PRY-004</t>
        </is>
      </c>
      <c r="G979" t="inlineStr">
        <is>
          <t>Portal Web</t>
        </is>
      </c>
      <c r="H979" t="inlineStr">
        <is>
          <t>Ana Quintero</t>
        </is>
      </c>
      <c r="I979" t="inlineStr">
        <is>
          <t>Ganado</t>
        </is>
      </c>
      <c r="J979" s="28" t="n">
        <v>45595</v>
      </c>
      <c r="K979" s="28" t="n">
        <v>45717</v>
      </c>
      <c r="L979" t="inlineStr">
        <is>
          <t>Compró Casa 43 en Altavista Park</t>
        </is>
      </c>
    </row>
    <row r="980" ht="15.75" customHeight="1" s="25">
      <c r="A980" t="inlineStr">
        <is>
          <t>CLI-0978</t>
        </is>
      </c>
      <c r="B980" t="inlineStr">
        <is>
          <t>Diana Jaramillo Henao</t>
        </is>
      </c>
      <c r="C980" t="inlineStr">
        <is>
          <t>3046252024</t>
        </is>
      </c>
      <c r="D980" t="inlineStr">
        <is>
          <t>diana.jaramillo89@yahoo.com</t>
        </is>
      </c>
      <c r="E980" t="inlineStr">
        <is>
          <t>Sabaneta</t>
        </is>
      </c>
      <c r="F980" t="inlineStr">
        <is>
          <t>PRY-002</t>
        </is>
      </c>
      <c r="G980" t="inlineStr">
        <is>
          <t>Instagram</t>
        </is>
      </c>
      <c r="H980" t="inlineStr">
        <is>
          <t>Santiago Muñoz</t>
        </is>
      </c>
      <c r="I980" t="inlineStr">
        <is>
          <t>Perdido</t>
        </is>
      </c>
      <c r="J980" s="28" t="n">
        <v>45595</v>
      </c>
      <c r="K980" s="28" t="n">
        <v>45617</v>
      </c>
      <c r="L980" t="inlineStr">
        <is>
          <t>No calificó para crédito</t>
        </is>
      </c>
    </row>
    <row r="981" ht="15.75" customHeight="1" s="25">
      <c r="A981" t="inlineStr">
        <is>
          <t>CLI-0979</t>
        </is>
      </c>
      <c r="B981" t="inlineStr">
        <is>
          <t>Mónica Salcedo Gaviria</t>
        </is>
      </c>
      <c r="C981" t="inlineStr">
        <is>
          <t>3104943339</t>
        </is>
      </c>
      <c r="D981" t="inlineStr">
        <is>
          <t>monica.salcedo48@yahoo.com</t>
        </is>
      </c>
      <c r="E981" t="inlineStr">
        <is>
          <t>Sabaneta</t>
        </is>
      </c>
      <c r="F981" t="inlineStr">
        <is>
          <t>PRY-001</t>
        </is>
      </c>
      <c r="G981" t="inlineStr">
        <is>
          <t>Feria Inmobiliaria</t>
        </is>
      </c>
      <c r="H981" t="inlineStr">
        <is>
          <t>Luis Bedoya</t>
        </is>
      </c>
      <c r="I981" t="inlineStr">
        <is>
          <t>Perdido</t>
        </is>
      </c>
      <c r="J981" s="28" t="n">
        <v>45595</v>
      </c>
      <c r="K981" s="28" t="n">
        <v>45610</v>
      </c>
      <c r="L981" t="inlineStr">
        <is>
          <t>Buscaba arriendo, no compra</t>
        </is>
      </c>
    </row>
    <row r="982" ht="15.75" customHeight="1" s="25">
      <c r="A982" t="inlineStr">
        <is>
          <t>CLI-0980</t>
        </is>
      </c>
      <c r="B982" t="inlineStr">
        <is>
          <t>Sara Giraldo Peláez</t>
        </is>
      </c>
      <c r="C982" t="inlineStr">
        <is>
          <t>3047214207</t>
        </is>
      </c>
      <c r="D982" t="inlineStr">
        <is>
          <t>sara.giraldo99@outlook.com</t>
        </is>
      </c>
      <c r="E982" t="inlineStr">
        <is>
          <t>Bello</t>
        </is>
      </c>
      <c r="F982" t="inlineStr">
        <is>
          <t>PRY-004</t>
        </is>
      </c>
      <c r="G982" t="inlineStr">
        <is>
          <t>Llamada directa</t>
        </is>
      </c>
      <c r="H982" t="inlineStr">
        <is>
          <t>Luis Bedoya</t>
        </is>
      </c>
      <c r="I982" t="inlineStr">
        <is>
          <t>Perdido</t>
        </is>
      </c>
      <c r="J982" s="28" t="n">
        <v>45595</v>
      </c>
      <c r="K982" s="28" t="n">
        <v>45608</v>
      </c>
      <c r="L982" t="inlineStr">
        <is>
          <t>Sin respuesta tras 3 contactos</t>
        </is>
      </c>
    </row>
    <row r="983" ht="15.75" customHeight="1" s="25">
      <c r="A983" t="inlineStr">
        <is>
          <t>CLI-0981</t>
        </is>
      </c>
      <c r="B983" t="inlineStr">
        <is>
          <t>Carlos Uribe Giraldo</t>
        </is>
      </c>
      <c r="C983" t="inlineStr">
        <is>
          <t>3149637139</t>
        </is>
      </c>
      <c r="D983" t="inlineStr">
        <is>
          <t>carlos.uribe10@outlook.com</t>
        </is>
      </c>
      <c r="E983" t="inlineStr">
        <is>
          <t>La Estrella</t>
        </is>
      </c>
      <c r="F983" t="inlineStr">
        <is>
          <t>PRY-005</t>
        </is>
      </c>
      <c r="G983" t="inlineStr">
        <is>
          <t>Feria Inmobiliaria</t>
        </is>
      </c>
      <c r="H983" t="inlineStr">
        <is>
          <t>Andrés Torres</t>
        </is>
      </c>
      <c r="I983" t="inlineStr">
        <is>
          <t>Perdido</t>
        </is>
      </c>
      <c r="J983" s="28" t="n">
        <v>45595</v>
      </c>
      <c r="K983" s="28" t="n">
        <v>45610</v>
      </c>
      <c r="L983" t="inlineStr">
        <is>
          <t>Buscaba arriendo, no compra</t>
        </is>
      </c>
    </row>
    <row r="984" ht="15.75" customHeight="1" s="25">
      <c r="A984" t="inlineStr">
        <is>
          <t>CLI-0982</t>
        </is>
      </c>
      <c r="B984" t="inlineStr">
        <is>
          <t>Hernán Montoya Henao</t>
        </is>
      </c>
      <c r="C984" t="inlineStr">
        <is>
          <t>3141584337</t>
        </is>
      </c>
      <c r="D984" t="inlineStr">
        <is>
          <t>hernan.montoya80@hotmail.com</t>
        </is>
      </c>
      <c r="E984" t="inlineStr">
        <is>
          <t>Rionegro</t>
        </is>
      </c>
      <c r="F984" t="inlineStr">
        <is>
          <t>PRY-007</t>
        </is>
      </c>
      <c r="G984" t="inlineStr">
        <is>
          <t>Facebook</t>
        </is>
      </c>
      <c r="H984" t="inlineStr">
        <is>
          <t>Miguel Salazar</t>
        </is>
      </c>
      <c r="I984" t="inlineStr">
        <is>
          <t>Perdido</t>
        </is>
      </c>
      <c r="J984" s="28" t="n">
        <v>45595</v>
      </c>
      <c r="K984" s="28" t="n">
        <v>45623</v>
      </c>
      <c r="L984" t="inlineStr">
        <is>
          <t>Buscaba arriendo, no compra</t>
        </is>
      </c>
    </row>
    <row r="985" ht="15.75" customHeight="1" s="25">
      <c r="A985" t="inlineStr">
        <is>
          <t>CLI-0983</t>
        </is>
      </c>
      <c r="B985" t="inlineStr">
        <is>
          <t>Tomás Álvarez Vargas</t>
        </is>
      </c>
      <c r="C985" t="inlineStr">
        <is>
          <t>3239566757</t>
        </is>
      </c>
      <c r="D985" t="inlineStr">
        <is>
          <t>tomas.alvarez42@hotmail.com</t>
        </is>
      </c>
      <c r="E985" t="inlineStr">
        <is>
          <t>La Estrella</t>
        </is>
      </c>
      <c r="F985" t="inlineStr">
        <is>
          <t>PRY-007</t>
        </is>
      </c>
      <c r="G985" t="inlineStr">
        <is>
          <t>Feria Inmobiliaria</t>
        </is>
      </c>
      <c r="H985" t="inlineStr">
        <is>
          <t>Andrés Torres</t>
        </is>
      </c>
      <c r="I985" t="inlineStr">
        <is>
          <t>Perdido</t>
        </is>
      </c>
      <c r="J985" s="28" t="n">
        <v>45596</v>
      </c>
      <c r="K985" s="28" t="n">
        <v>45622</v>
      </c>
      <c r="L985" t="inlineStr">
        <is>
          <t>Buscaba arriendo, no compra</t>
        </is>
      </c>
    </row>
    <row r="986" ht="15.75" customHeight="1" s="25">
      <c r="A986" t="inlineStr">
        <is>
          <t>CLI-0984</t>
        </is>
      </c>
      <c r="B986" t="inlineStr">
        <is>
          <t>Manuela Osorio Bedoya</t>
        </is>
      </c>
      <c r="C986" t="inlineStr">
        <is>
          <t>3245005743</t>
        </is>
      </c>
      <c r="D986" t="inlineStr">
        <is>
          <t>manuela.osorio58@gmail.com</t>
        </is>
      </c>
      <c r="E986" t="inlineStr">
        <is>
          <t>La Estrella</t>
        </is>
      </c>
      <c r="F986" t="inlineStr">
        <is>
          <t>PRY-002</t>
        </is>
      </c>
      <c r="G986" t="inlineStr">
        <is>
          <t>Facebook</t>
        </is>
      </c>
      <c r="H986" t="inlineStr">
        <is>
          <t>Sofía Prada</t>
        </is>
      </c>
      <c r="I986" t="inlineStr">
        <is>
          <t>Perdido</t>
        </is>
      </c>
      <c r="J986" s="28" t="n">
        <v>45596</v>
      </c>
      <c r="K986" s="28" t="n">
        <v>45621</v>
      </c>
      <c r="L986" t="inlineStr">
        <is>
          <t>Presupuesto insuficiente</t>
        </is>
      </c>
    </row>
    <row r="987" ht="15.75" customHeight="1" s="25">
      <c r="A987" t="inlineStr">
        <is>
          <t>CLI-0985</t>
        </is>
      </c>
      <c r="B987" t="inlineStr">
        <is>
          <t>Catalina Mejía Muñoz</t>
        </is>
      </c>
      <c r="C987" t="inlineStr">
        <is>
          <t>3238967224</t>
        </is>
      </c>
      <c r="D987" t="inlineStr">
        <is>
          <t>catalina.mejia91@gmail.com</t>
        </is>
      </c>
      <c r="E987" t="inlineStr">
        <is>
          <t>Medellín</t>
        </is>
      </c>
      <c r="F987" t="inlineStr">
        <is>
          <t>PRY-004</t>
        </is>
      </c>
      <c r="G987" t="inlineStr">
        <is>
          <t>Referido</t>
        </is>
      </c>
      <c r="H987" t="inlineStr">
        <is>
          <t>Luis Bedoya</t>
        </is>
      </c>
      <c r="I987" t="inlineStr">
        <is>
          <t>Ganado</t>
        </is>
      </c>
      <c r="J987" s="28" t="n">
        <v>45597</v>
      </c>
      <c r="K987" s="28" t="n">
        <v>45717</v>
      </c>
      <c r="L987" t="inlineStr">
        <is>
          <t>Compró Casa 79 en Altavista Park</t>
        </is>
      </c>
    </row>
    <row r="988" ht="15.75" customHeight="1" s="25">
      <c r="A988" t="inlineStr">
        <is>
          <t>CLI-0986</t>
        </is>
      </c>
      <c r="B988" t="inlineStr">
        <is>
          <t>Esteban Ríos Pérez</t>
        </is>
      </c>
      <c r="C988" t="inlineStr">
        <is>
          <t>3004789925</t>
        </is>
      </c>
      <c r="D988" t="inlineStr">
        <is>
          <t>esteban.rios80@hotmail.com</t>
        </is>
      </c>
      <c r="E988" t="inlineStr">
        <is>
          <t>Envigado</t>
        </is>
      </c>
      <c r="F988" t="inlineStr">
        <is>
          <t>PRY-005</t>
        </is>
      </c>
      <c r="G988" t="inlineStr">
        <is>
          <t>Facebook</t>
        </is>
      </c>
      <c r="H988" t="inlineStr">
        <is>
          <t>Miguel Salazar</t>
        </is>
      </c>
      <c r="I988" t="inlineStr">
        <is>
          <t>Perdido</t>
        </is>
      </c>
      <c r="J988" s="28" t="n">
        <v>45597</v>
      </c>
      <c r="K988" s="28" t="n">
        <v>45617</v>
      </c>
      <c r="L988" t="inlineStr">
        <is>
          <t>Sin respuesta tras 3 contactos</t>
        </is>
      </c>
    </row>
    <row r="989" ht="15.75" customHeight="1" s="25">
      <c r="A989" t="inlineStr">
        <is>
          <t>CLI-0987</t>
        </is>
      </c>
      <c r="B989" t="inlineStr">
        <is>
          <t>Luisa Castaño Cifuentes</t>
        </is>
      </c>
      <c r="C989" t="inlineStr">
        <is>
          <t>3172063336</t>
        </is>
      </c>
      <c r="D989" t="inlineStr">
        <is>
          <t>luisa.castano80@outlook.com</t>
        </is>
      </c>
      <c r="E989" t="inlineStr">
        <is>
          <t>Envigado</t>
        </is>
      </c>
      <c r="F989" t="inlineStr">
        <is>
          <t>PRY-004</t>
        </is>
      </c>
      <c r="G989" t="inlineStr">
        <is>
          <t>Portal Web</t>
        </is>
      </c>
      <c r="H989" t="inlineStr">
        <is>
          <t>Santiago Muñoz</t>
        </is>
      </c>
      <c r="I989" t="inlineStr">
        <is>
          <t>Ganado</t>
        </is>
      </c>
      <c r="J989" s="28" t="n">
        <v>45598</v>
      </c>
      <c r="K989" s="28" t="n">
        <v>45761</v>
      </c>
      <c r="L989" t="inlineStr">
        <is>
          <t>Compró Casa 58 en Altavista Park</t>
        </is>
      </c>
    </row>
    <row r="990" ht="15.75" customHeight="1" s="25">
      <c r="A990" t="inlineStr">
        <is>
          <t>CLI-0988</t>
        </is>
      </c>
      <c r="B990" t="inlineStr">
        <is>
          <t>Óscar Correa Salcedo</t>
        </is>
      </c>
      <c r="C990" t="inlineStr">
        <is>
          <t>3178370839</t>
        </is>
      </c>
      <c r="D990" t="inlineStr">
        <is>
          <t>oscar.correa1@outlook.com</t>
        </is>
      </c>
      <c r="E990" t="inlineStr">
        <is>
          <t>Medellín</t>
        </is>
      </c>
      <c r="F990" t="inlineStr">
        <is>
          <t>PRY-004</t>
        </is>
      </c>
      <c r="G990" t="inlineStr">
        <is>
          <t>Facebook</t>
        </is>
      </c>
      <c r="H990" t="inlineStr">
        <is>
          <t>Luis Bedoya</t>
        </is>
      </c>
      <c r="I990" t="inlineStr">
        <is>
          <t>Perdido</t>
        </is>
      </c>
      <c r="J990" s="28" t="n">
        <v>45598</v>
      </c>
      <c r="K990" s="28" t="n">
        <v>45607</v>
      </c>
      <c r="L990" t="inlineStr">
        <is>
          <t>No calificó para crédito</t>
        </is>
      </c>
    </row>
    <row r="991" ht="15.75" customHeight="1" s="25">
      <c r="A991" t="inlineStr">
        <is>
          <t>CLI-0989</t>
        </is>
      </c>
      <c r="B991" t="inlineStr">
        <is>
          <t>Isabel Escobar Agudelo</t>
        </is>
      </c>
      <c r="C991" t="inlineStr">
        <is>
          <t>3141157532</t>
        </is>
      </c>
      <c r="D991" t="inlineStr">
        <is>
          <t>isabel.escobar50@hotmail.com</t>
        </is>
      </c>
      <c r="E991" t="inlineStr">
        <is>
          <t>La Estrella</t>
        </is>
      </c>
      <c r="F991" t="inlineStr">
        <is>
          <t>PRY-004</t>
        </is>
      </c>
      <c r="G991" t="inlineStr">
        <is>
          <t>Feria Inmobiliaria</t>
        </is>
      </c>
      <c r="H991" t="inlineStr">
        <is>
          <t>Paula Arenas</t>
        </is>
      </c>
      <c r="I991" t="inlineStr">
        <is>
          <t>Ganado</t>
        </is>
      </c>
      <c r="J991" s="28" t="n">
        <v>45599</v>
      </c>
      <c r="K991" s="28" t="n">
        <v>45723</v>
      </c>
      <c r="L991" t="inlineStr">
        <is>
          <t>Compró Casa 54 en Altavista Park</t>
        </is>
      </c>
    </row>
    <row r="992" ht="15.75" customHeight="1" s="25">
      <c r="A992" t="inlineStr">
        <is>
          <t>CLI-0990</t>
        </is>
      </c>
      <c r="B992" t="inlineStr">
        <is>
          <t>Juliana Giraldo Pérez</t>
        </is>
      </c>
      <c r="C992" t="inlineStr">
        <is>
          <t>3208233721</t>
        </is>
      </c>
      <c r="D992" t="inlineStr">
        <is>
          <t>juliana.giraldo86@hotmail.com</t>
        </is>
      </c>
      <c r="E992" t="inlineStr">
        <is>
          <t>Envigado</t>
        </is>
      </c>
      <c r="F992" t="inlineStr">
        <is>
          <t>PRY-007</t>
        </is>
      </c>
      <c r="G992" t="inlineStr">
        <is>
          <t>Portal Web</t>
        </is>
      </c>
      <c r="H992" t="inlineStr">
        <is>
          <t>Juliana Vélez</t>
        </is>
      </c>
      <c r="I992" t="inlineStr">
        <is>
          <t>Perdido</t>
        </is>
      </c>
      <c r="J992" s="28" t="n">
        <v>45599</v>
      </c>
      <c r="K992" s="28" t="n">
        <v>45727</v>
      </c>
      <c r="L992" t="inlineStr">
        <is>
          <t>Crédito no aprobado</t>
        </is>
      </c>
    </row>
    <row r="993" ht="15.75" customHeight="1" s="25">
      <c r="A993" t="inlineStr">
        <is>
          <t>CLI-0991</t>
        </is>
      </c>
      <c r="B993" t="inlineStr">
        <is>
          <t>Verónica Mejía Montes</t>
        </is>
      </c>
      <c r="C993" t="inlineStr">
        <is>
          <t>3102856712</t>
        </is>
      </c>
      <c r="D993" t="inlineStr">
        <is>
          <t>veronica.mejia62@yahoo.com</t>
        </is>
      </c>
      <c r="E993" t="inlineStr">
        <is>
          <t>Medellín</t>
        </is>
      </c>
      <c r="F993" t="inlineStr">
        <is>
          <t>PRY-004</t>
        </is>
      </c>
      <c r="G993" t="inlineStr">
        <is>
          <t>Portal Web</t>
        </is>
      </c>
      <c r="H993" t="inlineStr">
        <is>
          <t>Ana Quintero</t>
        </is>
      </c>
      <c r="I993" t="inlineStr">
        <is>
          <t>Perdido</t>
        </is>
      </c>
      <c r="J993" s="28" t="n">
        <v>45599</v>
      </c>
      <c r="K993" s="28" t="n">
        <v>45611</v>
      </c>
      <c r="L993" t="inlineStr">
        <is>
          <t>Presupuesto insuficiente</t>
        </is>
      </c>
    </row>
    <row r="994" ht="15.75" customHeight="1" s="25">
      <c r="A994" t="inlineStr">
        <is>
          <t>CLI-0992</t>
        </is>
      </c>
      <c r="B994" t="inlineStr">
        <is>
          <t>Jorge Pérez Muñoz</t>
        </is>
      </c>
      <c r="C994" t="inlineStr">
        <is>
          <t>3225334055</t>
        </is>
      </c>
      <c r="D994" t="inlineStr">
        <is>
          <t>jorge.perez40@outlook.com</t>
        </is>
      </c>
      <c r="E994" t="inlineStr">
        <is>
          <t>Rionegro</t>
        </is>
      </c>
      <c r="F994" t="inlineStr">
        <is>
          <t>PRY-005</t>
        </is>
      </c>
      <c r="G994" t="inlineStr">
        <is>
          <t>Facebook</t>
        </is>
      </c>
      <c r="H994" t="inlineStr">
        <is>
          <t>Juliana Vélez</t>
        </is>
      </c>
      <c r="I994" t="inlineStr">
        <is>
          <t>Perdido</t>
        </is>
      </c>
      <c r="J994" s="28" t="n">
        <v>45599</v>
      </c>
      <c r="K994" s="28" t="n">
        <v>45608</v>
      </c>
      <c r="L994" t="inlineStr">
        <is>
          <t>No calificó para crédito</t>
        </is>
      </c>
    </row>
    <row r="995" ht="15.75" customHeight="1" s="25">
      <c r="A995" t="inlineStr">
        <is>
          <t>CLI-0993</t>
        </is>
      </c>
      <c r="B995" t="inlineStr">
        <is>
          <t>Paola Montoya Cano</t>
        </is>
      </c>
      <c r="C995" t="inlineStr">
        <is>
          <t>3043164849</t>
        </is>
      </c>
      <c r="D995" t="inlineStr">
        <is>
          <t>paola.montoya55@hotmail.com</t>
        </is>
      </c>
      <c r="E995" t="inlineStr">
        <is>
          <t>Medellín</t>
        </is>
      </c>
      <c r="F995" t="inlineStr">
        <is>
          <t>PRY-003</t>
        </is>
      </c>
      <c r="G995" t="inlineStr">
        <is>
          <t>Portal Web</t>
        </is>
      </c>
      <c r="H995" t="inlineStr">
        <is>
          <t>Miguel Salazar</t>
        </is>
      </c>
      <c r="I995" t="inlineStr">
        <is>
          <t>Perdido</t>
        </is>
      </c>
      <c r="J995" s="28" t="n">
        <v>45599</v>
      </c>
      <c r="K995" s="28" t="n">
        <v>45613</v>
      </c>
      <c r="L995" t="inlineStr">
        <is>
          <t>Buscaba arriendo, no compra</t>
        </is>
      </c>
    </row>
    <row r="996" ht="15.75" customHeight="1" s="25">
      <c r="A996" t="inlineStr">
        <is>
          <t>CLI-0994</t>
        </is>
      </c>
      <c r="B996" t="inlineStr">
        <is>
          <t>Hernán Gómez Pérez</t>
        </is>
      </c>
      <c r="C996" t="inlineStr">
        <is>
          <t>3132624165</t>
        </is>
      </c>
      <c r="D996" t="inlineStr">
        <is>
          <t>hernan.gomez61@gmail.com</t>
        </is>
      </c>
      <c r="E996" t="inlineStr">
        <is>
          <t>Medellín</t>
        </is>
      </c>
      <c r="F996" t="inlineStr">
        <is>
          <t>PRY-001</t>
        </is>
      </c>
      <c r="G996" t="inlineStr">
        <is>
          <t>Feria Inmobiliaria</t>
        </is>
      </c>
      <c r="H996" t="inlineStr">
        <is>
          <t>Miguel Salazar</t>
        </is>
      </c>
      <c r="I996" t="inlineStr">
        <is>
          <t>Perdido</t>
        </is>
      </c>
      <c r="J996" s="28" t="n">
        <v>45599</v>
      </c>
      <c r="K996" s="28" t="n">
        <v>45626</v>
      </c>
      <c r="L996" t="inlineStr">
        <is>
          <t>Presupuesto insuficiente</t>
        </is>
      </c>
    </row>
    <row r="997" ht="15.75" customHeight="1" s="25">
      <c r="A997" t="inlineStr">
        <is>
          <t>CLI-0995</t>
        </is>
      </c>
      <c r="B997" t="inlineStr">
        <is>
          <t>Juan Pablo Vásquez Arango</t>
        </is>
      </c>
      <c r="C997" t="inlineStr">
        <is>
          <t>3238046878</t>
        </is>
      </c>
      <c r="D997" t="inlineStr">
        <is>
          <t>juan.vasquez25@gmail.com</t>
        </is>
      </c>
      <c r="E997" t="inlineStr">
        <is>
          <t>Sabaneta</t>
        </is>
      </c>
      <c r="F997" t="inlineStr">
        <is>
          <t>PRY-001</t>
        </is>
      </c>
      <c r="G997" t="inlineStr">
        <is>
          <t>Instagram</t>
        </is>
      </c>
      <c r="H997" t="inlineStr">
        <is>
          <t>Miguel Salazar</t>
        </is>
      </c>
      <c r="I997" t="inlineStr">
        <is>
          <t>Ganado</t>
        </is>
      </c>
      <c r="J997" s="28" t="n">
        <v>45600</v>
      </c>
      <c r="K997" s="28" t="n">
        <v>45759</v>
      </c>
      <c r="L997" t="inlineStr">
        <is>
          <t>Compró Apto 2002 en Torres del Poblado</t>
        </is>
      </c>
    </row>
    <row r="998" ht="15.75" customHeight="1" s="25">
      <c r="A998" t="inlineStr">
        <is>
          <t>CLI-0996</t>
        </is>
      </c>
      <c r="B998" t="inlineStr">
        <is>
          <t>Ximena Castaño Gaviria</t>
        </is>
      </c>
      <c r="C998" t="inlineStr">
        <is>
          <t>3003545024</t>
        </is>
      </c>
      <c r="D998" t="inlineStr">
        <is>
          <t>ximena.castano19@gmail.com</t>
        </is>
      </c>
      <c r="E998" t="inlineStr">
        <is>
          <t>Itagüí</t>
        </is>
      </c>
      <c r="F998" t="inlineStr">
        <is>
          <t>PRY-008</t>
        </is>
      </c>
      <c r="G998" t="inlineStr">
        <is>
          <t>Facebook</t>
        </is>
      </c>
      <c r="H998" t="inlineStr">
        <is>
          <t>Miguel Salazar</t>
        </is>
      </c>
      <c r="I998" t="inlineStr">
        <is>
          <t>Perdido</t>
        </is>
      </c>
      <c r="J998" s="28" t="n">
        <v>45600</v>
      </c>
      <c r="K998" s="28" t="n">
        <v>45615</v>
      </c>
      <c r="L998" t="inlineStr">
        <is>
          <t>Buscaba arriendo, no compra</t>
        </is>
      </c>
    </row>
    <row r="999" ht="15.75" customHeight="1" s="25">
      <c r="A999" t="inlineStr">
        <is>
          <t>CLI-0997</t>
        </is>
      </c>
      <c r="B999" t="inlineStr">
        <is>
          <t>Camila Arango Gaviria</t>
        </is>
      </c>
      <c r="C999" t="inlineStr">
        <is>
          <t>3139069866</t>
        </is>
      </c>
      <c r="D999" t="inlineStr">
        <is>
          <t>camila.arango92@hotmail.com</t>
        </is>
      </c>
      <c r="E999" t="inlineStr">
        <is>
          <t>La Estrella</t>
        </is>
      </c>
      <c r="F999" t="inlineStr">
        <is>
          <t>PRY-007</t>
        </is>
      </c>
      <c r="G999" t="inlineStr">
        <is>
          <t>Instagram</t>
        </is>
      </c>
      <c r="H999" t="inlineStr">
        <is>
          <t>Ana Quintero</t>
        </is>
      </c>
      <c r="I999" t="inlineStr">
        <is>
          <t>Perdido</t>
        </is>
      </c>
      <c r="J999" s="28" t="n">
        <v>45600</v>
      </c>
      <c r="K999" s="28" t="n">
        <v>45629</v>
      </c>
      <c r="L999" t="inlineStr">
        <is>
          <t>Sin respuesta tras 3 contactos</t>
        </is>
      </c>
    </row>
    <row r="1000" ht="15.75" customHeight="1" s="25">
      <c r="A1000" t="inlineStr">
        <is>
          <t>CLI-0998</t>
        </is>
      </c>
      <c r="B1000" t="inlineStr">
        <is>
          <t>Catalina Quintero Ramírez</t>
        </is>
      </c>
      <c r="C1000" t="inlineStr">
        <is>
          <t>3156487908</t>
        </is>
      </c>
      <c r="D1000" t="inlineStr">
        <is>
          <t>catalina.quintero61@hotmail.com</t>
        </is>
      </c>
      <c r="E1000" t="inlineStr">
        <is>
          <t>Itagüí</t>
        </is>
      </c>
      <c r="F1000" t="inlineStr">
        <is>
          <t>PRY-002</t>
        </is>
      </c>
      <c r="G1000" t="inlineStr">
        <is>
          <t>Referido</t>
        </is>
      </c>
      <c r="H1000" t="inlineStr">
        <is>
          <t>Paula Arenas</t>
        </is>
      </c>
      <c r="I1000" t="inlineStr">
        <is>
          <t>Ganado</t>
        </is>
      </c>
      <c r="J1000" s="28" t="n">
        <v>45601</v>
      </c>
      <c r="K1000" s="28" t="n">
        <v>45778</v>
      </c>
      <c r="L1000" t="inlineStr">
        <is>
          <t>Compró Casa 35 en Reserva Santa Elena</t>
        </is>
      </c>
    </row>
    <row r="1001">
      <c r="A1001" t="inlineStr">
        <is>
          <t>CLI-0999</t>
        </is>
      </c>
      <c r="B1001" t="inlineStr">
        <is>
          <t>Daniel Mejía Betancur</t>
        </is>
      </c>
      <c r="C1001" t="inlineStr">
        <is>
          <t>3201762385</t>
        </is>
      </c>
      <c r="D1001" t="inlineStr">
        <is>
          <t>daniel.mejia3@hotmail.com</t>
        </is>
      </c>
      <c r="E1001" t="inlineStr">
        <is>
          <t>Envigado</t>
        </is>
      </c>
      <c r="F1001" t="inlineStr">
        <is>
          <t>PRY-007</t>
        </is>
      </c>
      <c r="G1001" t="inlineStr">
        <is>
          <t>Feria Inmobiliaria</t>
        </is>
      </c>
      <c r="H1001" t="inlineStr">
        <is>
          <t>Ana Quintero</t>
        </is>
      </c>
      <c r="I1001" t="inlineStr">
        <is>
          <t>Perdido</t>
        </is>
      </c>
      <c r="J1001" s="28" t="n">
        <v>45601</v>
      </c>
      <c r="K1001" s="28" t="n">
        <v>45625</v>
      </c>
      <c r="L1001" t="inlineStr">
        <is>
          <t>Datos de contacto errados</t>
        </is>
      </c>
    </row>
    <row r="1002">
      <c r="A1002" t="inlineStr">
        <is>
          <t>CLI-1000</t>
        </is>
      </c>
      <c r="B1002" t="inlineStr">
        <is>
          <t>Diana Castaño Ramírez</t>
        </is>
      </c>
      <c r="C1002" t="inlineStr">
        <is>
          <t>3139710497</t>
        </is>
      </c>
      <c r="D1002" t="inlineStr">
        <is>
          <t>diana.castano28@gmail.com</t>
        </is>
      </c>
      <c r="E1002" t="inlineStr">
        <is>
          <t>Rionegro</t>
        </is>
      </c>
      <c r="F1002" t="inlineStr">
        <is>
          <t>PRY-005</t>
        </is>
      </c>
      <c r="G1002" t="inlineStr">
        <is>
          <t>Referido</t>
        </is>
      </c>
      <c r="H1002" t="inlineStr">
        <is>
          <t>Sofía Prada</t>
        </is>
      </c>
      <c r="I1002" t="inlineStr">
        <is>
          <t>Perdido</t>
        </is>
      </c>
      <c r="J1002" s="28" t="n">
        <v>45601</v>
      </c>
      <c r="K1002" s="28" t="n">
        <v>45614</v>
      </c>
      <c r="L1002" t="inlineStr">
        <is>
          <t>Sin respuesta tras 3 contactos</t>
        </is>
      </c>
    </row>
    <row r="1003">
      <c r="A1003" t="inlineStr">
        <is>
          <t>CLI-1001</t>
        </is>
      </c>
      <c r="B1003" t="inlineStr">
        <is>
          <t>Nicolás Agudelo Salcedo</t>
        </is>
      </c>
      <c r="C1003" t="inlineStr">
        <is>
          <t>3149920191</t>
        </is>
      </c>
      <c r="D1003" t="inlineStr">
        <is>
          <t>nicolas.agudelo65@gmail.com</t>
        </is>
      </c>
      <c r="E1003" t="inlineStr">
        <is>
          <t>Itagüí</t>
        </is>
      </c>
      <c r="F1003" t="inlineStr">
        <is>
          <t>PRY-008</t>
        </is>
      </c>
      <c r="G1003" t="inlineStr">
        <is>
          <t>Feria Inmobiliaria</t>
        </is>
      </c>
      <c r="H1003" t="inlineStr">
        <is>
          <t>Sofía Prada</t>
        </is>
      </c>
      <c r="I1003" t="inlineStr">
        <is>
          <t>Ganado</t>
        </is>
      </c>
      <c r="J1003" s="28" t="n">
        <v>45602</v>
      </c>
      <c r="K1003" s="28" t="n">
        <v>45701</v>
      </c>
      <c r="L1003" t="inlineStr">
        <is>
          <t>Compró Casa 36 en Valle Verde Itagüí</t>
        </is>
      </c>
    </row>
    <row r="1004">
      <c r="A1004" t="inlineStr">
        <is>
          <t>CLI-1002</t>
        </is>
      </c>
      <c r="B1004" t="inlineStr">
        <is>
          <t>Valeria Correa Bedoya</t>
        </is>
      </c>
      <c r="C1004" t="inlineStr">
        <is>
          <t>3176759288</t>
        </is>
      </c>
      <c r="D1004" t="inlineStr">
        <is>
          <t>valeria.correa57@gmail.com</t>
        </is>
      </c>
      <c r="E1004" t="inlineStr">
        <is>
          <t>Sabaneta</t>
        </is>
      </c>
      <c r="F1004" t="inlineStr">
        <is>
          <t>PRY-007</t>
        </is>
      </c>
      <c r="G1004" t="inlineStr">
        <is>
          <t>Facebook</t>
        </is>
      </c>
      <c r="H1004" t="inlineStr">
        <is>
          <t>Luis Bedoya</t>
        </is>
      </c>
      <c r="I1004" t="inlineStr">
        <is>
          <t>Perdido</t>
        </is>
      </c>
      <c r="J1004" s="28" t="n">
        <v>45602</v>
      </c>
      <c r="K1004" s="28" t="n">
        <v>45630</v>
      </c>
      <c r="L1004" t="inlineStr">
        <is>
          <t>Sin respuesta tras 3 contactos</t>
        </is>
      </c>
    </row>
    <row r="1005">
      <c r="A1005" t="inlineStr">
        <is>
          <t>CLI-1003</t>
        </is>
      </c>
      <c r="B1005" t="inlineStr">
        <is>
          <t>Verónica Cano Giraldo</t>
        </is>
      </c>
      <c r="C1005" t="inlineStr">
        <is>
          <t>3015292311</t>
        </is>
      </c>
      <c r="D1005" t="inlineStr">
        <is>
          <t>veronica.cano51@yahoo.com</t>
        </is>
      </c>
      <c r="E1005" t="inlineStr">
        <is>
          <t>Bello</t>
        </is>
      </c>
      <c r="F1005" t="inlineStr">
        <is>
          <t>PRY-004</t>
        </is>
      </c>
      <c r="G1005" t="inlineStr">
        <is>
          <t>Facebook</t>
        </is>
      </c>
      <c r="H1005" t="inlineStr">
        <is>
          <t>Miguel Salazar</t>
        </is>
      </c>
      <c r="I1005" t="inlineStr">
        <is>
          <t>Perdido</t>
        </is>
      </c>
      <c r="J1005" s="28" t="n">
        <v>45602</v>
      </c>
      <c r="K1005" s="28" t="n">
        <v>45632</v>
      </c>
      <c r="L1005" t="inlineStr">
        <is>
          <t>Sin respuesta tras 3 contactos</t>
        </is>
      </c>
    </row>
    <row r="1006">
      <c r="A1006" t="inlineStr">
        <is>
          <t>CLI-1004</t>
        </is>
      </c>
      <c r="B1006" t="inlineStr">
        <is>
          <t>Óscar Zuluaga Franco</t>
        </is>
      </c>
      <c r="C1006" t="inlineStr">
        <is>
          <t>3179200491</t>
        </is>
      </c>
      <c r="D1006" t="inlineStr">
        <is>
          <t>oscar.zuluaga50@yahoo.com</t>
        </is>
      </c>
      <c r="E1006" t="inlineStr">
        <is>
          <t>Medellín</t>
        </is>
      </c>
      <c r="F1006" t="inlineStr">
        <is>
          <t>PRY-004</t>
        </is>
      </c>
      <c r="G1006" t="inlineStr">
        <is>
          <t>Facebook</t>
        </is>
      </c>
      <c r="H1006" t="inlineStr">
        <is>
          <t>Andrés Torres</t>
        </is>
      </c>
      <c r="I1006" t="inlineStr">
        <is>
          <t>Perdido</t>
        </is>
      </c>
      <c r="J1006" s="28" t="n">
        <v>45602</v>
      </c>
      <c r="K1006" s="28" t="n">
        <v>45627</v>
      </c>
      <c r="L1006" t="inlineStr">
        <is>
          <t>Sin respuesta tras 3 contactos</t>
        </is>
      </c>
    </row>
    <row r="1007">
      <c r="A1007" t="inlineStr">
        <is>
          <t>CLI-1005</t>
        </is>
      </c>
      <c r="B1007" t="inlineStr">
        <is>
          <t>Daniela Correa Betancur</t>
        </is>
      </c>
      <c r="C1007" t="inlineStr">
        <is>
          <t>3042275741</t>
        </is>
      </c>
      <c r="D1007" t="inlineStr">
        <is>
          <t>daniela.correa93@outlook.com</t>
        </is>
      </c>
      <c r="E1007" t="inlineStr">
        <is>
          <t>Rionegro</t>
        </is>
      </c>
      <c r="F1007" t="inlineStr">
        <is>
          <t>PRY-003</t>
        </is>
      </c>
      <c r="G1007" t="inlineStr">
        <is>
          <t>Referido</t>
        </is>
      </c>
      <c r="H1007" t="inlineStr">
        <is>
          <t>Juliana Vélez</t>
        </is>
      </c>
      <c r="I1007" t="inlineStr">
        <is>
          <t>Ganado</t>
        </is>
      </c>
      <c r="J1007" s="28" t="n">
        <v>45603</v>
      </c>
      <c r="K1007" s="28" t="n">
        <v>45685</v>
      </c>
      <c r="L1007" t="inlineStr">
        <is>
          <t>Compró Apto 508 en Conecta Laureles</t>
        </is>
      </c>
    </row>
    <row r="1008">
      <c r="A1008" t="inlineStr">
        <is>
          <t>CLI-1006</t>
        </is>
      </c>
      <c r="B1008" t="inlineStr">
        <is>
          <t>Sebastián Rojas Gómez</t>
        </is>
      </c>
      <c r="C1008" t="inlineStr">
        <is>
          <t>3043912429</t>
        </is>
      </c>
      <c r="D1008" t="inlineStr">
        <is>
          <t>sebastian.rojas90@yahoo.com</t>
        </is>
      </c>
      <c r="E1008" t="inlineStr">
        <is>
          <t>Envigado</t>
        </is>
      </c>
      <c r="F1008" t="inlineStr">
        <is>
          <t>PRY-002</t>
        </is>
      </c>
      <c r="G1008" t="inlineStr">
        <is>
          <t>Referido</t>
        </is>
      </c>
      <c r="H1008" t="inlineStr">
        <is>
          <t>Santiago Muñoz</t>
        </is>
      </c>
      <c r="I1008" t="inlineStr">
        <is>
          <t>Ganado</t>
        </is>
      </c>
      <c r="J1008" s="28" t="n">
        <v>45603</v>
      </c>
      <c r="K1008" s="28" t="n">
        <v>45704</v>
      </c>
      <c r="L1008" t="inlineStr">
        <is>
          <t>Compró Casa 19 en Reserva Santa Elena</t>
        </is>
      </c>
    </row>
    <row r="1009">
      <c r="A1009" t="inlineStr">
        <is>
          <t>CLI-1007</t>
        </is>
      </c>
      <c r="B1009" t="inlineStr">
        <is>
          <t>Diana Jaramillo Mejía</t>
        </is>
      </c>
      <c r="C1009" t="inlineStr">
        <is>
          <t>3011119657</t>
        </is>
      </c>
      <c r="D1009" t="inlineStr">
        <is>
          <t>diana.jaramillo15@hotmail.com</t>
        </is>
      </c>
      <c r="E1009" t="inlineStr">
        <is>
          <t>Itagüí</t>
        </is>
      </c>
      <c r="F1009" t="inlineStr">
        <is>
          <t>PRY-008</t>
        </is>
      </c>
      <c r="G1009" t="inlineStr">
        <is>
          <t>Referido</t>
        </is>
      </c>
      <c r="H1009" t="inlineStr">
        <is>
          <t>Paula Arenas</t>
        </is>
      </c>
      <c r="I1009" t="inlineStr">
        <is>
          <t>Ganado</t>
        </is>
      </c>
      <c r="J1009" s="28" t="n">
        <v>45604</v>
      </c>
      <c r="K1009" s="28" t="n">
        <v>45724</v>
      </c>
      <c r="L1009" t="inlineStr">
        <is>
          <t>Compró Casa 20 en Valle Verde Itagüí</t>
        </is>
      </c>
    </row>
    <row r="1010">
      <c r="A1010" t="inlineStr">
        <is>
          <t>CLI-1008</t>
        </is>
      </c>
      <c r="B1010" t="inlineStr">
        <is>
          <t>Isabel Mejía Higuita</t>
        </is>
      </c>
      <c r="C1010" t="inlineStr">
        <is>
          <t>3014646257</t>
        </is>
      </c>
      <c r="D1010" t="inlineStr">
        <is>
          <t>isabel.mejia83@outlook.com</t>
        </is>
      </c>
      <c r="E1010" t="inlineStr">
        <is>
          <t>Itagüí</t>
        </is>
      </c>
      <c r="F1010" t="inlineStr">
        <is>
          <t>PRY-008</t>
        </is>
      </c>
      <c r="G1010" t="inlineStr">
        <is>
          <t>Instagram</t>
        </is>
      </c>
      <c r="H1010" t="inlineStr">
        <is>
          <t>Juliana Vélez</t>
        </is>
      </c>
      <c r="I1010" t="inlineStr">
        <is>
          <t>Perdido</t>
        </is>
      </c>
      <c r="J1010" s="28" t="n">
        <v>45604</v>
      </c>
      <c r="K1010" s="28" t="n">
        <v>45613</v>
      </c>
      <c r="L1010" t="inlineStr">
        <is>
          <t>Buscaba arriendo, no compra</t>
        </is>
      </c>
    </row>
    <row r="1011">
      <c r="A1011" t="inlineStr">
        <is>
          <t>CLI-1009</t>
        </is>
      </c>
      <c r="B1011" t="inlineStr">
        <is>
          <t>Paula Ramírez Vargas</t>
        </is>
      </c>
      <c r="C1011" t="inlineStr">
        <is>
          <t>3136747433</t>
        </is>
      </c>
      <c r="D1011" t="inlineStr">
        <is>
          <t>paula.ramirez25@outlook.com</t>
        </is>
      </c>
      <c r="E1011" t="inlineStr">
        <is>
          <t>Rionegro</t>
        </is>
      </c>
      <c r="F1011" t="inlineStr">
        <is>
          <t>PRY-005</t>
        </is>
      </c>
      <c r="G1011" t="inlineStr">
        <is>
          <t>Portal Web</t>
        </is>
      </c>
      <c r="H1011" t="inlineStr">
        <is>
          <t>Santiago Muñoz</t>
        </is>
      </c>
      <c r="I1011" t="inlineStr">
        <is>
          <t>Perdido</t>
        </is>
      </c>
      <c r="J1011" s="28" t="n">
        <v>45604</v>
      </c>
      <c r="K1011" s="28" t="n">
        <v>45629</v>
      </c>
      <c r="L1011" t="inlineStr">
        <is>
          <t>Sin respuesta tras 3 contactos</t>
        </is>
      </c>
    </row>
    <row r="1012">
      <c r="A1012" t="inlineStr">
        <is>
          <t>CLI-1010</t>
        </is>
      </c>
      <c r="B1012" t="inlineStr">
        <is>
          <t>Carlos Quintero Escobar</t>
        </is>
      </c>
      <c r="C1012" t="inlineStr">
        <is>
          <t>3242944534</t>
        </is>
      </c>
      <c r="D1012" t="inlineStr">
        <is>
          <t>carlos.quintero8@hotmail.com</t>
        </is>
      </c>
      <c r="E1012" t="inlineStr">
        <is>
          <t>Medellín</t>
        </is>
      </c>
      <c r="F1012" t="inlineStr">
        <is>
          <t>PRY-003</t>
        </is>
      </c>
      <c r="G1012" t="inlineStr">
        <is>
          <t>Portal Web</t>
        </is>
      </c>
      <c r="H1012" t="inlineStr">
        <is>
          <t>Ana Quintero</t>
        </is>
      </c>
      <c r="I1012" t="inlineStr">
        <is>
          <t>Perdido</t>
        </is>
      </c>
      <c r="J1012" s="28" t="n">
        <v>45605</v>
      </c>
      <c r="K1012" s="28" t="n">
        <v>45684</v>
      </c>
      <c r="L1012" t="inlineStr">
        <is>
          <t>Desistió de la compra</t>
        </is>
      </c>
    </row>
    <row r="1013">
      <c r="A1013" t="inlineStr">
        <is>
          <t>CLI-1011</t>
        </is>
      </c>
      <c r="B1013" t="inlineStr">
        <is>
          <t>Felipe Zapata Álvarez</t>
        </is>
      </c>
      <c r="C1013" t="inlineStr">
        <is>
          <t>3159064972</t>
        </is>
      </c>
      <c r="D1013" t="inlineStr">
        <is>
          <t>felipe.zapata44@outlook.com</t>
        </is>
      </c>
      <c r="E1013" t="inlineStr">
        <is>
          <t>Itagüí</t>
        </is>
      </c>
      <c r="F1013" t="inlineStr">
        <is>
          <t>PRY-001</t>
        </is>
      </c>
      <c r="G1013" t="inlineStr">
        <is>
          <t>Portal Web</t>
        </is>
      </c>
      <c r="H1013" t="inlineStr">
        <is>
          <t>Santiago Muñoz</t>
        </is>
      </c>
      <c r="I1013" t="inlineStr">
        <is>
          <t>Ganado</t>
        </is>
      </c>
      <c r="J1013" s="28" t="n">
        <v>45605</v>
      </c>
      <c r="K1013" s="28" t="n">
        <v>45736</v>
      </c>
      <c r="L1013" t="inlineStr">
        <is>
          <t>Compró Apto 2003 en Torres del Poblado</t>
        </is>
      </c>
    </row>
    <row r="1014">
      <c r="A1014" t="inlineStr">
        <is>
          <t>CLI-1012</t>
        </is>
      </c>
      <c r="B1014" t="inlineStr">
        <is>
          <t>Katherine Franco Giraldo</t>
        </is>
      </c>
      <c r="C1014" t="inlineStr">
        <is>
          <t>3107784432</t>
        </is>
      </c>
      <c r="D1014" t="inlineStr">
        <is>
          <t>katherine.franco27@outlook.com</t>
        </is>
      </c>
      <c r="E1014" t="inlineStr">
        <is>
          <t>Bello</t>
        </is>
      </c>
      <c r="F1014" t="inlineStr">
        <is>
          <t>PRY-001</t>
        </is>
      </c>
      <c r="G1014" t="inlineStr">
        <is>
          <t>Instagram</t>
        </is>
      </c>
      <c r="H1014" t="inlineStr">
        <is>
          <t>Paula Arenas</t>
        </is>
      </c>
      <c r="I1014" t="inlineStr">
        <is>
          <t>Perdido</t>
        </is>
      </c>
      <c r="J1014" s="28" t="n">
        <v>45605</v>
      </c>
      <c r="K1014" s="28" t="n">
        <v>45672</v>
      </c>
      <c r="L1014" t="inlineStr">
        <is>
          <t>Crédito no aprobado</t>
        </is>
      </c>
    </row>
    <row r="1015">
      <c r="A1015" t="inlineStr">
        <is>
          <t>CLI-1013</t>
        </is>
      </c>
      <c r="B1015" t="inlineStr">
        <is>
          <t>Felipe Bedoya Uribe</t>
        </is>
      </c>
      <c r="C1015" t="inlineStr">
        <is>
          <t>3235579376</t>
        </is>
      </c>
      <c r="D1015" t="inlineStr">
        <is>
          <t>felipe.bedoya88@hotmail.com</t>
        </is>
      </c>
      <c r="E1015" t="inlineStr">
        <is>
          <t>Medellín</t>
        </is>
      </c>
      <c r="F1015" t="inlineStr">
        <is>
          <t>PRY-008</t>
        </is>
      </c>
      <c r="G1015" t="inlineStr">
        <is>
          <t>Feria Inmobiliaria</t>
        </is>
      </c>
      <c r="H1015" t="inlineStr">
        <is>
          <t>Juliana Vélez</t>
        </is>
      </c>
      <c r="I1015" t="inlineStr">
        <is>
          <t>Perdido</t>
        </is>
      </c>
      <c r="J1015" s="28" t="n">
        <v>45605</v>
      </c>
      <c r="K1015" s="28" t="n">
        <v>45628</v>
      </c>
      <c r="L1015" t="inlineStr">
        <is>
          <t>Presupuesto insuficiente</t>
        </is>
      </c>
    </row>
    <row r="1016">
      <c r="A1016" t="inlineStr">
        <is>
          <t>CLI-1014</t>
        </is>
      </c>
      <c r="B1016" t="inlineStr">
        <is>
          <t>Julián Marín Giraldo</t>
        </is>
      </c>
      <c r="C1016" t="inlineStr">
        <is>
          <t>3236452095</t>
        </is>
      </c>
      <c r="D1016" t="inlineStr">
        <is>
          <t>julian.marin22@gmail.com</t>
        </is>
      </c>
      <c r="E1016" t="inlineStr">
        <is>
          <t>Rionegro</t>
        </is>
      </c>
      <c r="F1016" t="inlineStr">
        <is>
          <t>PRY-005</t>
        </is>
      </c>
      <c r="G1016" t="inlineStr">
        <is>
          <t>Llamada directa</t>
        </is>
      </c>
      <c r="H1016" t="inlineStr">
        <is>
          <t>Paula Arenas</t>
        </is>
      </c>
      <c r="I1016" t="inlineStr">
        <is>
          <t>Perdido</t>
        </is>
      </c>
      <c r="J1016" s="28" t="n">
        <v>45605</v>
      </c>
      <c r="K1016" s="28" t="n">
        <v>45628</v>
      </c>
      <c r="L1016" t="inlineStr">
        <is>
          <t>Sin respuesta tras 3 contactos</t>
        </is>
      </c>
    </row>
    <row r="1017">
      <c r="A1017" t="inlineStr">
        <is>
          <t>CLI-1015</t>
        </is>
      </c>
      <c r="B1017" t="inlineStr">
        <is>
          <t>Alejandra Quintero Sánchez</t>
        </is>
      </c>
      <c r="C1017" t="inlineStr">
        <is>
          <t>3012505368</t>
        </is>
      </c>
      <c r="D1017" t="inlineStr">
        <is>
          <t>alejandra.quintero80@gmail.com</t>
        </is>
      </c>
      <c r="E1017" t="inlineStr">
        <is>
          <t>Medellín</t>
        </is>
      </c>
      <c r="F1017" t="inlineStr">
        <is>
          <t>PRY-003</t>
        </is>
      </c>
      <c r="G1017" t="inlineStr">
        <is>
          <t>Llamada directa</t>
        </is>
      </c>
      <c r="H1017" t="inlineStr">
        <is>
          <t>Paula Arenas</t>
        </is>
      </c>
      <c r="I1017" t="inlineStr">
        <is>
          <t>Perdido</t>
        </is>
      </c>
      <c r="J1017" s="28" t="n">
        <v>45605</v>
      </c>
      <c r="K1017" s="28" t="n">
        <v>45613</v>
      </c>
      <c r="L1017" t="inlineStr">
        <is>
          <t>Datos de contacto errados</t>
        </is>
      </c>
    </row>
    <row r="1018">
      <c r="A1018" t="inlineStr">
        <is>
          <t>CLI-1016</t>
        </is>
      </c>
      <c r="B1018" t="inlineStr">
        <is>
          <t>Fernando Salcedo Peláez</t>
        </is>
      </c>
      <c r="C1018" t="inlineStr">
        <is>
          <t>3132023715</t>
        </is>
      </c>
      <c r="D1018" t="inlineStr">
        <is>
          <t>fernando.salcedo55@outlook.com</t>
        </is>
      </c>
      <c r="E1018" t="inlineStr">
        <is>
          <t>Envigado</t>
        </is>
      </c>
      <c r="F1018" t="inlineStr">
        <is>
          <t>PRY-007</t>
        </is>
      </c>
      <c r="G1018" t="inlineStr">
        <is>
          <t>Portal Web</t>
        </is>
      </c>
      <c r="H1018" t="inlineStr">
        <is>
          <t>Ana Quintero</t>
        </is>
      </c>
      <c r="I1018" t="inlineStr">
        <is>
          <t>Perdido</t>
        </is>
      </c>
      <c r="J1018" s="28" t="n">
        <v>45606</v>
      </c>
      <c r="K1018" s="28" t="n">
        <v>45628</v>
      </c>
      <c r="L1018" t="inlineStr">
        <is>
          <t>No calificó para crédito</t>
        </is>
      </c>
    </row>
    <row r="1019">
      <c r="A1019" t="inlineStr">
        <is>
          <t>CLI-1017</t>
        </is>
      </c>
      <c r="B1019" t="inlineStr">
        <is>
          <t>Valentina Restrepo Álvarez</t>
        </is>
      </c>
      <c r="C1019" t="inlineStr">
        <is>
          <t>3176878244</t>
        </is>
      </c>
      <c r="D1019" t="inlineStr">
        <is>
          <t>valentina.restrepo39@gmail.com</t>
        </is>
      </c>
      <c r="E1019" t="inlineStr">
        <is>
          <t>Itagüí</t>
        </is>
      </c>
      <c r="F1019" t="inlineStr">
        <is>
          <t>PRY-005</t>
        </is>
      </c>
      <c r="G1019" t="inlineStr">
        <is>
          <t>Instagram</t>
        </is>
      </c>
      <c r="H1019" t="inlineStr">
        <is>
          <t>Miguel Salazar</t>
        </is>
      </c>
      <c r="I1019" t="inlineStr">
        <is>
          <t>Perdido</t>
        </is>
      </c>
      <c r="J1019" s="28" t="n">
        <v>45606</v>
      </c>
      <c r="K1019" s="28" t="n">
        <v>45632</v>
      </c>
      <c r="L1019" t="inlineStr">
        <is>
          <t>Datos de contacto errados</t>
        </is>
      </c>
    </row>
    <row r="1020">
      <c r="A1020" t="inlineStr">
        <is>
          <t>CLI-1018</t>
        </is>
      </c>
      <c r="B1020" t="inlineStr">
        <is>
          <t>Natalia Gaviria Gómez</t>
        </is>
      </c>
      <c r="C1020" t="inlineStr">
        <is>
          <t>3222953645</t>
        </is>
      </c>
      <c r="D1020" t="inlineStr">
        <is>
          <t>natalia.gaviria94@yahoo.com</t>
        </is>
      </c>
      <c r="E1020" t="inlineStr">
        <is>
          <t>Medellín</t>
        </is>
      </c>
      <c r="F1020" t="inlineStr">
        <is>
          <t>PRY-004</t>
        </is>
      </c>
      <c r="G1020" t="inlineStr">
        <is>
          <t>Facebook</t>
        </is>
      </c>
      <c r="H1020" t="inlineStr">
        <is>
          <t>Luis Bedoya</t>
        </is>
      </c>
      <c r="I1020" t="inlineStr">
        <is>
          <t>Perdido</t>
        </is>
      </c>
      <c r="J1020" s="28" t="n">
        <v>45606</v>
      </c>
      <c r="K1020" s="28" t="n">
        <v>45612</v>
      </c>
      <c r="L1020" t="inlineStr">
        <is>
          <t>Sin respuesta tras 3 contactos</t>
        </is>
      </c>
    </row>
    <row r="1021">
      <c r="A1021" t="inlineStr">
        <is>
          <t>CLI-1019</t>
        </is>
      </c>
      <c r="B1021" t="inlineStr">
        <is>
          <t>Isabel Cardona Valencia</t>
        </is>
      </c>
      <c r="C1021" t="inlineStr">
        <is>
          <t>3232310820</t>
        </is>
      </c>
      <c r="D1021" t="inlineStr">
        <is>
          <t>isabel.cardona10@hotmail.com</t>
        </is>
      </c>
      <c r="E1021" t="inlineStr">
        <is>
          <t>Medellín</t>
        </is>
      </c>
      <c r="F1021" t="inlineStr">
        <is>
          <t>PRY-004</t>
        </is>
      </c>
      <c r="G1021" t="inlineStr">
        <is>
          <t>Referido</t>
        </is>
      </c>
      <c r="H1021" t="inlineStr">
        <is>
          <t>Miguel Salazar</t>
        </is>
      </c>
      <c r="I1021" t="inlineStr">
        <is>
          <t>Ganado</t>
        </is>
      </c>
      <c r="J1021" s="28" t="n">
        <v>45607</v>
      </c>
      <c r="K1021" s="28" t="n">
        <v>45755</v>
      </c>
      <c r="L1021" t="inlineStr">
        <is>
          <t>Compró Casa 42 en Altavista Park</t>
        </is>
      </c>
    </row>
    <row r="1022">
      <c r="A1022" t="inlineStr">
        <is>
          <t>CLI-1020</t>
        </is>
      </c>
      <c r="B1022" t="inlineStr">
        <is>
          <t>Lorena Álvarez Echeverri</t>
        </is>
      </c>
      <c r="C1022" t="inlineStr">
        <is>
          <t>3019001963</t>
        </is>
      </c>
      <c r="D1022" t="inlineStr">
        <is>
          <t>lorena.alvarez4@hotmail.com</t>
        </is>
      </c>
      <c r="E1022" t="inlineStr">
        <is>
          <t>Sabaneta</t>
        </is>
      </c>
      <c r="F1022" t="inlineStr">
        <is>
          <t>PRY-001</t>
        </is>
      </c>
      <c r="G1022" t="inlineStr">
        <is>
          <t>Facebook</t>
        </is>
      </c>
      <c r="H1022" t="inlineStr">
        <is>
          <t>Ana Quintero</t>
        </is>
      </c>
      <c r="I1022" t="inlineStr">
        <is>
          <t>Perdido</t>
        </is>
      </c>
      <c r="J1022" s="28" t="n">
        <v>45607</v>
      </c>
      <c r="K1022" s="28" t="n">
        <v>45612</v>
      </c>
      <c r="L1022" t="inlineStr">
        <is>
          <t>Datos de contacto errados</t>
        </is>
      </c>
    </row>
    <row r="1023">
      <c r="A1023" t="inlineStr">
        <is>
          <t>CLI-1021</t>
        </is>
      </c>
      <c r="B1023" t="inlineStr">
        <is>
          <t>Mauricio Montoya Marín</t>
        </is>
      </c>
      <c r="C1023" t="inlineStr">
        <is>
          <t>3232442107</t>
        </is>
      </c>
      <c r="D1023" t="inlineStr">
        <is>
          <t>mauricio.montoya17@yahoo.com</t>
        </is>
      </c>
      <c r="E1023" t="inlineStr">
        <is>
          <t>Medellín</t>
        </is>
      </c>
      <c r="F1023" t="inlineStr">
        <is>
          <t>PRY-003</t>
        </is>
      </c>
      <c r="G1023" t="inlineStr">
        <is>
          <t>Portal Web</t>
        </is>
      </c>
      <c r="H1023" t="inlineStr">
        <is>
          <t>Sofía Prada</t>
        </is>
      </c>
      <c r="I1023" t="inlineStr">
        <is>
          <t>Perdido</t>
        </is>
      </c>
      <c r="J1023" s="28" t="n">
        <v>45607</v>
      </c>
      <c r="K1023" s="28" t="n">
        <v>45630</v>
      </c>
      <c r="L1023" t="inlineStr">
        <is>
          <t>Sin respuesta tras 3 contactos</t>
        </is>
      </c>
    </row>
    <row r="1024">
      <c r="A1024" t="inlineStr">
        <is>
          <t>CLI-1022</t>
        </is>
      </c>
      <c r="B1024" t="inlineStr">
        <is>
          <t>Julián Zapata Jaramillo</t>
        </is>
      </c>
      <c r="C1024" t="inlineStr">
        <is>
          <t>3041177769</t>
        </is>
      </c>
      <c r="D1024" t="inlineStr">
        <is>
          <t>julian.zapata55@hotmail.com</t>
        </is>
      </c>
      <c r="E1024" t="inlineStr">
        <is>
          <t>Medellín</t>
        </is>
      </c>
      <c r="F1024" t="inlineStr">
        <is>
          <t>PRY-005</t>
        </is>
      </c>
      <c r="G1024" t="inlineStr">
        <is>
          <t>Feria Inmobiliaria</t>
        </is>
      </c>
      <c r="H1024" t="inlineStr">
        <is>
          <t>Luis Bedoya</t>
        </is>
      </c>
      <c r="I1024" t="inlineStr">
        <is>
          <t>Ganado</t>
        </is>
      </c>
      <c r="J1024" s="28" t="n">
        <v>45608</v>
      </c>
      <c r="K1024" s="28" t="n">
        <v>45713</v>
      </c>
      <c r="L1024" t="inlineStr">
        <is>
          <t>Compró Casa 17 en Ciudadela Rionegro</t>
        </is>
      </c>
    </row>
    <row r="1025">
      <c r="A1025" t="inlineStr">
        <is>
          <t>CLI-1023</t>
        </is>
      </c>
      <c r="B1025" t="inlineStr">
        <is>
          <t>Mónica Ochoa Ríos</t>
        </is>
      </c>
      <c r="C1025" t="inlineStr">
        <is>
          <t>3138519023</t>
        </is>
      </c>
      <c r="D1025" t="inlineStr">
        <is>
          <t>monica.ochoa57@hotmail.com</t>
        </is>
      </c>
      <c r="E1025" t="inlineStr">
        <is>
          <t>Rionegro</t>
        </is>
      </c>
      <c r="F1025" t="inlineStr">
        <is>
          <t>PRY-005</t>
        </is>
      </c>
      <c r="G1025" t="inlineStr">
        <is>
          <t>Portal Web</t>
        </is>
      </c>
      <c r="H1025" t="inlineStr">
        <is>
          <t>Luis Bedoya</t>
        </is>
      </c>
      <c r="I1025" t="inlineStr">
        <is>
          <t>Perdido</t>
        </is>
      </c>
      <c r="J1025" s="28" t="n">
        <v>45608</v>
      </c>
      <c r="K1025" s="28" t="n">
        <v>45633</v>
      </c>
      <c r="L1025" t="inlineStr">
        <is>
          <t>Presupuesto insuficiente</t>
        </is>
      </c>
    </row>
    <row r="1026">
      <c r="A1026" t="inlineStr">
        <is>
          <t>CLI-1024</t>
        </is>
      </c>
      <c r="B1026" t="inlineStr">
        <is>
          <t>José Álvarez Marín</t>
        </is>
      </c>
      <c r="C1026" t="inlineStr">
        <is>
          <t>3105391582</t>
        </is>
      </c>
      <c r="D1026" t="inlineStr">
        <is>
          <t>jose.alvarez44@outlook.com</t>
        </is>
      </c>
      <c r="E1026" t="inlineStr">
        <is>
          <t>Medellín</t>
        </is>
      </c>
      <c r="F1026" t="inlineStr">
        <is>
          <t>PRY-001</t>
        </is>
      </c>
      <c r="G1026" t="inlineStr">
        <is>
          <t>Portal Web</t>
        </is>
      </c>
      <c r="H1026" t="inlineStr">
        <is>
          <t>Sofía Prada</t>
        </is>
      </c>
      <c r="I1026" t="inlineStr">
        <is>
          <t>Perdido</t>
        </is>
      </c>
      <c r="J1026" s="28" t="n">
        <v>45608</v>
      </c>
      <c r="K1026" s="28" t="n">
        <v>45623</v>
      </c>
      <c r="L1026" t="inlineStr">
        <is>
          <t>Datos de contacto errados</t>
        </is>
      </c>
    </row>
    <row r="1027">
      <c r="A1027" t="inlineStr">
        <is>
          <t>CLI-1025</t>
        </is>
      </c>
      <c r="B1027" t="inlineStr">
        <is>
          <t>Valeria Muñoz Cano</t>
        </is>
      </c>
      <c r="C1027" t="inlineStr">
        <is>
          <t>3247651540</t>
        </is>
      </c>
      <c r="D1027" t="inlineStr">
        <is>
          <t>valeria.munoz29@hotmail.com</t>
        </is>
      </c>
      <c r="E1027" t="inlineStr">
        <is>
          <t>Medellín</t>
        </is>
      </c>
      <c r="F1027" t="inlineStr">
        <is>
          <t>PRY-003</t>
        </is>
      </c>
      <c r="G1027" t="inlineStr">
        <is>
          <t>Feria Inmobiliaria</t>
        </is>
      </c>
      <c r="H1027" t="inlineStr">
        <is>
          <t>Sofía Prada</t>
        </is>
      </c>
      <c r="I1027" t="inlineStr">
        <is>
          <t>Ganado</t>
        </is>
      </c>
      <c r="J1027" s="28" t="n">
        <v>45609</v>
      </c>
      <c r="K1027" s="28" t="n">
        <v>45704</v>
      </c>
      <c r="L1027" t="inlineStr">
        <is>
          <t>Compró Apto 1504 en Conecta Laureles</t>
        </is>
      </c>
    </row>
    <row r="1028">
      <c r="A1028" t="inlineStr">
        <is>
          <t>CLI-1026</t>
        </is>
      </c>
      <c r="B1028" t="inlineStr">
        <is>
          <t>Carolina Espinosa Rojas</t>
        </is>
      </c>
      <c r="C1028" t="inlineStr">
        <is>
          <t>3149401807</t>
        </is>
      </c>
      <c r="D1028" t="inlineStr">
        <is>
          <t>carolina.espinosa45@gmail.com</t>
        </is>
      </c>
      <c r="E1028" t="inlineStr">
        <is>
          <t>Rionegro</t>
        </is>
      </c>
      <c r="F1028" t="inlineStr">
        <is>
          <t>PRY-004</t>
        </is>
      </c>
      <c r="G1028" t="inlineStr">
        <is>
          <t>Referido</t>
        </is>
      </c>
      <c r="H1028" t="inlineStr">
        <is>
          <t>Santiago Muñoz</t>
        </is>
      </c>
      <c r="I1028" t="inlineStr">
        <is>
          <t>Ganado</t>
        </is>
      </c>
      <c r="J1028" s="28" t="n">
        <v>45609</v>
      </c>
      <c r="K1028" s="28" t="n">
        <v>45745</v>
      </c>
      <c r="L1028" t="inlineStr">
        <is>
          <t>Compró Casa 72 en Altavista Park</t>
        </is>
      </c>
    </row>
    <row r="1029">
      <c r="A1029" t="inlineStr">
        <is>
          <t>CLI-1027</t>
        </is>
      </c>
      <c r="B1029" t="inlineStr">
        <is>
          <t>Sofía Ochoa Agudelo</t>
        </is>
      </c>
      <c r="C1029" t="inlineStr">
        <is>
          <t>3177420271</t>
        </is>
      </c>
      <c r="D1029" t="inlineStr">
        <is>
          <t>sofia.ochoa73@outlook.com</t>
        </is>
      </c>
      <c r="E1029" t="inlineStr">
        <is>
          <t>Medellín</t>
        </is>
      </c>
      <c r="F1029" t="inlineStr">
        <is>
          <t>PRY-001</t>
        </is>
      </c>
      <c r="G1029" t="inlineStr">
        <is>
          <t>Feria Inmobiliaria</t>
        </is>
      </c>
      <c r="H1029" t="inlineStr">
        <is>
          <t>Luis Bedoya</t>
        </is>
      </c>
      <c r="I1029" t="inlineStr">
        <is>
          <t>Perdido</t>
        </is>
      </c>
      <c r="J1029" s="28" t="n">
        <v>45609</v>
      </c>
      <c r="K1029" s="28" t="n">
        <v>45633</v>
      </c>
      <c r="L1029" t="inlineStr">
        <is>
          <t>Datos de contacto errados</t>
        </is>
      </c>
    </row>
    <row r="1030">
      <c r="A1030" t="inlineStr">
        <is>
          <t>CLI-1028</t>
        </is>
      </c>
      <c r="B1030" t="inlineStr">
        <is>
          <t>Jorge Gómez Escobar</t>
        </is>
      </c>
      <c r="C1030" t="inlineStr">
        <is>
          <t>3016559422</t>
        </is>
      </c>
      <c r="D1030" t="inlineStr">
        <is>
          <t>jorge.gomez75@hotmail.com</t>
        </is>
      </c>
      <c r="E1030" t="inlineStr">
        <is>
          <t>Medellín</t>
        </is>
      </c>
      <c r="F1030" t="inlineStr">
        <is>
          <t>PRY-008</t>
        </is>
      </c>
      <c r="G1030" t="inlineStr">
        <is>
          <t>Llamada directa</t>
        </is>
      </c>
      <c r="H1030" t="inlineStr">
        <is>
          <t>Miguel Salazar</t>
        </is>
      </c>
      <c r="I1030" t="inlineStr">
        <is>
          <t>Ganado</t>
        </is>
      </c>
      <c r="J1030" s="28" t="n">
        <v>45610</v>
      </c>
      <c r="K1030" s="28" t="n">
        <v>45675</v>
      </c>
      <c r="L1030" t="inlineStr">
        <is>
          <t>Compró Casa 64 en Valle Verde Itagüí</t>
        </is>
      </c>
    </row>
    <row r="1031">
      <c r="A1031" t="inlineStr">
        <is>
          <t>CLI-1029</t>
        </is>
      </c>
      <c r="B1031" t="inlineStr">
        <is>
          <t>Alejandro Gómez Cifuentes</t>
        </is>
      </c>
      <c r="C1031" t="inlineStr">
        <is>
          <t>3044128251</t>
        </is>
      </c>
      <c r="D1031" t="inlineStr">
        <is>
          <t>alejandro.gomez85@yahoo.com</t>
        </is>
      </c>
      <c r="E1031" t="inlineStr">
        <is>
          <t>Rionegro</t>
        </is>
      </c>
      <c r="F1031" t="inlineStr">
        <is>
          <t>PRY-005</t>
        </is>
      </c>
      <c r="G1031" t="inlineStr">
        <is>
          <t>Feria Inmobiliaria</t>
        </is>
      </c>
      <c r="H1031" t="inlineStr">
        <is>
          <t>Sofía Prada</t>
        </is>
      </c>
      <c r="I1031" t="inlineStr">
        <is>
          <t>Ganado</t>
        </is>
      </c>
      <c r="J1031" s="28" t="n">
        <v>45610</v>
      </c>
      <c r="K1031" s="28" t="n">
        <v>45745</v>
      </c>
      <c r="L1031" t="inlineStr">
        <is>
          <t>Compró Apto 305 en Ciudadela Rionegro</t>
        </is>
      </c>
    </row>
    <row r="1032">
      <c r="A1032" t="inlineStr">
        <is>
          <t>CLI-1030</t>
        </is>
      </c>
      <c r="B1032" t="inlineStr">
        <is>
          <t>Gloria Osorio Bedoya</t>
        </is>
      </c>
      <c r="C1032" t="inlineStr">
        <is>
          <t>3132365970</t>
        </is>
      </c>
      <c r="D1032" t="inlineStr">
        <is>
          <t>gloria.osorio62@hotmail.com</t>
        </is>
      </c>
      <c r="E1032" t="inlineStr">
        <is>
          <t>La Estrella</t>
        </is>
      </c>
      <c r="F1032" t="inlineStr">
        <is>
          <t>PRY-005</t>
        </is>
      </c>
      <c r="G1032" t="inlineStr">
        <is>
          <t>Instagram</t>
        </is>
      </c>
      <c r="H1032" t="inlineStr">
        <is>
          <t>Juliana Vélez</t>
        </is>
      </c>
      <c r="I1032" t="inlineStr">
        <is>
          <t>Perdido</t>
        </is>
      </c>
      <c r="J1032" s="28" t="n">
        <v>45610</v>
      </c>
      <c r="K1032" s="28" t="n">
        <v>45625</v>
      </c>
      <c r="L1032" t="inlineStr">
        <is>
          <t>Datos de contacto errados</t>
        </is>
      </c>
    </row>
    <row r="1033">
      <c r="A1033" t="inlineStr">
        <is>
          <t>CLI-1031</t>
        </is>
      </c>
      <c r="B1033" t="inlineStr">
        <is>
          <t>Diana Peláez Duque</t>
        </is>
      </c>
      <c r="C1033" t="inlineStr">
        <is>
          <t>3235512699</t>
        </is>
      </c>
      <c r="D1033" t="inlineStr">
        <is>
          <t>diana.pelaez19@outlook.com</t>
        </is>
      </c>
      <c r="E1033" t="inlineStr">
        <is>
          <t>Medellín</t>
        </is>
      </c>
      <c r="F1033" t="inlineStr">
        <is>
          <t>PRY-003</t>
        </is>
      </c>
      <c r="G1033" t="inlineStr">
        <is>
          <t>Portal Web</t>
        </is>
      </c>
      <c r="H1033" t="inlineStr">
        <is>
          <t>Sofía Prada</t>
        </is>
      </c>
      <c r="I1033" t="inlineStr">
        <is>
          <t>Perdido</t>
        </is>
      </c>
      <c r="J1033" s="28" t="n">
        <v>45610</v>
      </c>
      <c r="K1033" s="28" t="n">
        <v>45615</v>
      </c>
      <c r="L1033" t="inlineStr">
        <is>
          <t>Buscaba arriendo, no compra</t>
        </is>
      </c>
    </row>
    <row r="1034">
      <c r="A1034" t="inlineStr">
        <is>
          <t>CLI-1032</t>
        </is>
      </c>
      <c r="B1034" t="inlineStr">
        <is>
          <t>Catalina Álvarez Mejía</t>
        </is>
      </c>
      <c r="C1034" t="inlineStr">
        <is>
          <t>3139955579</t>
        </is>
      </c>
      <c r="D1034" t="inlineStr">
        <is>
          <t>catalina.alvarez86@yahoo.com</t>
        </is>
      </c>
      <c r="E1034" t="inlineStr">
        <is>
          <t>Rionegro</t>
        </is>
      </c>
      <c r="F1034" t="inlineStr">
        <is>
          <t>PRY-005</t>
        </is>
      </c>
      <c r="G1034" t="inlineStr">
        <is>
          <t>Instagram</t>
        </is>
      </c>
      <c r="H1034" t="inlineStr">
        <is>
          <t>Ana Quintero</t>
        </is>
      </c>
      <c r="I1034" t="inlineStr">
        <is>
          <t>Perdido</t>
        </is>
      </c>
      <c r="J1034" s="28" t="n">
        <v>45610</v>
      </c>
      <c r="K1034" s="28" t="n">
        <v>45619</v>
      </c>
      <c r="L1034" t="inlineStr">
        <is>
          <t>Buscaba arriendo, no compra</t>
        </is>
      </c>
    </row>
    <row r="1035">
      <c r="A1035" t="inlineStr">
        <is>
          <t>CLI-1033</t>
        </is>
      </c>
      <c r="B1035" t="inlineStr">
        <is>
          <t>Alejandro Ochoa Zuluaga</t>
        </is>
      </c>
      <c r="C1035" t="inlineStr">
        <is>
          <t>3151327518</t>
        </is>
      </c>
      <c r="D1035" t="inlineStr">
        <is>
          <t>alejandro.ochoa64@hotmail.com</t>
        </is>
      </c>
      <c r="E1035" t="inlineStr">
        <is>
          <t>Medellín</t>
        </is>
      </c>
      <c r="F1035" t="inlineStr">
        <is>
          <t>PRY-005</t>
        </is>
      </c>
      <c r="G1035" t="inlineStr">
        <is>
          <t>Portal Web</t>
        </is>
      </c>
      <c r="H1035" t="inlineStr">
        <is>
          <t>Andrés Torres</t>
        </is>
      </c>
      <c r="I1035" t="inlineStr">
        <is>
          <t>Perdido</t>
        </is>
      </c>
      <c r="J1035" s="28" t="n">
        <v>45610</v>
      </c>
      <c r="K1035" s="28" t="n">
        <v>45619</v>
      </c>
      <c r="L1035" t="inlineStr">
        <is>
          <t>Datos de contacto errados</t>
        </is>
      </c>
    </row>
    <row r="1036">
      <c r="A1036" t="inlineStr">
        <is>
          <t>CLI-1034</t>
        </is>
      </c>
      <c r="B1036" t="inlineStr">
        <is>
          <t>Diana Agudelo Restrepo</t>
        </is>
      </c>
      <c r="C1036" t="inlineStr">
        <is>
          <t>3005601820</t>
        </is>
      </c>
      <c r="D1036" t="inlineStr">
        <is>
          <t>diana.agudelo56@gmail.com</t>
        </is>
      </c>
      <c r="E1036" t="inlineStr">
        <is>
          <t>Itagüí</t>
        </is>
      </c>
      <c r="F1036" t="inlineStr">
        <is>
          <t>PRY-008</t>
        </is>
      </c>
      <c r="G1036" t="inlineStr">
        <is>
          <t>Portal Web</t>
        </is>
      </c>
      <c r="H1036" t="inlineStr">
        <is>
          <t>Paula Arenas</t>
        </is>
      </c>
      <c r="I1036" t="inlineStr">
        <is>
          <t>Ganado</t>
        </is>
      </c>
      <c r="J1036" s="28" t="n">
        <v>45611</v>
      </c>
      <c r="K1036" s="28" t="n">
        <v>45664</v>
      </c>
      <c r="L1036" t="inlineStr">
        <is>
          <t>Compró Casa 37 en Valle Verde Itagüí</t>
        </is>
      </c>
    </row>
    <row r="1037">
      <c r="A1037" t="inlineStr">
        <is>
          <t>CLI-1035</t>
        </is>
      </c>
      <c r="B1037" t="inlineStr">
        <is>
          <t>Fernando Cifuentes Gómez</t>
        </is>
      </c>
      <c r="C1037" t="inlineStr">
        <is>
          <t>3245204112</t>
        </is>
      </c>
      <c r="D1037" t="inlineStr">
        <is>
          <t>fernando.cifuentes41@gmail.com</t>
        </is>
      </c>
      <c r="E1037" t="inlineStr">
        <is>
          <t>Sabaneta</t>
        </is>
      </c>
      <c r="F1037" t="inlineStr">
        <is>
          <t>PRY-005</t>
        </is>
      </c>
      <c r="G1037" t="inlineStr">
        <is>
          <t>Llamada directa</t>
        </is>
      </c>
      <c r="H1037" t="inlineStr">
        <is>
          <t>Luis Bedoya</t>
        </is>
      </c>
      <c r="I1037" t="inlineStr">
        <is>
          <t>Perdido</t>
        </is>
      </c>
      <c r="J1037" s="28" t="n">
        <v>45611</v>
      </c>
      <c r="K1037" s="28" t="n">
        <v>45722</v>
      </c>
      <c r="L1037" t="inlineStr">
        <is>
          <t>Desistió de la compra</t>
        </is>
      </c>
    </row>
    <row r="1038">
      <c r="A1038" t="inlineStr">
        <is>
          <t>CLI-1036</t>
        </is>
      </c>
      <c r="B1038" t="inlineStr">
        <is>
          <t>Carolina Gaviria Duque</t>
        </is>
      </c>
      <c r="C1038" t="inlineStr">
        <is>
          <t>3224128211</t>
        </is>
      </c>
      <c r="D1038" t="inlineStr">
        <is>
          <t>carolina.gaviria29@outlook.com</t>
        </is>
      </c>
      <c r="E1038" t="inlineStr">
        <is>
          <t>Sabaneta</t>
        </is>
      </c>
      <c r="F1038" t="inlineStr">
        <is>
          <t>PRY-008</t>
        </is>
      </c>
      <c r="G1038" t="inlineStr">
        <is>
          <t>Llamada directa</t>
        </is>
      </c>
      <c r="H1038" t="inlineStr">
        <is>
          <t>Luis Bedoya</t>
        </is>
      </c>
      <c r="I1038" t="inlineStr">
        <is>
          <t>Ganado</t>
        </is>
      </c>
      <c r="J1038" s="28" t="n">
        <v>45612</v>
      </c>
      <c r="K1038" s="28" t="n">
        <v>45679</v>
      </c>
      <c r="L1038" t="inlineStr">
        <is>
          <t>Compró Casa 96 en Valle Verde Itagüí</t>
        </is>
      </c>
    </row>
    <row r="1039">
      <c r="A1039" t="inlineStr">
        <is>
          <t>CLI-1037</t>
        </is>
      </c>
      <c r="B1039" t="inlineStr">
        <is>
          <t>José Toro Vásquez</t>
        </is>
      </c>
      <c r="C1039" t="inlineStr">
        <is>
          <t>3158123135</t>
        </is>
      </c>
      <c r="D1039" t="inlineStr">
        <is>
          <t>jose.toro38@hotmail.com</t>
        </is>
      </c>
      <c r="E1039" t="inlineStr">
        <is>
          <t>Bello</t>
        </is>
      </c>
      <c r="F1039" t="inlineStr">
        <is>
          <t>PRY-001</t>
        </is>
      </c>
      <c r="G1039" t="inlineStr">
        <is>
          <t>Portal Web</t>
        </is>
      </c>
      <c r="H1039" t="inlineStr">
        <is>
          <t>Andrés Torres</t>
        </is>
      </c>
      <c r="I1039" t="inlineStr">
        <is>
          <t>Perdido</t>
        </is>
      </c>
      <c r="J1039" s="28" t="n">
        <v>45612</v>
      </c>
      <c r="K1039" s="28" t="n">
        <v>45640</v>
      </c>
      <c r="L1039" t="inlineStr">
        <is>
          <t>No calificó para crédito</t>
        </is>
      </c>
    </row>
    <row r="1040">
      <c r="A1040" t="inlineStr">
        <is>
          <t>CLI-1038</t>
        </is>
      </c>
      <c r="B1040" t="inlineStr">
        <is>
          <t>Cristian Mejía Valencia</t>
        </is>
      </c>
      <c r="C1040" t="inlineStr">
        <is>
          <t>3246876448</t>
        </is>
      </c>
      <c r="D1040" t="inlineStr">
        <is>
          <t>cristian.mejia86@yahoo.com</t>
        </is>
      </c>
      <c r="E1040" t="inlineStr">
        <is>
          <t>Rionegro</t>
        </is>
      </c>
      <c r="F1040" t="inlineStr">
        <is>
          <t>PRY-005</t>
        </is>
      </c>
      <c r="G1040" t="inlineStr">
        <is>
          <t>Portal Web</t>
        </is>
      </c>
      <c r="H1040" t="inlineStr">
        <is>
          <t>Sofía Prada</t>
        </is>
      </c>
      <c r="I1040" t="inlineStr">
        <is>
          <t>Ganado</t>
        </is>
      </c>
      <c r="J1040" s="28" t="n">
        <v>45613</v>
      </c>
      <c r="K1040" s="28" t="n">
        <v>45745</v>
      </c>
      <c r="L1040" t="inlineStr">
        <is>
          <t>Compró Casa 29 en Ciudadela Rionegro</t>
        </is>
      </c>
    </row>
    <row r="1041">
      <c r="A1041" t="inlineStr">
        <is>
          <t>CLI-1039</t>
        </is>
      </c>
      <c r="B1041" t="inlineStr">
        <is>
          <t>Patricia Valencia Ochoa</t>
        </is>
      </c>
      <c r="C1041" t="inlineStr">
        <is>
          <t>3154153206</t>
        </is>
      </c>
      <c r="D1041" t="inlineStr">
        <is>
          <t>patricia.valencia57@outlook.com</t>
        </is>
      </c>
      <c r="E1041" t="inlineStr">
        <is>
          <t>Medellín</t>
        </is>
      </c>
      <c r="F1041" t="inlineStr">
        <is>
          <t>PRY-003</t>
        </is>
      </c>
      <c r="G1041" t="inlineStr">
        <is>
          <t>Referido</t>
        </is>
      </c>
      <c r="H1041" t="inlineStr">
        <is>
          <t>Paula Arenas</t>
        </is>
      </c>
      <c r="I1041" t="inlineStr">
        <is>
          <t>Perdido</t>
        </is>
      </c>
      <c r="J1041" s="28" t="n">
        <v>45613</v>
      </c>
      <c r="K1041" s="28" t="n">
        <v>45636</v>
      </c>
      <c r="L1041" t="inlineStr">
        <is>
          <t>No calificó para crédito</t>
        </is>
      </c>
    </row>
    <row r="1042">
      <c r="A1042" t="inlineStr">
        <is>
          <t>CLI-1040</t>
        </is>
      </c>
      <c r="B1042" t="inlineStr">
        <is>
          <t>Alejandro Vásquez Gómez</t>
        </is>
      </c>
      <c r="C1042" t="inlineStr">
        <is>
          <t>3177876278</t>
        </is>
      </c>
      <c r="D1042" t="inlineStr">
        <is>
          <t>alejandro.vasquez25@hotmail.com</t>
        </is>
      </c>
      <c r="E1042" t="inlineStr">
        <is>
          <t>Sabaneta</t>
        </is>
      </c>
      <c r="F1042" t="inlineStr">
        <is>
          <t>PRY-005</t>
        </is>
      </c>
      <c r="G1042" t="inlineStr">
        <is>
          <t>Portal Web</t>
        </is>
      </c>
      <c r="H1042" t="inlineStr">
        <is>
          <t>Juliana Vélez</t>
        </is>
      </c>
      <c r="I1042" t="inlineStr">
        <is>
          <t>Perdido</t>
        </is>
      </c>
      <c r="J1042" s="28" t="n">
        <v>45613</v>
      </c>
      <c r="K1042" s="28" t="n">
        <v>45639</v>
      </c>
      <c r="L1042" t="inlineStr">
        <is>
          <t>Sin respuesta tras 3 contactos</t>
        </is>
      </c>
    </row>
    <row r="1043">
      <c r="A1043" t="inlineStr">
        <is>
          <t>CLI-1041</t>
        </is>
      </c>
      <c r="B1043" t="inlineStr">
        <is>
          <t>Andrés Betancur Zapata</t>
        </is>
      </c>
      <c r="C1043" t="inlineStr">
        <is>
          <t>3222089006</t>
        </is>
      </c>
      <c r="D1043" t="inlineStr">
        <is>
          <t>andres.betancur59@yahoo.com</t>
        </is>
      </c>
      <c r="E1043" t="inlineStr">
        <is>
          <t>Medellín</t>
        </is>
      </c>
      <c r="F1043" t="inlineStr">
        <is>
          <t>PRY-002</t>
        </is>
      </c>
      <c r="G1043" t="inlineStr">
        <is>
          <t>Portal Web</t>
        </is>
      </c>
      <c r="H1043" t="inlineStr">
        <is>
          <t>Miguel Salazar</t>
        </is>
      </c>
      <c r="I1043" t="inlineStr">
        <is>
          <t>Perdido</t>
        </is>
      </c>
      <c r="J1043" s="28" t="n">
        <v>45614</v>
      </c>
      <c r="K1043" s="28" t="n">
        <v>45622</v>
      </c>
      <c r="L1043" t="inlineStr">
        <is>
          <t>Buscaba arriendo, no compra</t>
        </is>
      </c>
    </row>
    <row r="1044">
      <c r="A1044" t="inlineStr">
        <is>
          <t>CLI-1042</t>
        </is>
      </c>
      <c r="B1044" t="inlineStr">
        <is>
          <t>Fernando Vargas Escobar</t>
        </is>
      </c>
      <c r="C1044" t="inlineStr">
        <is>
          <t>3205093410</t>
        </is>
      </c>
      <c r="D1044" t="inlineStr">
        <is>
          <t>fernando.vargas83@hotmail.com</t>
        </is>
      </c>
      <c r="E1044" t="inlineStr">
        <is>
          <t>Sabaneta</t>
        </is>
      </c>
      <c r="F1044" t="inlineStr">
        <is>
          <t>PRY-001</t>
        </is>
      </c>
      <c r="G1044" t="inlineStr">
        <is>
          <t>Portal Web</t>
        </is>
      </c>
      <c r="H1044" t="inlineStr">
        <is>
          <t>Ana Quintero</t>
        </is>
      </c>
      <c r="I1044" t="inlineStr">
        <is>
          <t>Perdido</t>
        </is>
      </c>
      <c r="J1044" s="28" t="n">
        <v>45614</v>
      </c>
      <c r="K1044" s="28" t="n">
        <v>45629</v>
      </c>
      <c r="L1044" t="inlineStr">
        <is>
          <t>No calificó para crédito</t>
        </is>
      </c>
    </row>
    <row r="1045">
      <c r="A1045" t="inlineStr">
        <is>
          <t>CLI-1043</t>
        </is>
      </c>
      <c r="B1045" t="inlineStr">
        <is>
          <t>Mateo Vélez Valencia</t>
        </is>
      </c>
      <c r="C1045" t="inlineStr">
        <is>
          <t>3001893409</t>
        </is>
      </c>
      <c r="D1045" t="inlineStr">
        <is>
          <t>mateo.velez86@outlook.com</t>
        </is>
      </c>
      <c r="E1045" t="inlineStr">
        <is>
          <t>Itagüí</t>
        </is>
      </c>
      <c r="F1045" t="inlineStr">
        <is>
          <t>PRY-008</t>
        </is>
      </c>
      <c r="G1045" t="inlineStr">
        <is>
          <t>Feria Inmobiliaria</t>
        </is>
      </c>
      <c r="H1045" t="inlineStr">
        <is>
          <t>Miguel Salazar</t>
        </is>
      </c>
      <c r="I1045" t="inlineStr">
        <is>
          <t>Ganado</t>
        </is>
      </c>
      <c r="J1045" s="28" t="n">
        <v>45615</v>
      </c>
      <c r="K1045" s="28" t="n">
        <v>45727</v>
      </c>
      <c r="L1045" t="inlineStr">
        <is>
          <t>Compró Casa 94 en Valle Verde Itagüí</t>
        </is>
      </c>
    </row>
    <row r="1046">
      <c r="A1046" t="inlineStr">
        <is>
          <t>CLI-1044</t>
        </is>
      </c>
      <c r="B1046" t="inlineStr">
        <is>
          <t>Verónica Ríos Zapata</t>
        </is>
      </c>
      <c r="C1046" t="inlineStr">
        <is>
          <t>3133029545</t>
        </is>
      </c>
      <c r="D1046" t="inlineStr">
        <is>
          <t>veronica.rios20@outlook.com</t>
        </is>
      </c>
      <c r="E1046" t="inlineStr">
        <is>
          <t>Medellín</t>
        </is>
      </c>
      <c r="F1046" t="inlineStr">
        <is>
          <t>PRY-003</t>
        </is>
      </c>
      <c r="G1046" t="inlineStr">
        <is>
          <t>Instagram</t>
        </is>
      </c>
      <c r="H1046" t="inlineStr">
        <is>
          <t>Luis Bedoya</t>
        </is>
      </c>
      <c r="I1046" t="inlineStr">
        <is>
          <t>Perdido</t>
        </is>
      </c>
      <c r="J1046" s="28" t="n">
        <v>45615</v>
      </c>
      <c r="K1046" s="28" t="n">
        <v>45637</v>
      </c>
      <c r="L1046" t="inlineStr">
        <is>
          <t>Buscaba arriendo, no compra</t>
        </is>
      </c>
    </row>
    <row r="1047">
      <c r="A1047" t="inlineStr">
        <is>
          <t>CLI-1045</t>
        </is>
      </c>
      <c r="B1047" t="inlineStr">
        <is>
          <t>David Gómez López</t>
        </is>
      </c>
      <c r="C1047" t="inlineStr">
        <is>
          <t>3148194415</t>
        </is>
      </c>
      <c r="D1047" t="inlineStr">
        <is>
          <t>david.gomez39@yahoo.com</t>
        </is>
      </c>
      <c r="E1047" t="inlineStr">
        <is>
          <t>Envigado</t>
        </is>
      </c>
      <c r="F1047" t="inlineStr">
        <is>
          <t>PRY-005</t>
        </is>
      </c>
      <c r="G1047" t="inlineStr">
        <is>
          <t>Instagram</t>
        </is>
      </c>
      <c r="H1047" t="inlineStr">
        <is>
          <t>Luis Bedoya</t>
        </is>
      </c>
      <c r="I1047" t="inlineStr">
        <is>
          <t>Perdido</t>
        </is>
      </c>
      <c r="J1047" s="28" t="n">
        <v>45615</v>
      </c>
      <c r="K1047" s="28" t="n">
        <v>45626</v>
      </c>
      <c r="L1047" t="inlineStr">
        <is>
          <t>Buscaba arriendo, no compra</t>
        </is>
      </c>
    </row>
    <row r="1048">
      <c r="A1048" t="inlineStr">
        <is>
          <t>CLI-1046</t>
        </is>
      </c>
      <c r="B1048" t="inlineStr">
        <is>
          <t>Liliana Marín Peláez</t>
        </is>
      </c>
      <c r="C1048" t="inlineStr">
        <is>
          <t>3135787912</t>
        </is>
      </c>
      <c r="D1048" t="inlineStr">
        <is>
          <t>liliana.marin69@outlook.com</t>
        </is>
      </c>
      <c r="E1048" t="inlineStr">
        <is>
          <t>Itagüí</t>
        </is>
      </c>
      <c r="F1048" t="inlineStr">
        <is>
          <t>PRY-008</t>
        </is>
      </c>
      <c r="G1048" t="inlineStr">
        <is>
          <t>Referido</t>
        </is>
      </c>
      <c r="H1048" t="inlineStr">
        <is>
          <t>Luis Bedoya</t>
        </is>
      </c>
      <c r="I1048" t="inlineStr">
        <is>
          <t>Perdido</t>
        </is>
      </c>
      <c r="J1048" s="28" t="n">
        <v>45615</v>
      </c>
      <c r="K1048" s="28" t="n">
        <v>45643</v>
      </c>
      <c r="L1048" t="inlineStr">
        <is>
          <t>Buscaba arriendo, no compra</t>
        </is>
      </c>
    </row>
    <row r="1049">
      <c r="A1049" t="inlineStr">
        <is>
          <t>CLI-1047</t>
        </is>
      </c>
      <c r="B1049" t="inlineStr">
        <is>
          <t>Jorge Salazar Castaño</t>
        </is>
      </c>
      <c r="C1049" t="inlineStr">
        <is>
          <t>3002578110</t>
        </is>
      </c>
      <c r="D1049" t="inlineStr">
        <is>
          <t>jorge.salazar29@outlook.com</t>
        </is>
      </c>
      <c r="E1049" t="inlineStr">
        <is>
          <t>Bello</t>
        </is>
      </c>
      <c r="F1049" t="inlineStr">
        <is>
          <t>PRY-005</t>
        </is>
      </c>
      <c r="G1049" t="inlineStr">
        <is>
          <t>Instagram</t>
        </is>
      </c>
      <c r="H1049" t="inlineStr">
        <is>
          <t>Santiago Muñoz</t>
        </is>
      </c>
      <c r="I1049" t="inlineStr">
        <is>
          <t>Perdido</t>
        </is>
      </c>
      <c r="J1049" s="28" t="n">
        <v>45615</v>
      </c>
      <c r="K1049" s="28" t="n">
        <v>45624</v>
      </c>
      <c r="L1049" t="inlineStr">
        <is>
          <t>Sin respuesta tras 3 contactos</t>
        </is>
      </c>
    </row>
    <row r="1050">
      <c r="A1050" t="inlineStr">
        <is>
          <t>CLI-1048</t>
        </is>
      </c>
      <c r="B1050" t="inlineStr">
        <is>
          <t>Mariana Ochoa Uribe</t>
        </is>
      </c>
      <c r="C1050" t="inlineStr">
        <is>
          <t>3232487797</t>
        </is>
      </c>
      <c r="D1050" t="inlineStr">
        <is>
          <t>mariana.ochoa12@hotmail.com</t>
        </is>
      </c>
      <c r="E1050" t="inlineStr">
        <is>
          <t>Bello</t>
        </is>
      </c>
      <c r="F1050" t="inlineStr">
        <is>
          <t>PRY-004</t>
        </is>
      </c>
      <c r="G1050" t="inlineStr">
        <is>
          <t>Facebook</t>
        </is>
      </c>
      <c r="H1050" t="inlineStr">
        <is>
          <t>Andrés Torres</t>
        </is>
      </c>
      <c r="I1050" t="inlineStr">
        <is>
          <t>Perdido</t>
        </is>
      </c>
      <c r="J1050" s="28" t="n">
        <v>45616</v>
      </c>
      <c r="K1050" s="28" t="n">
        <v>45640</v>
      </c>
      <c r="L1050" t="inlineStr">
        <is>
          <t>Buscaba arriendo, no compra</t>
        </is>
      </c>
    </row>
    <row r="1051">
      <c r="A1051" t="inlineStr">
        <is>
          <t>CLI-1049</t>
        </is>
      </c>
      <c r="B1051" t="inlineStr">
        <is>
          <t>Diego Duque Toro</t>
        </is>
      </c>
      <c r="C1051" t="inlineStr">
        <is>
          <t>3221404691</t>
        </is>
      </c>
      <c r="D1051" t="inlineStr">
        <is>
          <t>diego.duque50@hotmail.com</t>
        </is>
      </c>
      <c r="E1051" t="inlineStr">
        <is>
          <t>Medellín</t>
        </is>
      </c>
      <c r="F1051" t="inlineStr">
        <is>
          <t>PRY-004</t>
        </is>
      </c>
      <c r="G1051" t="inlineStr">
        <is>
          <t>Instagram</t>
        </is>
      </c>
      <c r="H1051" t="inlineStr">
        <is>
          <t>Paula Arenas</t>
        </is>
      </c>
      <c r="I1051" t="inlineStr">
        <is>
          <t>Perdido</t>
        </is>
      </c>
      <c r="J1051" s="28" t="n">
        <v>45616</v>
      </c>
      <c r="K1051" s="28" t="n">
        <v>45646</v>
      </c>
      <c r="L1051" t="inlineStr">
        <is>
          <t>Presupuesto insuficiente</t>
        </is>
      </c>
    </row>
    <row r="1052">
      <c r="A1052" t="inlineStr">
        <is>
          <t>CLI-1050</t>
        </is>
      </c>
      <c r="B1052" t="inlineStr">
        <is>
          <t>Isabel Montoya Salazar</t>
        </is>
      </c>
      <c r="C1052" t="inlineStr">
        <is>
          <t>3247234720</t>
        </is>
      </c>
      <c r="D1052" t="inlineStr">
        <is>
          <t>isabel.montoya6@gmail.com</t>
        </is>
      </c>
      <c r="E1052" t="inlineStr">
        <is>
          <t>Bello</t>
        </is>
      </c>
      <c r="F1052" t="inlineStr">
        <is>
          <t>PRY-007</t>
        </is>
      </c>
      <c r="G1052" t="inlineStr">
        <is>
          <t>Portal Web</t>
        </is>
      </c>
      <c r="H1052" t="inlineStr">
        <is>
          <t>Sofía Prada</t>
        </is>
      </c>
      <c r="I1052" t="inlineStr">
        <is>
          <t>Perdido</t>
        </is>
      </c>
      <c r="J1052" s="28" t="n">
        <v>45617</v>
      </c>
      <c r="K1052" s="28" t="n">
        <v>45753</v>
      </c>
      <c r="L1052" t="inlineStr">
        <is>
          <t>Precio fuera de presupuesto</t>
        </is>
      </c>
    </row>
    <row r="1053">
      <c r="A1053" t="inlineStr">
        <is>
          <t>CLI-1051</t>
        </is>
      </c>
      <c r="B1053" t="inlineStr">
        <is>
          <t>Ricardo Pérez Cifuentes</t>
        </is>
      </c>
      <c r="C1053" t="inlineStr">
        <is>
          <t>3208215920</t>
        </is>
      </c>
      <c r="D1053" t="inlineStr">
        <is>
          <t>ricardo.perez69@gmail.com</t>
        </is>
      </c>
      <c r="E1053" t="inlineStr">
        <is>
          <t>Medellín</t>
        </is>
      </c>
      <c r="F1053" t="inlineStr">
        <is>
          <t>PRY-002</t>
        </is>
      </c>
      <c r="G1053" t="inlineStr">
        <is>
          <t>Feria Inmobiliaria</t>
        </is>
      </c>
      <c r="H1053" t="inlineStr">
        <is>
          <t>Juliana Vélez</t>
        </is>
      </c>
      <c r="I1053" t="inlineStr">
        <is>
          <t>Perdido</t>
        </is>
      </c>
      <c r="J1053" s="28" t="n">
        <v>45617</v>
      </c>
      <c r="K1053" s="28" t="n">
        <v>45623</v>
      </c>
      <c r="L1053" t="inlineStr">
        <is>
          <t>Sin respuesta tras 3 contactos</t>
        </is>
      </c>
    </row>
    <row r="1054">
      <c r="A1054" t="inlineStr">
        <is>
          <t>CLI-1052</t>
        </is>
      </c>
      <c r="B1054" t="inlineStr">
        <is>
          <t>Diana Montoya Salcedo</t>
        </is>
      </c>
      <c r="C1054" t="inlineStr">
        <is>
          <t>3015698574</t>
        </is>
      </c>
      <c r="D1054" t="inlineStr">
        <is>
          <t>diana.montoya91@gmail.com</t>
        </is>
      </c>
      <c r="E1054" t="inlineStr">
        <is>
          <t>Medellín</t>
        </is>
      </c>
      <c r="F1054" t="inlineStr">
        <is>
          <t>PRY-001</t>
        </is>
      </c>
      <c r="G1054" t="inlineStr">
        <is>
          <t>Llamada directa</t>
        </is>
      </c>
      <c r="H1054" t="inlineStr">
        <is>
          <t>Miguel Salazar</t>
        </is>
      </c>
      <c r="I1054" t="inlineStr">
        <is>
          <t>Perdido</t>
        </is>
      </c>
      <c r="J1054" s="28" t="n">
        <v>45617</v>
      </c>
      <c r="K1054" s="28" t="n">
        <v>45623</v>
      </c>
      <c r="L1054" t="inlineStr">
        <is>
          <t>Sin respuesta tras 3 contactos</t>
        </is>
      </c>
    </row>
    <row r="1055">
      <c r="A1055" t="inlineStr">
        <is>
          <t>CLI-1053</t>
        </is>
      </c>
      <c r="B1055" t="inlineStr">
        <is>
          <t>Daniel Cifuentes Castaño</t>
        </is>
      </c>
      <c r="C1055" t="inlineStr">
        <is>
          <t>3141463353</t>
        </is>
      </c>
      <c r="D1055" t="inlineStr">
        <is>
          <t>daniel.cifuentes25@outlook.com</t>
        </is>
      </c>
      <c r="E1055" t="inlineStr">
        <is>
          <t>Medellín</t>
        </is>
      </c>
      <c r="F1055" t="inlineStr">
        <is>
          <t>PRY-001</t>
        </is>
      </c>
      <c r="G1055" t="inlineStr">
        <is>
          <t>Instagram</t>
        </is>
      </c>
      <c r="H1055" t="inlineStr">
        <is>
          <t>Paula Arenas</t>
        </is>
      </c>
      <c r="I1055" t="inlineStr">
        <is>
          <t>Ganado</t>
        </is>
      </c>
      <c r="J1055" s="28" t="n">
        <v>45618</v>
      </c>
      <c r="K1055" s="28" t="n">
        <v>45732</v>
      </c>
      <c r="L1055" t="inlineStr">
        <is>
          <t>Compró Apto 1305 en Torres del Poblado</t>
        </is>
      </c>
    </row>
    <row r="1056">
      <c r="A1056" t="inlineStr">
        <is>
          <t>CLI-1054</t>
        </is>
      </c>
      <c r="B1056" t="inlineStr">
        <is>
          <t>Alejandro Mejía Betancur</t>
        </is>
      </c>
      <c r="C1056" t="inlineStr">
        <is>
          <t>3133441663</t>
        </is>
      </c>
      <c r="D1056" t="inlineStr">
        <is>
          <t>alejandro.mejia91@outlook.com</t>
        </is>
      </c>
      <c r="E1056" t="inlineStr">
        <is>
          <t>Itagüí</t>
        </is>
      </c>
      <c r="F1056" t="inlineStr">
        <is>
          <t>PRY-004</t>
        </is>
      </c>
      <c r="G1056" t="inlineStr">
        <is>
          <t>Referido</t>
        </is>
      </c>
      <c r="H1056" t="inlineStr">
        <is>
          <t>Sofía Prada</t>
        </is>
      </c>
      <c r="I1056" t="inlineStr">
        <is>
          <t>Ganado</t>
        </is>
      </c>
      <c r="J1056" s="28" t="n">
        <v>45618</v>
      </c>
      <c r="K1056" s="28" t="n">
        <v>45765</v>
      </c>
      <c r="L1056" t="inlineStr">
        <is>
          <t>Compró Casa 52 en Altavista Park</t>
        </is>
      </c>
    </row>
    <row r="1057">
      <c r="A1057" t="inlineStr">
        <is>
          <t>CLI-1055</t>
        </is>
      </c>
      <c r="B1057" t="inlineStr">
        <is>
          <t>Simón Uribe Franco</t>
        </is>
      </c>
      <c r="C1057" t="inlineStr">
        <is>
          <t>3176512833</t>
        </is>
      </c>
      <c r="D1057" t="inlineStr">
        <is>
          <t>simon.uribe94@outlook.com</t>
        </is>
      </c>
      <c r="E1057" t="inlineStr">
        <is>
          <t>Bello</t>
        </is>
      </c>
      <c r="F1057" t="inlineStr">
        <is>
          <t>PRY-002</t>
        </is>
      </c>
      <c r="G1057" t="inlineStr">
        <is>
          <t>Portal Web</t>
        </is>
      </c>
      <c r="H1057" t="inlineStr">
        <is>
          <t>Andrés Torres</t>
        </is>
      </c>
      <c r="I1057" t="inlineStr">
        <is>
          <t>Perdido</t>
        </is>
      </c>
      <c r="J1057" s="28" t="n">
        <v>45618</v>
      </c>
      <c r="K1057" s="28" t="n">
        <v>45646</v>
      </c>
      <c r="L1057" t="inlineStr">
        <is>
          <t>Presupuesto insuficiente</t>
        </is>
      </c>
    </row>
    <row r="1058">
      <c r="A1058" t="inlineStr">
        <is>
          <t>CLI-1056</t>
        </is>
      </c>
      <c r="B1058" t="inlineStr">
        <is>
          <t>Verónica Ochoa Cardona</t>
        </is>
      </c>
      <c r="C1058" t="inlineStr">
        <is>
          <t>3171003587</t>
        </is>
      </c>
      <c r="D1058" t="inlineStr">
        <is>
          <t>veronica.ochoa19@outlook.com</t>
        </is>
      </c>
      <c r="E1058" t="inlineStr">
        <is>
          <t>Envigado</t>
        </is>
      </c>
      <c r="F1058" t="inlineStr">
        <is>
          <t>PRY-004</t>
        </is>
      </c>
      <c r="G1058" t="inlineStr">
        <is>
          <t>Facebook</t>
        </is>
      </c>
      <c r="H1058" t="inlineStr">
        <is>
          <t>Miguel Salazar</t>
        </is>
      </c>
      <c r="I1058" t="inlineStr">
        <is>
          <t>Perdido</t>
        </is>
      </c>
      <c r="J1058" s="28" t="n">
        <v>45618</v>
      </c>
      <c r="K1058" s="28" t="n">
        <v>45629</v>
      </c>
      <c r="L1058" t="inlineStr">
        <is>
          <t>No calificó para crédito</t>
        </is>
      </c>
    </row>
    <row r="1059">
      <c r="A1059" t="inlineStr">
        <is>
          <t>CLI-1057</t>
        </is>
      </c>
      <c r="B1059" t="inlineStr">
        <is>
          <t>Alejandro Arango Montes</t>
        </is>
      </c>
      <c r="C1059" t="inlineStr">
        <is>
          <t>3239602477</t>
        </is>
      </c>
      <c r="D1059" t="inlineStr">
        <is>
          <t>alejandro.arango42@gmail.com</t>
        </is>
      </c>
      <c r="E1059" t="inlineStr">
        <is>
          <t>Itagüí</t>
        </is>
      </c>
      <c r="F1059" t="inlineStr">
        <is>
          <t>PRY-005</t>
        </is>
      </c>
      <c r="G1059" t="inlineStr">
        <is>
          <t>Facebook</t>
        </is>
      </c>
      <c r="H1059" t="inlineStr">
        <is>
          <t>Ana Quintero</t>
        </is>
      </c>
      <c r="I1059" t="inlineStr">
        <is>
          <t>Perdido</t>
        </is>
      </c>
      <c r="J1059" s="28" t="n">
        <v>45619</v>
      </c>
      <c r="K1059" s="28" t="n">
        <v>45637</v>
      </c>
      <c r="L1059" t="inlineStr">
        <is>
          <t>No calificó para crédito</t>
        </is>
      </c>
    </row>
    <row r="1060">
      <c r="A1060" t="inlineStr">
        <is>
          <t>CLI-1058</t>
        </is>
      </c>
      <c r="B1060" t="inlineStr">
        <is>
          <t>Sebastián Londoño Castaño</t>
        </is>
      </c>
      <c r="C1060" t="inlineStr">
        <is>
          <t>3209129980</t>
        </is>
      </c>
      <c r="D1060" t="inlineStr">
        <is>
          <t>sebastian.londono26@outlook.com</t>
        </is>
      </c>
      <c r="E1060" t="inlineStr">
        <is>
          <t>Rionegro</t>
        </is>
      </c>
      <c r="F1060" t="inlineStr">
        <is>
          <t>PRY-005</t>
        </is>
      </c>
      <c r="G1060" t="inlineStr">
        <is>
          <t>Instagram</t>
        </is>
      </c>
      <c r="H1060" t="inlineStr">
        <is>
          <t>Sofía Prada</t>
        </is>
      </c>
      <c r="I1060" t="inlineStr">
        <is>
          <t>Perdido</t>
        </is>
      </c>
      <c r="J1060" s="28" t="n">
        <v>45620</v>
      </c>
      <c r="K1060" s="28" t="n">
        <v>45726</v>
      </c>
      <c r="L1060" t="inlineStr">
        <is>
          <t>Eligió otro proyecto</t>
        </is>
      </c>
    </row>
    <row r="1061">
      <c r="A1061" t="inlineStr">
        <is>
          <t>CLI-1059</t>
        </is>
      </c>
      <c r="B1061" t="inlineStr">
        <is>
          <t>Tomás Salazar Uribe</t>
        </is>
      </c>
      <c r="C1061" t="inlineStr">
        <is>
          <t>3228258803</t>
        </is>
      </c>
      <c r="D1061" t="inlineStr">
        <is>
          <t>tomas.salazar77@outlook.com</t>
        </is>
      </c>
      <c r="E1061" t="inlineStr">
        <is>
          <t>Medellín</t>
        </is>
      </c>
      <c r="F1061" t="inlineStr">
        <is>
          <t>PRY-004</t>
        </is>
      </c>
      <c r="G1061" t="inlineStr">
        <is>
          <t>Facebook</t>
        </is>
      </c>
      <c r="H1061" t="inlineStr">
        <is>
          <t>Andrés Torres</t>
        </is>
      </c>
      <c r="I1061" t="inlineStr">
        <is>
          <t>Perdido</t>
        </is>
      </c>
      <c r="J1061" s="28" t="n">
        <v>45620</v>
      </c>
      <c r="K1061" s="28" t="n">
        <v>45639</v>
      </c>
      <c r="L1061" t="inlineStr">
        <is>
          <t>Sin respuesta tras 3 contactos</t>
        </is>
      </c>
    </row>
    <row r="1062">
      <c r="A1062" t="inlineStr">
        <is>
          <t>CLI-1060</t>
        </is>
      </c>
      <c r="B1062" t="inlineStr">
        <is>
          <t>Patricia Uribe Gómez</t>
        </is>
      </c>
      <c r="C1062" t="inlineStr">
        <is>
          <t>3104176029</t>
        </is>
      </c>
      <c r="D1062" t="inlineStr">
        <is>
          <t>patricia.uribe80@hotmail.com</t>
        </is>
      </c>
      <c r="E1062" t="inlineStr">
        <is>
          <t>Medellín</t>
        </is>
      </c>
      <c r="F1062" t="inlineStr">
        <is>
          <t>PRY-001</t>
        </is>
      </c>
      <c r="G1062" t="inlineStr">
        <is>
          <t>Portal Web</t>
        </is>
      </c>
      <c r="H1062" t="inlineStr">
        <is>
          <t>Luis Bedoya</t>
        </is>
      </c>
      <c r="I1062" t="inlineStr">
        <is>
          <t>Perdido</t>
        </is>
      </c>
      <c r="J1062" s="28" t="n">
        <v>45620</v>
      </c>
      <c r="K1062" s="28" t="n">
        <v>45630</v>
      </c>
      <c r="L1062" t="inlineStr">
        <is>
          <t>No calificó para crédito</t>
        </is>
      </c>
    </row>
    <row r="1063">
      <c r="A1063" t="inlineStr">
        <is>
          <t>CLI-1061</t>
        </is>
      </c>
      <c r="B1063" t="inlineStr">
        <is>
          <t>Alejandro Toro Osorio</t>
        </is>
      </c>
      <c r="C1063" t="inlineStr">
        <is>
          <t>3106613790</t>
        </is>
      </c>
      <c r="D1063" t="inlineStr">
        <is>
          <t>alejandro.toro59@outlook.com</t>
        </is>
      </c>
      <c r="E1063" t="inlineStr">
        <is>
          <t>Medellín</t>
        </is>
      </c>
      <c r="F1063" t="inlineStr">
        <is>
          <t>PRY-003</t>
        </is>
      </c>
      <c r="G1063" t="inlineStr">
        <is>
          <t>Portal Web</t>
        </is>
      </c>
      <c r="H1063" t="inlineStr">
        <is>
          <t>Juliana Vélez</t>
        </is>
      </c>
      <c r="I1063" t="inlineStr">
        <is>
          <t>Perdido</t>
        </is>
      </c>
      <c r="J1063" s="28" t="n">
        <v>45620</v>
      </c>
      <c r="K1063" s="28" t="n">
        <v>45640</v>
      </c>
      <c r="L1063" t="inlineStr">
        <is>
          <t>No calificó para crédito</t>
        </is>
      </c>
    </row>
    <row r="1064">
      <c r="A1064" t="inlineStr">
        <is>
          <t>CLI-1062</t>
        </is>
      </c>
      <c r="B1064" t="inlineStr">
        <is>
          <t>Manuela Quintero Montoya</t>
        </is>
      </c>
      <c r="C1064" t="inlineStr">
        <is>
          <t>3176035178</t>
        </is>
      </c>
      <c r="D1064" t="inlineStr">
        <is>
          <t>manuela.quintero35@gmail.com</t>
        </is>
      </c>
      <c r="E1064" t="inlineStr">
        <is>
          <t>Sabaneta</t>
        </is>
      </c>
      <c r="F1064" t="inlineStr">
        <is>
          <t>PRY-004</t>
        </is>
      </c>
      <c r="G1064" t="inlineStr">
        <is>
          <t>Instagram</t>
        </is>
      </c>
      <c r="H1064" t="inlineStr">
        <is>
          <t>Andrés Torres</t>
        </is>
      </c>
      <c r="I1064" t="inlineStr">
        <is>
          <t>Perdido</t>
        </is>
      </c>
      <c r="J1064" s="28" t="n">
        <v>45620</v>
      </c>
      <c r="K1064" s="28" t="n">
        <v>45648</v>
      </c>
      <c r="L1064" t="inlineStr">
        <is>
          <t>Sin respuesta tras 3 contactos</t>
        </is>
      </c>
    </row>
    <row r="1065">
      <c r="A1065" t="inlineStr">
        <is>
          <t>CLI-1063</t>
        </is>
      </c>
      <c r="B1065" t="inlineStr">
        <is>
          <t>María Giraldo Henao</t>
        </is>
      </c>
      <c r="C1065" t="inlineStr">
        <is>
          <t>3155067565</t>
        </is>
      </c>
      <c r="D1065" t="inlineStr">
        <is>
          <t>maria.giraldo8@hotmail.com</t>
        </is>
      </c>
      <c r="E1065" t="inlineStr">
        <is>
          <t>Sabaneta</t>
        </is>
      </c>
      <c r="F1065" t="inlineStr">
        <is>
          <t>PRY-002</t>
        </is>
      </c>
      <c r="G1065" t="inlineStr">
        <is>
          <t>Portal Web</t>
        </is>
      </c>
      <c r="H1065" t="inlineStr">
        <is>
          <t>Miguel Salazar</t>
        </is>
      </c>
      <c r="I1065" t="inlineStr">
        <is>
          <t>Perdido</t>
        </is>
      </c>
      <c r="J1065" s="28" t="n">
        <v>45620</v>
      </c>
      <c r="K1065" s="28" t="n">
        <v>45650</v>
      </c>
      <c r="L1065" t="inlineStr">
        <is>
          <t>Sin respuesta tras 3 contactos</t>
        </is>
      </c>
    </row>
    <row r="1066">
      <c r="A1066" t="inlineStr">
        <is>
          <t>CLI-1064</t>
        </is>
      </c>
      <c r="B1066" t="inlineStr">
        <is>
          <t>Juan Pablo Echeverri Uribe</t>
        </is>
      </c>
      <c r="C1066" t="inlineStr">
        <is>
          <t>3204067115</t>
        </is>
      </c>
      <c r="D1066" t="inlineStr">
        <is>
          <t>juan.echeverri8@hotmail.com</t>
        </is>
      </c>
      <c r="E1066" t="inlineStr">
        <is>
          <t>Rionegro</t>
        </is>
      </c>
      <c r="F1066" t="inlineStr">
        <is>
          <t>PRY-005</t>
        </is>
      </c>
      <c r="G1066" t="inlineStr">
        <is>
          <t>Portal Web</t>
        </is>
      </c>
      <c r="H1066" t="inlineStr">
        <is>
          <t>Andrés Torres</t>
        </is>
      </c>
      <c r="I1066" t="inlineStr">
        <is>
          <t>Perdido</t>
        </is>
      </c>
      <c r="J1066" s="28" t="n">
        <v>45620</v>
      </c>
      <c r="K1066" s="28" t="n">
        <v>45633</v>
      </c>
      <c r="L1066" t="inlineStr">
        <is>
          <t>Datos de contacto errados</t>
        </is>
      </c>
    </row>
    <row r="1067">
      <c r="A1067" t="inlineStr">
        <is>
          <t>CLI-1065</t>
        </is>
      </c>
      <c r="B1067" t="inlineStr">
        <is>
          <t>Liliana Muñoz López</t>
        </is>
      </c>
      <c r="C1067" t="inlineStr">
        <is>
          <t>3201468939</t>
        </is>
      </c>
      <c r="D1067" t="inlineStr">
        <is>
          <t>liliana.munoz86@yahoo.com</t>
        </is>
      </c>
      <c r="E1067" t="inlineStr">
        <is>
          <t>Rionegro</t>
        </is>
      </c>
      <c r="F1067" t="inlineStr">
        <is>
          <t>PRY-003</t>
        </is>
      </c>
      <c r="G1067" t="inlineStr">
        <is>
          <t>Referido</t>
        </is>
      </c>
      <c r="H1067" t="inlineStr">
        <is>
          <t>Ana Quintero</t>
        </is>
      </c>
      <c r="I1067" t="inlineStr">
        <is>
          <t>Ganado</t>
        </is>
      </c>
      <c r="J1067" s="28" t="n">
        <v>45622</v>
      </c>
      <c r="K1067" s="28" t="n">
        <v>45701</v>
      </c>
      <c r="L1067" t="inlineStr">
        <is>
          <t>Compró Apto 1108 en Conecta Laureles</t>
        </is>
      </c>
    </row>
    <row r="1068">
      <c r="A1068" t="inlineStr">
        <is>
          <t>CLI-1066</t>
        </is>
      </c>
      <c r="B1068" t="inlineStr">
        <is>
          <t>Camila Muñoz Peláez</t>
        </is>
      </c>
      <c r="C1068" t="inlineStr">
        <is>
          <t>3043998531</t>
        </is>
      </c>
      <c r="D1068" t="inlineStr">
        <is>
          <t>camila.munoz38@outlook.com</t>
        </is>
      </c>
      <c r="E1068" t="inlineStr">
        <is>
          <t>Rionegro</t>
        </is>
      </c>
      <c r="F1068" t="inlineStr">
        <is>
          <t>PRY-003</t>
        </is>
      </c>
      <c r="G1068" t="inlineStr">
        <is>
          <t>Feria Inmobiliaria</t>
        </is>
      </c>
      <c r="H1068" t="inlineStr">
        <is>
          <t>Ana Quintero</t>
        </is>
      </c>
      <c r="I1068" t="inlineStr">
        <is>
          <t>Perdido</t>
        </is>
      </c>
      <c r="J1068" s="28" t="n">
        <v>45622</v>
      </c>
      <c r="K1068" s="28" t="n">
        <v>45642</v>
      </c>
      <c r="L1068" t="inlineStr">
        <is>
          <t>Sin respuesta tras 3 contactos</t>
        </is>
      </c>
    </row>
    <row r="1069">
      <c r="A1069" t="inlineStr">
        <is>
          <t>CLI-1067</t>
        </is>
      </c>
      <c r="B1069" t="inlineStr">
        <is>
          <t>Luisa Mejía Salcedo</t>
        </is>
      </c>
      <c r="C1069" t="inlineStr">
        <is>
          <t>3155594953</t>
        </is>
      </c>
      <c r="D1069" t="inlineStr">
        <is>
          <t>luisa.mejia16@hotmail.com</t>
        </is>
      </c>
      <c r="E1069" t="inlineStr">
        <is>
          <t>Rionegro</t>
        </is>
      </c>
      <c r="F1069" t="inlineStr">
        <is>
          <t>PRY-002</t>
        </is>
      </c>
      <c r="G1069" t="inlineStr">
        <is>
          <t>Feria Inmobiliaria</t>
        </is>
      </c>
      <c r="H1069" t="inlineStr">
        <is>
          <t>Miguel Salazar</t>
        </is>
      </c>
      <c r="I1069" t="inlineStr">
        <is>
          <t>Perdido</t>
        </is>
      </c>
      <c r="J1069" s="28" t="n">
        <v>45622</v>
      </c>
      <c r="K1069" s="28" t="n">
        <v>45641</v>
      </c>
      <c r="L1069" t="inlineStr">
        <is>
          <t>Datos de contacto errados</t>
        </is>
      </c>
    </row>
    <row r="1070">
      <c r="A1070" t="inlineStr">
        <is>
          <t>CLI-1068</t>
        </is>
      </c>
      <c r="B1070" t="inlineStr">
        <is>
          <t>Wilson Escobar Valencia</t>
        </is>
      </c>
      <c r="C1070" t="inlineStr">
        <is>
          <t>3207767530</t>
        </is>
      </c>
      <c r="D1070" t="inlineStr">
        <is>
          <t>wilson.escobar38@outlook.com</t>
        </is>
      </c>
      <c r="E1070" t="inlineStr">
        <is>
          <t>Rionegro</t>
        </is>
      </c>
      <c r="F1070" t="inlineStr">
        <is>
          <t>PRY-004</t>
        </is>
      </c>
      <c r="G1070" t="inlineStr">
        <is>
          <t>Portal Web</t>
        </is>
      </c>
      <c r="H1070" t="inlineStr">
        <is>
          <t>Santiago Muñoz</t>
        </is>
      </c>
      <c r="I1070" t="inlineStr">
        <is>
          <t>Perdido</t>
        </is>
      </c>
      <c r="J1070" s="28" t="n">
        <v>45622</v>
      </c>
      <c r="K1070" s="28" t="n">
        <v>45637</v>
      </c>
      <c r="L1070" t="inlineStr">
        <is>
          <t>No calificó para crédito</t>
        </is>
      </c>
    </row>
    <row r="1071">
      <c r="A1071" t="inlineStr">
        <is>
          <t>CLI-1069</t>
        </is>
      </c>
      <c r="B1071" t="inlineStr">
        <is>
          <t>Óscar Zuluaga Valencia</t>
        </is>
      </c>
      <c r="C1071" t="inlineStr">
        <is>
          <t>3224614886</t>
        </is>
      </c>
      <c r="D1071" t="inlineStr">
        <is>
          <t>oscar.zuluaga61@outlook.com</t>
        </is>
      </c>
      <c r="E1071" t="inlineStr">
        <is>
          <t>Itagüí</t>
        </is>
      </c>
      <c r="F1071" t="inlineStr">
        <is>
          <t>PRY-007</t>
        </is>
      </c>
      <c r="G1071" t="inlineStr">
        <is>
          <t>Llamada directa</t>
        </is>
      </c>
      <c r="H1071" t="inlineStr">
        <is>
          <t>Miguel Salazar</t>
        </is>
      </c>
      <c r="I1071" t="inlineStr">
        <is>
          <t>Ganado</t>
        </is>
      </c>
      <c r="J1071" s="28" t="n">
        <v>45623</v>
      </c>
      <c r="K1071" s="28" t="n">
        <v>45762</v>
      </c>
      <c r="L1071" t="inlineStr">
        <is>
          <t>Compró Apto 1602 en Mirador de Envigado</t>
        </is>
      </c>
    </row>
    <row r="1072">
      <c r="A1072" t="inlineStr">
        <is>
          <t>CLI-1070</t>
        </is>
      </c>
      <c r="B1072" t="inlineStr">
        <is>
          <t>Ricardo Marín Henao</t>
        </is>
      </c>
      <c r="C1072" t="inlineStr">
        <is>
          <t>3227142914</t>
        </is>
      </c>
      <c r="D1072" t="inlineStr">
        <is>
          <t>ricardo.marin10@yahoo.com</t>
        </is>
      </c>
      <c r="E1072" t="inlineStr">
        <is>
          <t>Medellín</t>
        </is>
      </c>
      <c r="F1072" t="inlineStr">
        <is>
          <t>PRY-004</t>
        </is>
      </c>
      <c r="G1072" t="inlineStr">
        <is>
          <t>Llamada directa</t>
        </is>
      </c>
      <c r="H1072" t="inlineStr">
        <is>
          <t>Santiago Muñoz</t>
        </is>
      </c>
      <c r="I1072" t="inlineStr">
        <is>
          <t>Perdido</t>
        </is>
      </c>
      <c r="J1072" s="28" t="n">
        <v>45623</v>
      </c>
      <c r="K1072" s="28" t="n">
        <v>45647</v>
      </c>
      <c r="L1072" t="inlineStr">
        <is>
          <t>Buscaba arriendo, no compra</t>
        </is>
      </c>
    </row>
    <row r="1073">
      <c r="A1073" t="inlineStr">
        <is>
          <t>CLI-1071</t>
        </is>
      </c>
      <c r="B1073" t="inlineStr">
        <is>
          <t>Iván Álvarez Ríos</t>
        </is>
      </c>
      <c r="C1073" t="inlineStr">
        <is>
          <t>3242548666</t>
        </is>
      </c>
      <c r="D1073" t="inlineStr">
        <is>
          <t>ivan.alvarez34@gmail.com</t>
        </is>
      </c>
      <c r="E1073" t="inlineStr">
        <is>
          <t>Medellín</t>
        </is>
      </c>
      <c r="F1073" t="inlineStr">
        <is>
          <t>PRY-003</t>
        </is>
      </c>
      <c r="G1073" t="inlineStr">
        <is>
          <t>Portal Web</t>
        </is>
      </c>
      <c r="H1073" t="inlineStr">
        <is>
          <t>Ana Quintero</t>
        </is>
      </c>
      <c r="I1073" t="inlineStr">
        <is>
          <t>Perdido</t>
        </is>
      </c>
      <c r="J1073" s="28" t="n">
        <v>45623</v>
      </c>
      <c r="K1073" s="28" t="n">
        <v>45647</v>
      </c>
      <c r="L1073" t="inlineStr">
        <is>
          <t>Sin respuesta tras 3 contactos</t>
        </is>
      </c>
    </row>
    <row r="1074">
      <c r="A1074" t="inlineStr">
        <is>
          <t>CLI-1072</t>
        </is>
      </c>
      <c r="B1074" t="inlineStr">
        <is>
          <t>Juliana Marín Muñoz</t>
        </is>
      </c>
      <c r="C1074" t="inlineStr">
        <is>
          <t>3227941509</t>
        </is>
      </c>
      <c r="D1074" t="inlineStr">
        <is>
          <t>juliana.marin15@outlook.com</t>
        </is>
      </c>
      <c r="E1074" t="inlineStr">
        <is>
          <t>Medellín</t>
        </is>
      </c>
      <c r="F1074" t="inlineStr">
        <is>
          <t>PRY-004</t>
        </is>
      </c>
      <c r="G1074" t="inlineStr">
        <is>
          <t>Feria Inmobiliaria</t>
        </is>
      </c>
      <c r="H1074" t="inlineStr">
        <is>
          <t>Paula Arenas</t>
        </is>
      </c>
      <c r="I1074" t="inlineStr">
        <is>
          <t>Perdido</t>
        </is>
      </c>
      <c r="J1074" s="28" t="n">
        <v>45625</v>
      </c>
      <c r="K1074" s="28" t="n">
        <v>45720</v>
      </c>
      <c r="L1074" t="inlineStr">
        <is>
          <t>Desistió de la compra</t>
        </is>
      </c>
    </row>
    <row r="1075">
      <c r="A1075" t="inlineStr">
        <is>
          <t>CLI-1073</t>
        </is>
      </c>
      <c r="B1075" t="inlineStr">
        <is>
          <t>Esteban Gaviria Vásquez</t>
        </is>
      </c>
      <c r="C1075" t="inlineStr">
        <is>
          <t>3173784947</t>
        </is>
      </c>
      <c r="D1075" t="inlineStr">
        <is>
          <t>esteban.gaviria10@hotmail.com</t>
        </is>
      </c>
      <c r="E1075" t="inlineStr">
        <is>
          <t>Envigado</t>
        </is>
      </c>
      <c r="F1075" t="inlineStr">
        <is>
          <t>PRY-007</t>
        </is>
      </c>
      <c r="G1075" t="inlineStr">
        <is>
          <t>Facebook</t>
        </is>
      </c>
      <c r="H1075" t="inlineStr">
        <is>
          <t>Luis Bedoya</t>
        </is>
      </c>
      <c r="I1075" t="inlineStr">
        <is>
          <t>Perdido</t>
        </is>
      </c>
      <c r="J1075" s="28" t="n">
        <v>45625</v>
      </c>
      <c r="K1075" s="28" t="n">
        <v>45631</v>
      </c>
      <c r="L1075" t="inlineStr">
        <is>
          <t>Presupuesto insuficiente</t>
        </is>
      </c>
    </row>
    <row r="1076">
      <c r="A1076" t="inlineStr">
        <is>
          <t>CLI-1074</t>
        </is>
      </c>
      <c r="B1076" t="inlineStr">
        <is>
          <t>Manuela Franco Mejía</t>
        </is>
      </c>
      <c r="C1076" t="inlineStr">
        <is>
          <t>3231128847</t>
        </is>
      </c>
      <c r="D1076" t="inlineStr">
        <is>
          <t>manuela.franco74@yahoo.com</t>
        </is>
      </c>
      <c r="E1076" t="inlineStr">
        <is>
          <t>Medellín</t>
        </is>
      </c>
      <c r="F1076" t="inlineStr">
        <is>
          <t>PRY-002</t>
        </is>
      </c>
      <c r="G1076" t="inlineStr">
        <is>
          <t>Facebook</t>
        </is>
      </c>
      <c r="H1076" t="inlineStr">
        <is>
          <t>Luis Bedoya</t>
        </is>
      </c>
      <c r="I1076" t="inlineStr">
        <is>
          <t>Perdido</t>
        </is>
      </c>
      <c r="J1076" s="28" t="n">
        <v>45625</v>
      </c>
      <c r="K1076" s="28" t="n">
        <v>45641</v>
      </c>
      <c r="L1076" t="inlineStr">
        <is>
          <t>Sin respuesta tras 3 contactos</t>
        </is>
      </c>
    </row>
    <row r="1077">
      <c r="A1077" t="inlineStr">
        <is>
          <t>CLI-1075</t>
        </is>
      </c>
      <c r="B1077" t="inlineStr">
        <is>
          <t>Laura Vásquez Duque</t>
        </is>
      </c>
      <c r="C1077" t="inlineStr">
        <is>
          <t>3173019160</t>
        </is>
      </c>
      <c r="D1077" t="inlineStr">
        <is>
          <t>laura.vasquez61@hotmail.com</t>
        </is>
      </c>
      <c r="E1077" t="inlineStr">
        <is>
          <t>Bello</t>
        </is>
      </c>
      <c r="F1077" t="inlineStr">
        <is>
          <t>PRY-004</t>
        </is>
      </c>
      <c r="G1077" t="inlineStr">
        <is>
          <t>Portal Web</t>
        </is>
      </c>
      <c r="H1077" t="inlineStr">
        <is>
          <t>Paula Arenas</t>
        </is>
      </c>
      <c r="I1077" t="inlineStr">
        <is>
          <t>Perdido</t>
        </is>
      </c>
      <c r="J1077" s="28" t="n">
        <v>45626</v>
      </c>
      <c r="K1077" s="28" t="n">
        <v>45708</v>
      </c>
      <c r="L1077" t="inlineStr">
        <is>
          <t>Desistió de la compra</t>
        </is>
      </c>
    </row>
    <row r="1078">
      <c r="A1078" t="inlineStr">
        <is>
          <t>CLI-1076</t>
        </is>
      </c>
      <c r="B1078" t="inlineStr">
        <is>
          <t>Natalia Higuita Peláez</t>
        </is>
      </c>
      <c r="C1078" t="inlineStr">
        <is>
          <t>3201102637</t>
        </is>
      </c>
      <c r="D1078" t="inlineStr">
        <is>
          <t>natalia.higuita36@yahoo.com</t>
        </is>
      </c>
      <c r="E1078" t="inlineStr">
        <is>
          <t>Envigado</t>
        </is>
      </c>
      <c r="F1078" t="inlineStr">
        <is>
          <t>PRY-007</t>
        </is>
      </c>
      <c r="G1078" t="inlineStr">
        <is>
          <t>Feria Inmobiliaria</t>
        </is>
      </c>
      <c r="H1078" t="inlineStr">
        <is>
          <t>Santiago Muñoz</t>
        </is>
      </c>
      <c r="I1078" t="inlineStr">
        <is>
          <t>Perdido</t>
        </is>
      </c>
      <c r="J1078" s="28" t="n">
        <v>45626</v>
      </c>
      <c r="K1078" s="28" t="n">
        <v>45640</v>
      </c>
      <c r="L1078" t="inlineStr">
        <is>
          <t>Sin respuesta tras 3 contactos</t>
        </is>
      </c>
    </row>
    <row r="1079">
      <c r="A1079" t="inlineStr">
        <is>
          <t>CLI-1077</t>
        </is>
      </c>
      <c r="B1079" t="inlineStr">
        <is>
          <t>Carlos Echeverri Agudelo</t>
        </is>
      </c>
      <c r="C1079" t="inlineStr">
        <is>
          <t>3229466548</t>
        </is>
      </c>
      <c r="D1079" t="inlineStr">
        <is>
          <t>carlos.echeverri79@outlook.com</t>
        </is>
      </c>
      <c r="E1079" t="inlineStr">
        <is>
          <t>Medellín</t>
        </is>
      </c>
      <c r="F1079" t="inlineStr">
        <is>
          <t>PRY-003</t>
        </is>
      </c>
      <c r="G1079" t="inlineStr">
        <is>
          <t>Instagram</t>
        </is>
      </c>
      <c r="H1079" t="inlineStr">
        <is>
          <t>Paula Arenas</t>
        </is>
      </c>
      <c r="I1079" t="inlineStr">
        <is>
          <t>Perdido</t>
        </is>
      </c>
      <c r="J1079" s="28" t="n">
        <v>45628</v>
      </c>
      <c r="K1079" s="28" t="n">
        <v>45634</v>
      </c>
      <c r="L1079" t="inlineStr">
        <is>
          <t>No calificó para crédito</t>
        </is>
      </c>
    </row>
    <row r="1080">
      <c r="A1080" t="inlineStr">
        <is>
          <t>CLI-1078</t>
        </is>
      </c>
      <c r="B1080" t="inlineStr">
        <is>
          <t>Marcela Gómez Ochoa</t>
        </is>
      </c>
      <c r="C1080" t="inlineStr">
        <is>
          <t>3237756840</t>
        </is>
      </c>
      <c r="D1080" t="inlineStr">
        <is>
          <t>marcela.gomez29@outlook.com</t>
        </is>
      </c>
      <c r="E1080" t="inlineStr">
        <is>
          <t>Medellín</t>
        </is>
      </c>
      <c r="F1080" t="inlineStr">
        <is>
          <t>PRY-004</t>
        </is>
      </c>
      <c r="G1080" t="inlineStr">
        <is>
          <t>Facebook</t>
        </is>
      </c>
      <c r="H1080" t="inlineStr">
        <is>
          <t>Luis Bedoya</t>
        </is>
      </c>
      <c r="I1080" t="inlineStr">
        <is>
          <t>Perdido</t>
        </is>
      </c>
      <c r="J1080" s="28" t="n">
        <v>45628</v>
      </c>
      <c r="K1080" s="28" t="n">
        <v>45645</v>
      </c>
      <c r="L1080" t="inlineStr">
        <is>
          <t>Sin respuesta tras 3 contactos</t>
        </is>
      </c>
    </row>
    <row r="1081">
      <c r="A1081" t="inlineStr">
        <is>
          <t>CLI-1079</t>
        </is>
      </c>
      <c r="B1081" t="inlineStr">
        <is>
          <t>Andrés Montoya Palacio</t>
        </is>
      </c>
      <c r="C1081" t="inlineStr">
        <is>
          <t>3103968070</t>
        </is>
      </c>
      <c r="D1081" t="inlineStr">
        <is>
          <t>andres.montoya91@gmail.com</t>
        </is>
      </c>
      <c r="E1081" t="inlineStr">
        <is>
          <t>Medellín</t>
        </is>
      </c>
      <c r="F1081" t="inlineStr">
        <is>
          <t>PRY-003</t>
        </is>
      </c>
      <c r="G1081" t="inlineStr">
        <is>
          <t>Feria Inmobiliaria</t>
        </is>
      </c>
      <c r="H1081" t="inlineStr">
        <is>
          <t>Ana Quintero</t>
        </is>
      </c>
      <c r="I1081" t="inlineStr">
        <is>
          <t>Perdido</t>
        </is>
      </c>
      <c r="J1081" s="28" t="n">
        <v>45629</v>
      </c>
      <c r="K1081" s="28" t="n">
        <v>45698</v>
      </c>
      <c r="L1081" t="inlineStr">
        <is>
          <t>Precio fuera de presupuesto</t>
        </is>
      </c>
    </row>
    <row r="1082">
      <c r="A1082" t="inlineStr">
        <is>
          <t>CLI-1080</t>
        </is>
      </c>
      <c r="B1082" t="inlineStr">
        <is>
          <t>Simón Cardona Mejía</t>
        </is>
      </c>
      <c r="C1082" t="inlineStr">
        <is>
          <t>3208432813</t>
        </is>
      </c>
      <c r="D1082" t="inlineStr">
        <is>
          <t>simon.cardona94@gmail.com</t>
        </is>
      </c>
      <c r="E1082" t="inlineStr">
        <is>
          <t>Medellín</t>
        </is>
      </c>
      <c r="F1082" t="inlineStr">
        <is>
          <t>PRY-004</t>
        </is>
      </c>
      <c r="G1082" t="inlineStr">
        <is>
          <t>Referido</t>
        </is>
      </c>
      <c r="H1082" t="inlineStr">
        <is>
          <t>Luis Bedoya</t>
        </is>
      </c>
      <c r="I1082" t="inlineStr">
        <is>
          <t>Perdido</t>
        </is>
      </c>
      <c r="J1082" s="28" t="n">
        <v>45629</v>
      </c>
      <c r="K1082" s="28" t="n">
        <v>45727</v>
      </c>
      <c r="L1082" t="inlineStr">
        <is>
          <t>Precio fuera de presupuesto</t>
        </is>
      </c>
    </row>
    <row r="1083">
      <c r="A1083" t="inlineStr">
        <is>
          <t>CLI-1081</t>
        </is>
      </c>
      <c r="B1083" t="inlineStr">
        <is>
          <t>Nicolás Valencia Cardona</t>
        </is>
      </c>
      <c r="C1083" t="inlineStr">
        <is>
          <t>3175219729</t>
        </is>
      </c>
      <c r="D1083" t="inlineStr">
        <is>
          <t>nicolas.valencia74@outlook.com</t>
        </is>
      </c>
      <c r="E1083" t="inlineStr">
        <is>
          <t>Medellín</t>
        </is>
      </c>
      <c r="F1083" t="inlineStr">
        <is>
          <t>PRY-003</t>
        </is>
      </c>
      <c r="G1083" t="inlineStr">
        <is>
          <t>Instagram</t>
        </is>
      </c>
      <c r="H1083" t="inlineStr">
        <is>
          <t>Miguel Salazar</t>
        </is>
      </c>
      <c r="I1083" t="inlineStr">
        <is>
          <t>Perdido</t>
        </is>
      </c>
      <c r="J1083" s="28" t="n">
        <v>45629</v>
      </c>
      <c r="K1083" s="28" t="n">
        <v>45659</v>
      </c>
      <c r="L1083" t="inlineStr">
        <is>
          <t>Buscaba arriendo, no compra</t>
        </is>
      </c>
    </row>
    <row r="1084">
      <c r="A1084" t="inlineStr">
        <is>
          <t>CLI-1082</t>
        </is>
      </c>
      <c r="B1084" t="inlineStr">
        <is>
          <t>Nicolás Espinosa Vargas</t>
        </is>
      </c>
      <c r="C1084" t="inlineStr">
        <is>
          <t>3208045850</t>
        </is>
      </c>
      <c r="D1084" t="inlineStr">
        <is>
          <t>nicolas.espinosa48@gmail.com</t>
        </is>
      </c>
      <c r="E1084" t="inlineStr">
        <is>
          <t>Envigado</t>
        </is>
      </c>
      <c r="F1084" t="inlineStr">
        <is>
          <t>PRY-001</t>
        </is>
      </c>
      <c r="G1084" t="inlineStr">
        <is>
          <t>Portal Web</t>
        </is>
      </c>
      <c r="H1084" t="inlineStr">
        <is>
          <t>Sofía Prada</t>
        </is>
      </c>
      <c r="I1084" t="inlineStr">
        <is>
          <t>Perdido</t>
        </is>
      </c>
      <c r="J1084" s="28" t="n">
        <v>45629</v>
      </c>
      <c r="K1084" s="28" t="n">
        <v>45646</v>
      </c>
      <c r="L1084" t="inlineStr">
        <is>
          <t>Datos de contacto errados</t>
        </is>
      </c>
    </row>
    <row r="1085">
      <c r="A1085" t="inlineStr">
        <is>
          <t>CLI-1083</t>
        </is>
      </c>
      <c r="B1085" t="inlineStr">
        <is>
          <t>Iván Gaviria Vásquez</t>
        </is>
      </c>
      <c r="C1085" t="inlineStr">
        <is>
          <t>3132583206</t>
        </is>
      </c>
      <c r="D1085" t="inlineStr">
        <is>
          <t>ivan.gaviria70@gmail.com</t>
        </is>
      </c>
      <c r="E1085" t="inlineStr">
        <is>
          <t>Rionegro</t>
        </is>
      </c>
      <c r="F1085" t="inlineStr">
        <is>
          <t>PRY-007</t>
        </is>
      </c>
      <c r="G1085" t="inlineStr">
        <is>
          <t>Feria Inmobiliaria</t>
        </is>
      </c>
      <c r="H1085" t="inlineStr">
        <is>
          <t>Andrés Torres</t>
        </is>
      </c>
      <c r="I1085" t="inlineStr">
        <is>
          <t>Perdido</t>
        </is>
      </c>
      <c r="J1085" s="28" t="n">
        <v>45629</v>
      </c>
      <c r="K1085" s="28" t="n">
        <v>45644</v>
      </c>
      <c r="L1085" t="inlineStr">
        <is>
          <t>No calificó para crédito</t>
        </is>
      </c>
    </row>
    <row r="1086">
      <c r="A1086" t="inlineStr">
        <is>
          <t>CLI-1084</t>
        </is>
      </c>
      <c r="B1086" t="inlineStr">
        <is>
          <t>Patricia Cano Zapata</t>
        </is>
      </c>
      <c r="C1086" t="inlineStr">
        <is>
          <t>3241515262</t>
        </is>
      </c>
      <c r="D1086" t="inlineStr">
        <is>
          <t>patricia.cano64@outlook.com</t>
        </is>
      </c>
      <c r="E1086" t="inlineStr">
        <is>
          <t>Itagüí</t>
        </is>
      </c>
      <c r="F1086" t="inlineStr">
        <is>
          <t>PRY-001</t>
        </is>
      </c>
      <c r="G1086" t="inlineStr">
        <is>
          <t>Referido</t>
        </is>
      </c>
      <c r="H1086" t="inlineStr">
        <is>
          <t>Ana Quintero</t>
        </is>
      </c>
      <c r="I1086" t="inlineStr">
        <is>
          <t>Perdido</t>
        </is>
      </c>
      <c r="J1086" s="28" t="n">
        <v>45630</v>
      </c>
      <c r="K1086" s="28" t="n">
        <v>45703</v>
      </c>
      <c r="L1086" t="inlineStr">
        <is>
          <t>Precio fuera de presupuesto</t>
        </is>
      </c>
    </row>
    <row r="1087">
      <c r="A1087" t="inlineStr">
        <is>
          <t>CLI-1085</t>
        </is>
      </c>
      <c r="B1087" t="inlineStr">
        <is>
          <t>Gabriel Zuluaga Quintero</t>
        </is>
      </c>
      <c r="C1087" t="inlineStr">
        <is>
          <t>3008528046</t>
        </is>
      </c>
      <c r="D1087" t="inlineStr">
        <is>
          <t>gabriel.zuluaga89@yahoo.com</t>
        </is>
      </c>
      <c r="E1087" t="inlineStr">
        <is>
          <t>Itagüí</t>
        </is>
      </c>
      <c r="F1087" t="inlineStr">
        <is>
          <t>PRY-003</t>
        </is>
      </c>
      <c r="G1087" t="inlineStr">
        <is>
          <t>Facebook</t>
        </is>
      </c>
      <c r="H1087" t="inlineStr">
        <is>
          <t>Juliana Vélez</t>
        </is>
      </c>
      <c r="I1087" t="inlineStr">
        <is>
          <t>Ganado</t>
        </is>
      </c>
      <c r="J1087" s="28" t="n">
        <v>45631</v>
      </c>
      <c r="K1087" s="28" t="n">
        <v>45703</v>
      </c>
      <c r="L1087" t="inlineStr">
        <is>
          <t>Compró Apto 806 en Conecta Laureles</t>
        </is>
      </c>
    </row>
    <row r="1088">
      <c r="A1088" t="inlineStr">
        <is>
          <t>CLI-1086</t>
        </is>
      </c>
      <c r="B1088" t="inlineStr">
        <is>
          <t>Simón Correa Ochoa</t>
        </is>
      </c>
      <c r="C1088" t="inlineStr">
        <is>
          <t>3105769656</t>
        </is>
      </c>
      <c r="D1088" t="inlineStr">
        <is>
          <t>simon.correa84@gmail.com</t>
        </is>
      </c>
      <c r="E1088" t="inlineStr">
        <is>
          <t>Medellín</t>
        </is>
      </c>
      <c r="F1088" t="inlineStr">
        <is>
          <t>PRY-003</t>
        </is>
      </c>
      <c r="G1088" t="inlineStr">
        <is>
          <t>Feria Inmobiliaria</t>
        </is>
      </c>
      <c r="H1088" t="inlineStr">
        <is>
          <t>Paula Arenas</t>
        </is>
      </c>
      <c r="I1088" t="inlineStr">
        <is>
          <t>Ganado</t>
        </is>
      </c>
      <c r="J1088" s="28" t="n">
        <v>45631</v>
      </c>
      <c r="K1088" s="28" t="n">
        <v>45741</v>
      </c>
      <c r="L1088" t="inlineStr">
        <is>
          <t>Compró Apto 1805 en Conecta Laureles</t>
        </is>
      </c>
    </row>
    <row r="1089">
      <c r="A1089" t="inlineStr">
        <is>
          <t>CLI-1087</t>
        </is>
      </c>
      <c r="B1089" t="inlineStr">
        <is>
          <t>Esteban Valencia López</t>
        </is>
      </c>
      <c r="C1089" t="inlineStr">
        <is>
          <t>3146861438</t>
        </is>
      </c>
      <c r="D1089" t="inlineStr">
        <is>
          <t>esteban.valencia73@gmail.com</t>
        </is>
      </c>
      <c r="E1089" t="inlineStr">
        <is>
          <t>Itagüí</t>
        </is>
      </c>
      <c r="F1089" t="inlineStr">
        <is>
          <t>PRY-004</t>
        </is>
      </c>
      <c r="G1089" t="inlineStr">
        <is>
          <t>Portal Web</t>
        </is>
      </c>
      <c r="H1089" t="inlineStr">
        <is>
          <t>Paula Arenas</t>
        </is>
      </c>
      <c r="I1089" t="inlineStr">
        <is>
          <t>Perdido</t>
        </is>
      </c>
      <c r="J1089" s="28" t="n">
        <v>45631</v>
      </c>
      <c r="K1089" s="28" t="n">
        <v>45655</v>
      </c>
      <c r="L1089" t="inlineStr">
        <is>
          <t>Buscaba arriendo, no compra</t>
        </is>
      </c>
    </row>
    <row r="1090">
      <c r="A1090" t="inlineStr">
        <is>
          <t>CLI-1088</t>
        </is>
      </c>
      <c r="B1090" t="inlineStr">
        <is>
          <t>Diana López Cifuentes</t>
        </is>
      </c>
      <c r="C1090" t="inlineStr">
        <is>
          <t>3247440546</t>
        </is>
      </c>
      <c r="D1090" t="inlineStr">
        <is>
          <t>diana.lopez22@outlook.com</t>
        </is>
      </c>
      <c r="E1090" t="inlineStr">
        <is>
          <t>Sabaneta</t>
        </is>
      </c>
      <c r="F1090" t="inlineStr">
        <is>
          <t>PRY-004</t>
        </is>
      </c>
      <c r="G1090" t="inlineStr">
        <is>
          <t>Referido</t>
        </is>
      </c>
      <c r="H1090" t="inlineStr">
        <is>
          <t>Luis Bedoya</t>
        </is>
      </c>
      <c r="I1090" t="inlineStr">
        <is>
          <t>Ganado</t>
        </is>
      </c>
      <c r="J1090" s="28" t="n">
        <v>45632</v>
      </c>
      <c r="K1090" s="28" t="n">
        <v>45733</v>
      </c>
      <c r="L1090" t="inlineStr">
        <is>
          <t>Compró Casa 17 en Altavista Park</t>
        </is>
      </c>
    </row>
    <row r="1091">
      <c r="A1091" t="inlineStr">
        <is>
          <t>CLI-1089</t>
        </is>
      </c>
      <c r="B1091" t="inlineStr">
        <is>
          <t>Ximena Uribe Osorio</t>
        </is>
      </c>
      <c r="C1091" t="inlineStr">
        <is>
          <t>3138910749</t>
        </is>
      </c>
      <c r="D1091" t="inlineStr">
        <is>
          <t>ximena.uribe56@hotmail.com</t>
        </is>
      </c>
      <c r="E1091" t="inlineStr">
        <is>
          <t>Itagüí</t>
        </is>
      </c>
      <c r="F1091" t="inlineStr">
        <is>
          <t>PRY-007</t>
        </is>
      </c>
      <c r="G1091" t="inlineStr">
        <is>
          <t>Facebook</t>
        </is>
      </c>
      <c r="H1091" t="inlineStr">
        <is>
          <t>Ana Quintero</t>
        </is>
      </c>
      <c r="I1091" t="inlineStr">
        <is>
          <t>Ganado</t>
        </is>
      </c>
      <c r="J1091" s="28" t="n">
        <v>45632</v>
      </c>
      <c r="K1091" s="28" t="n">
        <v>45728</v>
      </c>
      <c r="L1091" t="inlineStr">
        <is>
          <t>Compró Apto 1103 en Mirador de Envigado</t>
        </is>
      </c>
    </row>
    <row r="1092">
      <c r="A1092" t="inlineStr">
        <is>
          <t>CLI-1090</t>
        </is>
      </c>
      <c r="B1092" t="inlineStr">
        <is>
          <t>Natalia Henao Peláez</t>
        </is>
      </c>
      <c r="C1092" t="inlineStr">
        <is>
          <t>3146579124</t>
        </is>
      </c>
      <c r="D1092" t="inlineStr">
        <is>
          <t>natalia.henao43@hotmail.com</t>
        </is>
      </c>
      <c r="E1092" t="inlineStr">
        <is>
          <t>Envigado</t>
        </is>
      </c>
      <c r="F1092" t="inlineStr">
        <is>
          <t>PRY-007</t>
        </is>
      </c>
      <c r="G1092" t="inlineStr">
        <is>
          <t>Referido</t>
        </is>
      </c>
      <c r="H1092" t="inlineStr">
        <is>
          <t>Miguel Salazar</t>
        </is>
      </c>
      <c r="I1092" t="inlineStr">
        <is>
          <t>Perdido</t>
        </is>
      </c>
      <c r="J1092" s="28" t="n">
        <v>45632</v>
      </c>
      <c r="K1092" s="28" t="n">
        <v>45654</v>
      </c>
      <c r="L1092" t="inlineStr">
        <is>
          <t>Datos de contacto errados</t>
        </is>
      </c>
    </row>
    <row r="1093">
      <c r="A1093" t="inlineStr">
        <is>
          <t>CLI-1091</t>
        </is>
      </c>
      <c r="B1093" t="inlineStr">
        <is>
          <t>Carlos Castaño Castaño</t>
        </is>
      </c>
      <c r="C1093" t="inlineStr">
        <is>
          <t>3174022738</t>
        </is>
      </c>
      <c r="D1093" t="inlineStr">
        <is>
          <t>carlos.castano16@gmail.com</t>
        </is>
      </c>
      <c r="E1093" t="inlineStr">
        <is>
          <t>Medellín</t>
        </is>
      </c>
      <c r="F1093" t="inlineStr">
        <is>
          <t>PRY-003</t>
        </is>
      </c>
      <c r="G1093" t="inlineStr">
        <is>
          <t>Portal Web</t>
        </is>
      </c>
      <c r="H1093" t="inlineStr">
        <is>
          <t>Miguel Salazar</t>
        </is>
      </c>
      <c r="I1093" t="inlineStr">
        <is>
          <t>Perdido</t>
        </is>
      </c>
      <c r="J1093" s="28" t="n">
        <v>45632</v>
      </c>
      <c r="K1093" s="28" t="n">
        <v>45647</v>
      </c>
      <c r="L1093" t="inlineStr">
        <is>
          <t>Sin respuesta tras 3 contactos</t>
        </is>
      </c>
    </row>
    <row r="1094">
      <c r="A1094" t="inlineStr">
        <is>
          <t>CLI-1092</t>
        </is>
      </c>
      <c r="B1094" t="inlineStr">
        <is>
          <t>Sara Betancur Ramírez</t>
        </is>
      </c>
      <c r="C1094" t="inlineStr">
        <is>
          <t>3139696988</t>
        </is>
      </c>
      <c r="D1094" t="inlineStr">
        <is>
          <t>sara.betancur83@hotmail.com</t>
        </is>
      </c>
      <c r="E1094" t="inlineStr">
        <is>
          <t>Bello</t>
        </is>
      </c>
      <c r="F1094" t="inlineStr">
        <is>
          <t>PRY-005</t>
        </is>
      </c>
      <c r="G1094" t="inlineStr">
        <is>
          <t>Feria Inmobiliaria</t>
        </is>
      </c>
      <c r="H1094" t="inlineStr">
        <is>
          <t>Miguel Salazar</t>
        </is>
      </c>
      <c r="I1094" t="inlineStr">
        <is>
          <t>Perdido</t>
        </is>
      </c>
      <c r="J1094" s="28" t="n">
        <v>45632</v>
      </c>
      <c r="K1094" s="28" t="n">
        <v>45637</v>
      </c>
      <c r="L1094" t="inlineStr">
        <is>
          <t>Presupuesto insuficiente</t>
        </is>
      </c>
    </row>
    <row r="1095">
      <c r="A1095" t="inlineStr">
        <is>
          <t>CLI-1093</t>
        </is>
      </c>
      <c r="B1095" t="inlineStr">
        <is>
          <t>Gabriel Osorio Londoño</t>
        </is>
      </c>
      <c r="C1095" t="inlineStr">
        <is>
          <t>3107654183</t>
        </is>
      </c>
      <c r="D1095" t="inlineStr">
        <is>
          <t>gabriel.osorio82@gmail.com</t>
        </is>
      </c>
      <c r="E1095" t="inlineStr">
        <is>
          <t>Medellín</t>
        </is>
      </c>
      <c r="F1095" t="inlineStr">
        <is>
          <t>PRY-001</t>
        </is>
      </c>
      <c r="G1095" t="inlineStr">
        <is>
          <t>Portal Web</t>
        </is>
      </c>
      <c r="H1095" t="inlineStr">
        <is>
          <t>Miguel Salazar</t>
        </is>
      </c>
      <c r="I1095" t="inlineStr">
        <is>
          <t>Perdido</t>
        </is>
      </c>
      <c r="J1095" s="28" t="n">
        <v>45633</v>
      </c>
      <c r="K1095" s="28" t="n">
        <v>45736</v>
      </c>
      <c r="L1095" t="inlineStr">
        <is>
          <t>Eligió otro proyecto</t>
        </is>
      </c>
    </row>
    <row r="1096">
      <c r="A1096" t="inlineStr">
        <is>
          <t>CLI-1094</t>
        </is>
      </c>
      <c r="B1096" t="inlineStr">
        <is>
          <t>Iván Ramírez Arango</t>
        </is>
      </c>
      <c r="C1096" t="inlineStr">
        <is>
          <t>3239340144</t>
        </is>
      </c>
      <c r="D1096" t="inlineStr">
        <is>
          <t>ivan.ramirez69@yahoo.com</t>
        </is>
      </c>
      <c r="E1096" t="inlineStr">
        <is>
          <t>Medellín</t>
        </is>
      </c>
      <c r="F1096" t="inlineStr">
        <is>
          <t>PRY-003</t>
        </is>
      </c>
      <c r="G1096" t="inlineStr">
        <is>
          <t>Instagram</t>
        </is>
      </c>
      <c r="H1096" t="inlineStr">
        <is>
          <t>Miguel Salazar</t>
        </is>
      </c>
      <c r="I1096" t="inlineStr">
        <is>
          <t>Perdido</t>
        </is>
      </c>
      <c r="J1096" s="28" t="n">
        <v>45633</v>
      </c>
      <c r="K1096" s="28" t="n">
        <v>45642</v>
      </c>
      <c r="L1096" t="inlineStr">
        <is>
          <t>Sin respuesta tras 3 contactos</t>
        </is>
      </c>
    </row>
    <row r="1097">
      <c r="A1097" t="inlineStr">
        <is>
          <t>CLI-1095</t>
        </is>
      </c>
      <c r="B1097" t="inlineStr">
        <is>
          <t>Carolina Betancur Londoño</t>
        </is>
      </c>
      <c r="C1097" t="inlineStr">
        <is>
          <t>3224998846</t>
        </is>
      </c>
      <c r="D1097" t="inlineStr">
        <is>
          <t>carolina.betancur15@gmail.com</t>
        </is>
      </c>
      <c r="E1097" t="inlineStr">
        <is>
          <t>Envigado</t>
        </is>
      </c>
      <c r="F1097" t="inlineStr">
        <is>
          <t>PRY-003</t>
        </is>
      </c>
      <c r="G1097" t="inlineStr">
        <is>
          <t>Portal Web</t>
        </is>
      </c>
      <c r="H1097" t="inlineStr">
        <is>
          <t>Santiago Muñoz</t>
        </is>
      </c>
      <c r="I1097" t="inlineStr">
        <is>
          <t>Perdido</t>
        </is>
      </c>
      <c r="J1097" s="28" t="n">
        <v>45633</v>
      </c>
      <c r="K1097" s="28" t="n">
        <v>45654</v>
      </c>
      <c r="L1097" t="inlineStr">
        <is>
          <t>Buscaba arriendo, no compra</t>
        </is>
      </c>
    </row>
    <row r="1098">
      <c r="A1098" t="inlineStr">
        <is>
          <t>CLI-1096</t>
        </is>
      </c>
      <c r="B1098" t="inlineStr">
        <is>
          <t>Valeria Toro Restrepo</t>
        </is>
      </c>
      <c r="C1098" t="inlineStr">
        <is>
          <t>3101868445</t>
        </is>
      </c>
      <c r="D1098" t="inlineStr">
        <is>
          <t>valeria.toro20@outlook.com</t>
        </is>
      </c>
      <c r="E1098" t="inlineStr">
        <is>
          <t>Medellín</t>
        </is>
      </c>
      <c r="F1098" t="inlineStr">
        <is>
          <t>PRY-001</t>
        </is>
      </c>
      <c r="G1098" t="inlineStr">
        <is>
          <t>Feria Inmobiliaria</t>
        </is>
      </c>
      <c r="H1098" t="inlineStr">
        <is>
          <t>Paula Arenas</t>
        </is>
      </c>
      <c r="I1098" t="inlineStr">
        <is>
          <t>Perdido</t>
        </is>
      </c>
      <c r="J1098" s="28" t="n">
        <v>45634</v>
      </c>
      <c r="K1098" s="28" t="n">
        <v>45721</v>
      </c>
      <c r="L1098" t="inlineStr">
        <is>
          <t>Eligió otro proyecto</t>
        </is>
      </c>
    </row>
    <row r="1099">
      <c r="A1099" t="inlineStr">
        <is>
          <t>CLI-1097</t>
        </is>
      </c>
      <c r="B1099" t="inlineStr">
        <is>
          <t>Marcela Correa Henao</t>
        </is>
      </c>
      <c r="C1099" t="inlineStr">
        <is>
          <t>3225798512</t>
        </is>
      </c>
      <c r="D1099" t="inlineStr">
        <is>
          <t>marcela.correa58@outlook.com</t>
        </is>
      </c>
      <c r="E1099" t="inlineStr">
        <is>
          <t>Envigado</t>
        </is>
      </c>
      <c r="F1099" t="inlineStr">
        <is>
          <t>PRY-005</t>
        </is>
      </c>
      <c r="G1099" t="inlineStr">
        <is>
          <t>Referido</t>
        </is>
      </c>
      <c r="H1099" t="inlineStr">
        <is>
          <t>Ana Quintero</t>
        </is>
      </c>
      <c r="I1099" t="inlineStr">
        <is>
          <t>Ganado</t>
        </is>
      </c>
      <c r="J1099" s="28" t="n">
        <v>45634</v>
      </c>
      <c r="K1099" s="28" t="n">
        <v>45806</v>
      </c>
      <c r="L1099" t="inlineStr">
        <is>
          <t>Compró Casa 50 en Ciudadela Rionegro</t>
        </is>
      </c>
    </row>
    <row r="1100">
      <c r="A1100" t="inlineStr">
        <is>
          <t>CLI-1098</t>
        </is>
      </c>
      <c r="B1100" t="inlineStr">
        <is>
          <t>Paola Rojas Salcedo</t>
        </is>
      </c>
      <c r="C1100" t="inlineStr">
        <is>
          <t>3225988641</t>
        </is>
      </c>
      <c r="D1100" t="inlineStr">
        <is>
          <t>paola.rojas83@yahoo.com</t>
        </is>
      </c>
      <c r="E1100" t="inlineStr">
        <is>
          <t>La Estrella</t>
        </is>
      </c>
      <c r="F1100" t="inlineStr">
        <is>
          <t>PRY-001</t>
        </is>
      </c>
      <c r="G1100" t="inlineStr">
        <is>
          <t>Instagram</t>
        </is>
      </c>
      <c r="H1100" t="inlineStr">
        <is>
          <t>Andrés Torres</t>
        </is>
      </c>
      <c r="I1100" t="inlineStr">
        <is>
          <t>Ganado</t>
        </is>
      </c>
      <c r="J1100" s="28" t="n">
        <v>45634</v>
      </c>
      <c r="K1100" s="28" t="n">
        <v>45753</v>
      </c>
      <c r="L1100" t="inlineStr">
        <is>
          <t>Compró Apto 904 en Torres del Poblado</t>
        </is>
      </c>
    </row>
    <row r="1101">
      <c r="A1101" t="inlineStr">
        <is>
          <t>CLI-1099</t>
        </is>
      </c>
      <c r="B1101" t="inlineStr">
        <is>
          <t>Sara Ríos López</t>
        </is>
      </c>
      <c r="C1101" t="inlineStr">
        <is>
          <t>3013093833</t>
        </is>
      </c>
      <c r="D1101" t="inlineStr">
        <is>
          <t>sara.rios2@yahoo.com</t>
        </is>
      </c>
      <c r="E1101" t="inlineStr">
        <is>
          <t>Envigado</t>
        </is>
      </c>
      <c r="F1101" t="inlineStr">
        <is>
          <t>PRY-007</t>
        </is>
      </c>
      <c r="G1101" t="inlineStr">
        <is>
          <t>Instagram</t>
        </is>
      </c>
      <c r="H1101" t="inlineStr">
        <is>
          <t>Ana Quintero</t>
        </is>
      </c>
      <c r="I1101" t="inlineStr">
        <is>
          <t>Perdido</t>
        </is>
      </c>
      <c r="J1101" s="28" t="n">
        <v>45634</v>
      </c>
      <c r="K1101" s="28" t="n">
        <v>45652</v>
      </c>
      <c r="L1101" t="inlineStr">
        <is>
          <t>Sin respuesta tras 3 contactos</t>
        </is>
      </c>
    </row>
    <row r="1102">
      <c r="A1102" t="inlineStr">
        <is>
          <t>CLI-1100</t>
        </is>
      </c>
      <c r="B1102" t="inlineStr">
        <is>
          <t>Iván Uribe Uribe</t>
        </is>
      </c>
      <c r="C1102" t="inlineStr">
        <is>
          <t>3131329809</t>
        </is>
      </c>
      <c r="D1102" t="inlineStr">
        <is>
          <t>ivan.uribe47@hotmail.com</t>
        </is>
      </c>
      <c r="E1102" t="inlineStr">
        <is>
          <t>Medellín</t>
        </is>
      </c>
      <c r="F1102" t="inlineStr">
        <is>
          <t>PRY-005</t>
        </is>
      </c>
      <c r="G1102" t="inlineStr">
        <is>
          <t>Facebook</t>
        </is>
      </c>
      <c r="H1102" t="inlineStr">
        <is>
          <t>Miguel Salazar</t>
        </is>
      </c>
      <c r="I1102" t="inlineStr">
        <is>
          <t>Perdido</t>
        </is>
      </c>
      <c r="J1102" s="28" t="n">
        <v>45634</v>
      </c>
      <c r="K1102" s="28" t="n">
        <v>45655</v>
      </c>
      <c r="L1102" t="inlineStr">
        <is>
          <t>Sin respuesta tras 3 contactos</t>
        </is>
      </c>
    </row>
    <row r="1103">
      <c r="A1103" t="inlineStr">
        <is>
          <t>CLI-1101</t>
        </is>
      </c>
      <c r="B1103" t="inlineStr">
        <is>
          <t>Valentina Valencia Echeverri</t>
        </is>
      </c>
      <c r="C1103" t="inlineStr">
        <is>
          <t>3103769215</t>
        </is>
      </c>
      <c r="D1103" t="inlineStr">
        <is>
          <t>valentina.valencia49@hotmail.com</t>
        </is>
      </c>
      <c r="E1103" t="inlineStr">
        <is>
          <t>La Estrella</t>
        </is>
      </c>
      <c r="F1103" t="inlineStr">
        <is>
          <t>PRY-002</t>
        </is>
      </c>
      <c r="G1103" t="inlineStr">
        <is>
          <t>Facebook</t>
        </is>
      </c>
      <c r="H1103" t="inlineStr">
        <is>
          <t>Miguel Salazar</t>
        </is>
      </c>
      <c r="I1103" t="inlineStr">
        <is>
          <t>Perdido</t>
        </is>
      </c>
      <c r="J1103" s="28" t="n">
        <v>45634</v>
      </c>
      <c r="K1103" s="28" t="n">
        <v>45643</v>
      </c>
      <c r="L1103" t="inlineStr">
        <is>
          <t>Sin respuesta tras 3 contactos</t>
        </is>
      </c>
    </row>
    <row r="1104">
      <c r="A1104" t="inlineStr">
        <is>
          <t>CLI-1102</t>
        </is>
      </c>
      <c r="B1104" t="inlineStr">
        <is>
          <t>Valentina Palacio Salcedo</t>
        </is>
      </c>
      <c r="C1104" t="inlineStr">
        <is>
          <t>3137554599</t>
        </is>
      </c>
      <c r="D1104" t="inlineStr">
        <is>
          <t>valentina.palacio15@gmail.com</t>
        </is>
      </c>
      <c r="E1104" t="inlineStr">
        <is>
          <t>Rionegro</t>
        </is>
      </c>
      <c r="F1104" t="inlineStr">
        <is>
          <t>PRY-005</t>
        </is>
      </c>
      <c r="G1104" t="inlineStr">
        <is>
          <t>Referido</t>
        </is>
      </c>
      <c r="H1104" t="inlineStr">
        <is>
          <t>Miguel Salazar</t>
        </is>
      </c>
      <c r="I1104" t="inlineStr">
        <is>
          <t>Ganado</t>
        </is>
      </c>
      <c r="J1104" s="28" t="n">
        <v>45635</v>
      </c>
      <c r="K1104" s="28" t="n">
        <v>45754</v>
      </c>
      <c r="L1104" t="inlineStr">
        <is>
          <t>Compró Apto 204 en Ciudadela Rionegro</t>
        </is>
      </c>
    </row>
    <row r="1105">
      <c r="A1105" t="inlineStr">
        <is>
          <t>CLI-1103</t>
        </is>
      </c>
      <c r="B1105" t="inlineStr">
        <is>
          <t>Jorge Cifuentes Giraldo</t>
        </is>
      </c>
      <c r="C1105" t="inlineStr">
        <is>
          <t>3174435092</t>
        </is>
      </c>
      <c r="D1105" t="inlineStr">
        <is>
          <t>jorge.cifuentes87@hotmail.com</t>
        </is>
      </c>
      <c r="E1105" t="inlineStr">
        <is>
          <t>Medellín</t>
        </is>
      </c>
      <c r="F1105" t="inlineStr">
        <is>
          <t>PRY-003</t>
        </is>
      </c>
      <c r="G1105" t="inlineStr">
        <is>
          <t>Portal Web</t>
        </is>
      </c>
      <c r="H1105" t="inlineStr">
        <is>
          <t>Paula Arenas</t>
        </is>
      </c>
      <c r="I1105" t="inlineStr">
        <is>
          <t>Perdido</t>
        </is>
      </c>
      <c r="J1105" s="28" t="n">
        <v>45635</v>
      </c>
      <c r="K1105" s="28" t="n">
        <v>45725</v>
      </c>
      <c r="L1105" t="inlineStr">
        <is>
          <t>Precio fuera de presupuesto</t>
        </is>
      </c>
    </row>
    <row r="1106">
      <c r="A1106" t="inlineStr">
        <is>
          <t>CLI-1104</t>
        </is>
      </c>
      <c r="B1106" t="inlineStr">
        <is>
          <t>Simón Hernández Correa</t>
        </is>
      </c>
      <c r="C1106" t="inlineStr">
        <is>
          <t>3207959009</t>
        </is>
      </c>
      <c r="D1106" t="inlineStr">
        <is>
          <t>simon.hernandez65@hotmail.com</t>
        </is>
      </c>
      <c r="E1106" t="inlineStr">
        <is>
          <t>Medellín</t>
        </is>
      </c>
      <c r="F1106" t="inlineStr">
        <is>
          <t>PRY-004</t>
        </is>
      </c>
      <c r="G1106" t="inlineStr">
        <is>
          <t>Facebook</t>
        </is>
      </c>
      <c r="H1106" t="inlineStr">
        <is>
          <t>Paula Arenas</t>
        </is>
      </c>
      <c r="I1106" t="inlineStr">
        <is>
          <t>Perdido</t>
        </is>
      </c>
      <c r="J1106" s="28" t="n">
        <v>45635</v>
      </c>
      <c r="K1106" s="28" t="n">
        <v>45733</v>
      </c>
      <c r="L1106" t="inlineStr">
        <is>
          <t>Crédito no aprobado</t>
        </is>
      </c>
    </row>
    <row r="1107">
      <c r="A1107" t="inlineStr">
        <is>
          <t>CLI-1105</t>
        </is>
      </c>
      <c r="B1107" t="inlineStr">
        <is>
          <t>Cristian Cano Uribe</t>
        </is>
      </c>
      <c r="C1107" t="inlineStr">
        <is>
          <t>3016106824</t>
        </is>
      </c>
      <c r="D1107" t="inlineStr">
        <is>
          <t>cristian.cano56@hotmail.com</t>
        </is>
      </c>
      <c r="E1107" t="inlineStr">
        <is>
          <t>Itagüí</t>
        </is>
      </c>
      <c r="F1107" t="inlineStr">
        <is>
          <t>PRY-008</t>
        </is>
      </c>
      <c r="G1107" t="inlineStr">
        <is>
          <t>Feria Inmobiliaria</t>
        </is>
      </c>
      <c r="H1107" t="inlineStr">
        <is>
          <t>Luis Bedoya</t>
        </is>
      </c>
      <c r="I1107" t="inlineStr">
        <is>
          <t>Perdido</t>
        </is>
      </c>
      <c r="J1107" s="28" t="n">
        <v>45636</v>
      </c>
      <c r="K1107" s="28" t="n">
        <v>45679</v>
      </c>
      <c r="L1107" t="inlineStr">
        <is>
          <t>Desistió de la compra</t>
        </is>
      </c>
    </row>
    <row r="1108">
      <c r="A1108" t="inlineStr">
        <is>
          <t>CLI-1106</t>
        </is>
      </c>
      <c r="B1108" t="inlineStr">
        <is>
          <t>Alejandra Higuita Marín</t>
        </is>
      </c>
      <c r="C1108" t="inlineStr">
        <is>
          <t>3226383229</t>
        </is>
      </c>
      <c r="D1108" t="inlineStr">
        <is>
          <t>alejandra.higuita87@outlook.com</t>
        </is>
      </c>
      <c r="E1108" t="inlineStr">
        <is>
          <t>La Estrella</t>
        </is>
      </c>
      <c r="F1108" t="inlineStr">
        <is>
          <t>PRY-003</t>
        </is>
      </c>
      <c r="G1108" t="inlineStr">
        <is>
          <t>Portal Web</t>
        </is>
      </c>
      <c r="H1108" t="inlineStr">
        <is>
          <t>Andrés Torres</t>
        </is>
      </c>
      <c r="I1108" t="inlineStr">
        <is>
          <t>Ganado</t>
        </is>
      </c>
      <c r="J1108" s="28" t="n">
        <v>45636</v>
      </c>
      <c r="K1108" s="28" t="n">
        <v>45725</v>
      </c>
      <c r="L1108" t="inlineStr">
        <is>
          <t>Compró Apto 1401 en Conecta Laureles</t>
        </is>
      </c>
    </row>
    <row r="1109">
      <c r="A1109" t="inlineStr">
        <is>
          <t>CLI-1107</t>
        </is>
      </c>
      <c r="B1109" t="inlineStr">
        <is>
          <t>Catalina Cano Pérez</t>
        </is>
      </c>
      <c r="C1109" t="inlineStr">
        <is>
          <t>3043149979</t>
        </is>
      </c>
      <c r="D1109" t="inlineStr">
        <is>
          <t>catalina.cano72@gmail.com</t>
        </is>
      </c>
      <c r="E1109" t="inlineStr">
        <is>
          <t>Envigado</t>
        </is>
      </c>
      <c r="F1109" t="inlineStr">
        <is>
          <t>PRY-007</t>
        </is>
      </c>
      <c r="G1109" t="inlineStr">
        <is>
          <t>Llamada directa</t>
        </is>
      </c>
      <c r="H1109" t="inlineStr">
        <is>
          <t>Ana Quintero</t>
        </is>
      </c>
      <c r="I1109" t="inlineStr">
        <is>
          <t>Perdido</t>
        </is>
      </c>
      <c r="J1109" s="28" t="n">
        <v>45636</v>
      </c>
      <c r="K1109" s="28" t="n">
        <v>45707</v>
      </c>
      <c r="L1109" t="inlineStr">
        <is>
          <t>Crédito no aprobado</t>
        </is>
      </c>
    </row>
    <row r="1110">
      <c r="A1110" t="inlineStr">
        <is>
          <t>CLI-1108</t>
        </is>
      </c>
      <c r="B1110" t="inlineStr">
        <is>
          <t>Mariana Cano Muñoz</t>
        </is>
      </c>
      <c r="C1110" t="inlineStr">
        <is>
          <t>3177022429</t>
        </is>
      </c>
      <c r="D1110" t="inlineStr">
        <is>
          <t>mariana.cano6@outlook.com</t>
        </is>
      </c>
      <c r="E1110" t="inlineStr">
        <is>
          <t>Medellín</t>
        </is>
      </c>
      <c r="F1110" t="inlineStr">
        <is>
          <t>PRY-008</t>
        </is>
      </c>
      <c r="G1110" t="inlineStr">
        <is>
          <t>Facebook</t>
        </is>
      </c>
      <c r="H1110" t="inlineStr">
        <is>
          <t>Andrés Torres</t>
        </is>
      </c>
      <c r="I1110" t="inlineStr">
        <is>
          <t>Perdido</t>
        </is>
      </c>
      <c r="J1110" s="28" t="n">
        <v>45636</v>
      </c>
      <c r="K1110" s="28" t="n">
        <v>45646</v>
      </c>
      <c r="L1110" t="inlineStr">
        <is>
          <t>Sin respuesta tras 3 contactos</t>
        </is>
      </c>
    </row>
    <row r="1111">
      <c r="A1111" t="inlineStr">
        <is>
          <t>CLI-1109</t>
        </is>
      </c>
      <c r="B1111" t="inlineStr">
        <is>
          <t>Patricia Betancur Jaramillo</t>
        </is>
      </c>
      <c r="C1111" t="inlineStr">
        <is>
          <t>3016386529</t>
        </is>
      </c>
      <c r="D1111" t="inlineStr">
        <is>
          <t>patricia.betancur72@outlook.com</t>
        </is>
      </c>
      <c r="E1111" t="inlineStr">
        <is>
          <t>Medellín</t>
        </is>
      </c>
      <c r="F1111" t="inlineStr">
        <is>
          <t>PRY-003</t>
        </is>
      </c>
      <c r="G1111" t="inlineStr">
        <is>
          <t>Llamada directa</t>
        </is>
      </c>
      <c r="H1111" t="inlineStr">
        <is>
          <t>Santiago Muñoz</t>
        </is>
      </c>
      <c r="I1111" t="inlineStr">
        <is>
          <t>Ganado</t>
        </is>
      </c>
      <c r="J1111" s="28" t="n">
        <v>45637</v>
      </c>
      <c r="K1111" s="28" t="n">
        <v>45760</v>
      </c>
      <c r="L1111" t="inlineStr">
        <is>
          <t>Compró Apto 306 en Conecta Laureles</t>
        </is>
      </c>
    </row>
    <row r="1112">
      <c r="A1112" t="inlineStr">
        <is>
          <t>CLI-1110</t>
        </is>
      </c>
      <c r="B1112" t="inlineStr">
        <is>
          <t>Óscar Higuita Ochoa</t>
        </is>
      </c>
      <c r="C1112" t="inlineStr">
        <is>
          <t>3208185540</t>
        </is>
      </c>
      <c r="D1112" t="inlineStr">
        <is>
          <t>oscar.higuita77@outlook.com</t>
        </is>
      </c>
      <c r="E1112" t="inlineStr">
        <is>
          <t>Medellín</t>
        </is>
      </c>
      <c r="F1112" t="inlineStr">
        <is>
          <t>PRY-002</t>
        </is>
      </c>
      <c r="G1112" t="inlineStr">
        <is>
          <t>Facebook</t>
        </is>
      </c>
      <c r="H1112" t="inlineStr">
        <is>
          <t>Paula Arenas</t>
        </is>
      </c>
      <c r="I1112" t="inlineStr">
        <is>
          <t>Perdido</t>
        </is>
      </c>
      <c r="J1112" s="28" t="n">
        <v>45637</v>
      </c>
      <c r="K1112" s="28" t="n">
        <v>45662</v>
      </c>
      <c r="L1112" t="inlineStr">
        <is>
          <t>Datos de contacto errados</t>
        </is>
      </c>
    </row>
    <row r="1113">
      <c r="A1113" t="inlineStr">
        <is>
          <t>CLI-1111</t>
        </is>
      </c>
      <c r="B1113" t="inlineStr">
        <is>
          <t>Natalia Muñoz Espinosa</t>
        </is>
      </c>
      <c r="C1113" t="inlineStr">
        <is>
          <t>3179923700</t>
        </is>
      </c>
      <c r="D1113" t="inlineStr">
        <is>
          <t>natalia.munoz44@outlook.com</t>
        </is>
      </c>
      <c r="E1113" t="inlineStr">
        <is>
          <t>Envigado</t>
        </is>
      </c>
      <c r="F1113" t="inlineStr">
        <is>
          <t>PRY-005</t>
        </is>
      </c>
      <c r="G1113" t="inlineStr">
        <is>
          <t>Facebook</t>
        </is>
      </c>
      <c r="H1113" t="inlineStr">
        <is>
          <t>Paula Arenas</t>
        </is>
      </c>
      <c r="I1113" t="inlineStr">
        <is>
          <t>Perdido</t>
        </is>
      </c>
      <c r="J1113" s="28" t="n">
        <v>45637</v>
      </c>
      <c r="K1113" s="28" t="n">
        <v>45653</v>
      </c>
      <c r="L1113" t="inlineStr">
        <is>
          <t>Presupuesto insuficiente</t>
        </is>
      </c>
    </row>
    <row r="1114">
      <c r="A1114" t="inlineStr">
        <is>
          <t>CLI-1112</t>
        </is>
      </c>
      <c r="B1114" t="inlineStr">
        <is>
          <t>Sara Ramírez Gaviria</t>
        </is>
      </c>
      <c r="C1114" t="inlineStr">
        <is>
          <t>3224056496</t>
        </is>
      </c>
      <c r="D1114" t="inlineStr">
        <is>
          <t>sara.ramirez29@outlook.com</t>
        </is>
      </c>
      <c r="E1114" t="inlineStr">
        <is>
          <t>Envigado</t>
        </is>
      </c>
      <c r="F1114" t="inlineStr">
        <is>
          <t>PRY-007</t>
        </is>
      </c>
      <c r="G1114" t="inlineStr">
        <is>
          <t>Referido</t>
        </is>
      </c>
      <c r="H1114" t="inlineStr">
        <is>
          <t>Ana Quintero</t>
        </is>
      </c>
      <c r="I1114" t="inlineStr">
        <is>
          <t>Perdido</t>
        </is>
      </c>
      <c r="J1114" s="28" t="n">
        <v>45637</v>
      </c>
      <c r="K1114" s="28" t="n">
        <v>45659</v>
      </c>
      <c r="L1114" t="inlineStr">
        <is>
          <t>Presupuesto insuficiente</t>
        </is>
      </c>
    </row>
    <row r="1115">
      <c r="A1115" t="inlineStr">
        <is>
          <t>CLI-1113</t>
        </is>
      </c>
      <c r="B1115" t="inlineStr">
        <is>
          <t>Daniel Gómez Zuluaga</t>
        </is>
      </c>
      <c r="C1115" t="inlineStr">
        <is>
          <t>3234162762</t>
        </is>
      </c>
      <c r="D1115" t="inlineStr">
        <is>
          <t>daniel.gomez97@gmail.com</t>
        </is>
      </c>
      <c r="E1115" t="inlineStr">
        <is>
          <t>Medellín</t>
        </is>
      </c>
      <c r="F1115" t="inlineStr">
        <is>
          <t>PRY-003</t>
        </is>
      </c>
      <c r="G1115" t="inlineStr">
        <is>
          <t>Referido</t>
        </is>
      </c>
      <c r="H1115" t="inlineStr">
        <is>
          <t>Luis Bedoya</t>
        </is>
      </c>
      <c r="I1115" t="inlineStr">
        <is>
          <t>Perdido</t>
        </is>
      </c>
      <c r="J1115" s="28" t="n">
        <v>45638</v>
      </c>
      <c r="K1115" s="28" t="n">
        <v>45727</v>
      </c>
      <c r="L1115" t="inlineStr">
        <is>
          <t>Precio fuera de presupuesto</t>
        </is>
      </c>
    </row>
    <row r="1116">
      <c r="A1116" t="inlineStr">
        <is>
          <t>CLI-1114</t>
        </is>
      </c>
      <c r="B1116" t="inlineStr">
        <is>
          <t>Sofía Franco López</t>
        </is>
      </c>
      <c r="C1116" t="inlineStr">
        <is>
          <t>3007706526</t>
        </is>
      </c>
      <c r="D1116" t="inlineStr">
        <is>
          <t>sofia.franco28@hotmail.com</t>
        </is>
      </c>
      <c r="E1116" t="inlineStr">
        <is>
          <t>Envigado</t>
        </is>
      </c>
      <c r="F1116" t="inlineStr">
        <is>
          <t>PRY-007</t>
        </is>
      </c>
      <c r="G1116" t="inlineStr">
        <is>
          <t>Facebook</t>
        </is>
      </c>
      <c r="H1116" t="inlineStr">
        <is>
          <t>Miguel Salazar</t>
        </is>
      </c>
      <c r="I1116" t="inlineStr">
        <is>
          <t>Perdido</t>
        </is>
      </c>
      <c r="J1116" s="28" t="n">
        <v>45638</v>
      </c>
      <c r="K1116" s="28" t="n">
        <v>45654</v>
      </c>
      <c r="L1116" t="inlineStr">
        <is>
          <t>Datos de contacto errados</t>
        </is>
      </c>
    </row>
    <row r="1117">
      <c r="A1117" t="inlineStr">
        <is>
          <t>CLI-1115</t>
        </is>
      </c>
      <c r="B1117" t="inlineStr">
        <is>
          <t>Patricia Ochoa Echeverri</t>
        </is>
      </c>
      <c r="C1117" t="inlineStr">
        <is>
          <t>3106367256</t>
        </is>
      </c>
      <c r="D1117" t="inlineStr">
        <is>
          <t>patricia.ochoa5@outlook.com</t>
        </is>
      </c>
      <c r="E1117" t="inlineStr">
        <is>
          <t>Envigado</t>
        </is>
      </c>
      <c r="F1117" t="inlineStr">
        <is>
          <t>PRY-004</t>
        </is>
      </c>
      <c r="G1117" t="inlineStr">
        <is>
          <t>Portal Web</t>
        </is>
      </c>
      <c r="H1117" t="inlineStr">
        <is>
          <t>Sofía Prada</t>
        </is>
      </c>
      <c r="I1117" t="inlineStr">
        <is>
          <t>Ganado</t>
        </is>
      </c>
      <c r="J1117" s="28" t="n">
        <v>45639</v>
      </c>
      <c r="K1117" s="28" t="n">
        <v>45722</v>
      </c>
      <c r="L1117" t="inlineStr">
        <is>
          <t>Compró Casa 11 en Altavista Park</t>
        </is>
      </c>
    </row>
    <row r="1118">
      <c r="A1118" t="inlineStr">
        <is>
          <t>CLI-1116</t>
        </is>
      </c>
      <c r="B1118" t="inlineStr">
        <is>
          <t>Sara Salazar Álvarez</t>
        </is>
      </c>
      <c r="C1118" t="inlineStr">
        <is>
          <t>3227930486</t>
        </is>
      </c>
      <c r="D1118" t="inlineStr">
        <is>
          <t>sara.salazar23@outlook.com</t>
        </is>
      </c>
      <c r="E1118" t="inlineStr">
        <is>
          <t>Medellín</t>
        </is>
      </c>
      <c r="F1118" t="inlineStr">
        <is>
          <t>PRY-004</t>
        </is>
      </c>
      <c r="G1118" t="inlineStr">
        <is>
          <t>Feria Inmobiliaria</t>
        </is>
      </c>
      <c r="H1118" t="inlineStr">
        <is>
          <t>Luis Bedoya</t>
        </is>
      </c>
      <c r="I1118" t="inlineStr">
        <is>
          <t>Ganado</t>
        </is>
      </c>
      <c r="J1118" s="28" t="n">
        <v>45639</v>
      </c>
      <c r="K1118" s="28" t="n">
        <v>45781</v>
      </c>
      <c r="L1118" t="inlineStr">
        <is>
          <t>Compró Casa 13 en Altavista Park</t>
        </is>
      </c>
    </row>
    <row r="1119">
      <c r="A1119" t="inlineStr">
        <is>
          <t>CLI-1117</t>
        </is>
      </c>
      <c r="B1119" t="inlineStr">
        <is>
          <t>Wilson Zuluaga Rojas</t>
        </is>
      </c>
      <c r="C1119" t="inlineStr">
        <is>
          <t>3134970624</t>
        </is>
      </c>
      <c r="D1119" t="inlineStr">
        <is>
          <t>wilson.zuluaga89@outlook.com</t>
        </is>
      </c>
      <c r="E1119" t="inlineStr">
        <is>
          <t>Sabaneta</t>
        </is>
      </c>
      <c r="F1119" t="inlineStr">
        <is>
          <t>PRY-003</t>
        </is>
      </c>
      <c r="G1119" t="inlineStr">
        <is>
          <t>Portal Web</t>
        </is>
      </c>
      <c r="H1119" t="inlineStr">
        <is>
          <t>Paula Arenas</t>
        </is>
      </c>
      <c r="I1119" t="inlineStr">
        <is>
          <t>Ganado</t>
        </is>
      </c>
      <c r="J1119" s="28" t="n">
        <v>45639</v>
      </c>
      <c r="K1119" s="28" t="n">
        <v>45751</v>
      </c>
      <c r="L1119" t="inlineStr">
        <is>
          <t>Compró Apto 1308 en Conecta Laureles</t>
        </is>
      </c>
    </row>
    <row r="1120">
      <c r="A1120" t="inlineStr">
        <is>
          <t>CLI-1118</t>
        </is>
      </c>
      <c r="B1120" t="inlineStr">
        <is>
          <t>Laura Correa Sánchez</t>
        </is>
      </c>
      <c r="C1120" t="inlineStr">
        <is>
          <t>3154257062</t>
        </is>
      </c>
      <c r="D1120" t="inlineStr">
        <is>
          <t>laura.correa67@gmail.com</t>
        </is>
      </c>
      <c r="E1120" t="inlineStr">
        <is>
          <t>Envigado</t>
        </is>
      </c>
      <c r="F1120" t="inlineStr">
        <is>
          <t>PRY-002</t>
        </is>
      </c>
      <c r="G1120" t="inlineStr">
        <is>
          <t>Portal Web</t>
        </is>
      </c>
      <c r="H1120" t="inlineStr">
        <is>
          <t>Juliana Vélez</t>
        </is>
      </c>
      <c r="I1120" t="inlineStr">
        <is>
          <t>Perdido</t>
        </is>
      </c>
      <c r="J1120" s="28" t="n">
        <v>45639</v>
      </c>
      <c r="K1120" s="28" t="n">
        <v>45661</v>
      </c>
      <c r="L1120" t="inlineStr">
        <is>
          <t>Sin respuesta tras 3 contactos</t>
        </is>
      </c>
    </row>
    <row r="1121">
      <c r="A1121" t="inlineStr">
        <is>
          <t>CLI-1119</t>
        </is>
      </c>
      <c r="B1121" t="inlineStr">
        <is>
          <t>Paula Rojas Espinosa</t>
        </is>
      </c>
      <c r="C1121" t="inlineStr">
        <is>
          <t>3234389873</t>
        </is>
      </c>
      <c r="D1121" t="inlineStr">
        <is>
          <t>paula.rojas85@outlook.com</t>
        </is>
      </c>
      <c r="E1121" t="inlineStr">
        <is>
          <t>Medellín</t>
        </is>
      </c>
      <c r="F1121" t="inlineStr">
        <is>
          <t>PRY-002</t>
        </is>
      </c>
      <c r="G1121" t="inlineStr">
        <is>
          <t>Instagram</t>
        </is>
      </c>
      <c r="H1121" t="inlineStr">
        <is>
          <t>Juliana Vélez</t>
        </is>
      </c>
      <c r="I1121" t="inlineStr">
        <is>
          <t>Perdido</t>
        </is>
      </c>
      <c r="J1121" s="28" t="n">
        <v>45639</v>
      </c>
      <c r="K1121" s="28" t="n">
        <v>45652</v>
      </c>
      <c r="L1121" t="inlineStr">
        <is>
          <t>No calificó para crédito</t>
        </is>
      </c>
    </row>
    <row r="1122">
      <c r="A1122" t="inlineStr">
        <is>
          <t>CLI-1120</t>
        </is>
      </c>
      <c r="B1122" t="inlineStr">
        <is>
          <t>Gloria Cifuentes Echeverri</t>
        </is>
      </c>
      <c r="C1122" t="inlineStr">
        <is>
          <t>3102288281</t>
        </is>
      </c>
      <c r="D1122" t="inlineStr">
        <is>
          <t>gloria.cifuentes53@yahoo.com</t>
        </is>
      </c>
      <c r="E1122" t="inlineStr">
        <is>
          <t>La Estrella</t>
        </is>
      </c>
      <c r="F1122" t="inlineStr">
        <is>
          <t>PRY-007</t>
        </is>
      </c>
      <c r="G1122" t="inlineStr">
        <is>
          <t>Portal Web</t>
        </is>
      </c>
      <c r="H1122" t="inlineStr">
        <is>
          <t>Sofía Prada</t>
        </is>
      </c>
      <c r="I1122" t="inlineStr">
        <is>
          <t>Perdido</t>
        </is>
      </c>
      <c r="J1122" s="28" t="n">
        <v>45639</v>
      </c>
      <c r="K1122" s="28" t="n">
        <v>45651</v>
      </c>
      <c r="L1122" t="inlineStr">
        <is>
          <t>Sin respuesta tras 3 contactos</t>
        </is>
      </c>
    </row>
    <row r="1123">
      <c r="A1123" t="inlineStr">
        <is>
          <t>CLI-1121</t>
        </is>
      </c>
      <c r="B1123" t="inlineStr">
        <is>
          <t>Emilio Franco Gómez</t>
        </is>
      </c>
      <c r="C1123" t="inlineStr">
        <is>
          <t>3153619123</t>
        </is>
      </c>
      <c r="D1123" t="inlineStr">
        <is>
          <t>emilio.franco21@hotmail.com</t>
        </is>
      </c>
      <c r="E1123" t="inlineStr">
        <is>
          <t>Medellín</t>
        </is>
      </c>
      <c r="F1123" t="inlineStr">
        <is>
          <t>PRY-003</t>
        </is>
      </c>
      <c r="G1123" t="inlineStr">
        <is>
          <t>Facebook</t>
        </is>
      </c>
      <c r="H1123" t="inlineStr">
        <is>
          <t>Ana Quintero</t>
        </is>
      </c>
      <c r="I1123" t="inlineStr">
        <is>
          <t>Perdido</t>
        </is>
      </c>
      <c r="J1123" s="28" t="n">
        <v>45639</v>
      </c>
      <c r="K1123" s="28" t="n">
        <v>45659</v>
      </c>
      <c r="L1123" t="inlineStr">
        <is>
          <t>No calificó para crédito</t>
        </is>
      </c>
    </row>
    <row r="1124">
      <c r="A1124" t="inlineStr">
        <is>
          <t>CLI-1122</t>
        </is>
      </c>
      <c r="B1124" t="inlineStr">
        <is>
          <t>Wilson Hernández Uribe</t>
        </is>
      </c>
      <c r="C1124" t="inlineStr">
        <is>
          <t>3148467598</t>
        </is>
      </c>
      <c r="D1124" t="inlineStr">
        <is>
          <t>wilson.hernandez1@gmail.com</t>
        </is>
      </c>
      <c r="E1124" t="inlineStr">
        <is>
          <t>Sabaneta</t>
        </is>
      </c>
      <c r="F1124" t="inlineStr">
        <is>
          <t>PRY-002</t>
        </is>
      </c>
      <c r="G1124" t="inlineStr">
        <is>
          <t>Instagram</t>
        </is>
      </c>
      <c r="H1124" t="inlineStr">
        <is>
          <t>Santiago Muñoz</t>
        </is>
      </c>
      <c r="I1124" t="inlineStr">
        <is>
          <t>Perdido</t>
        </is>
      </c>
      <c r="J1124" s="28" t="n">
        <v>45639</v>
      </c>
      <c r="K1124" s="28" t="n">
        <v>45662</v>
      </c>
      <c r="L1124" t="inlineStr">
        <is>
          <t>Datos de contacto errados</t>
        </is>
      </c>
    </row>
    <row r="1125">
      <c r="A1125" t="inlineStr">
        <is>
          <t>CLI-1123</t>
        </is>
      </c>
      <c r="B1125" t="inlineStr">
        <is>
          <t>Carolina Castaño Gaviria</t>
        </is>
      </c>
      <c r="C1125" t="inlineStr">
        <is>
          <t>3131554528</t>
        </is>
      </c>
      <c r="D1125" t="inlineStr">
        <is>
          <t>carolina.castano31@outlook.com</t>
        </is>
      </c>
      <c r="E1125" t="inlineStr">
        <is>
          <t>Rionegro</t>
        </is>
      </c>
      <c r="F1125" t="inlineStr">
        <is>
          <t>PRY-005</t>
        </is>
      </c>
      <c r="G1125" t="inlineStr">
        <is>
          <t>Portal Web</t>
        </is>
      </c>
      <c r="H1125" t="inlineStr">
        <is>
          <t>Paula Arenas</t>
        </is>
      </c>
      <c r="I1125" t="inlineStr">
        <is>
          <t>Perdido</t>
        </is>
      </c>
      <c r="J1125" s="28" t="n">
        <v>45639</v>
      </c>
      <c r="K1125" s="28" t="n">
        <v>45655</v>
      </c>
      <c r="L1125" t="inlineStr">
        <is>
          <t>No calificó para crédito</t>
        </is>
      </c>
    </row>
    <row r="1126">
      <c r="A1126" t="inlineStr">
        <is>
          <t>CLI-1124</t>
        </is>
      </c>
      <c r="B1126" t="inlineStr">
        <is>
          <t>Patricia Vargas Higuita</t>
        </is>
      </c>
      <c r="C1126" t="inlineStr">
        <is>
          <t>3102674247</t>
        </is>
      </c>
      <c r="D1126" t="inlineStr">
        <is>
          <t>patricia.vargas40@gmail.com</t>
        </is>
      </c>
      <c r="E1126" t="inlineStr">
        <is>
          <t>Medellín</t>
        </is>
      </c>
      <c r="F1126" t="inlineStr">
        <is>
          <t>PRY-003</t>
        </is>
      </c>
      <c r="G1126" t="inlineStr">
        <is>
          <t>Instagram</t>
        </is>
      </c>
      <c r="H1126" t="inlineStr">
        <is>
          <t>Santiago Muñoz</t>
        </is>
      </c>
      <c r="I1126" t="inlineStr">
        <is>
          <t>Perdido</t>
        </is>
      </c>
      <c r="J1126" s="28" t="n">
        <v>45640</v>
      </c>
      <c r="K1126" s="28" t="n">
        <v>45677</v>
      </c>
      <c r="L1126" t="inlineStr">
        <is>
          <t>Precio fuera de presupuesto</t>
        </is>
      </c>
    </row>
    <row r="1127">
      <c r="A1127" t="inlineStr">
        <is>
          <t>CLI-1125</t>
        </is>
      </c>
      <c r="B1127" t="inlineStr">
        <is>
          <t>Alejandra Restrepo Osorio</t>
        </is>
      </c>
      <c r="C1127" t="inlineStr">
        <is>
          <t>3221589089</t>
        </is>
      </c>
      <c r="D1127" t="inlineStr">
        <is>
          <t>alejandra.restrepo68@hotmail.com</t>
        </is>
      </c>
      <c r="E1127" t="inlineStr">
        <is>
          <t>Rionegro</t>
        </is>
      </c>
      <c r="F1127" t="inlineStr">
        <is>
          <t>PRY-005</t>
        </is>
      </c>
      <c r="G1127" t="inlineStr">
        <is>
          <t>Instagram</t>
        </is>
      </c>
      <c r="H1127" t="inlineStr">
        <is>
          <t>Luis Bedoya</t>
        </is>
      </c>
      <c r="I1127" t="inlineStr">
        <is>
          <t>Perdido</t>
        </is>
      </c>
      <c r="J1127" s="28" t="n">
        <v>45640</v>
      </c>
      <c r="K1127" s="28" t="n">
        <v>45681</v>
      </c>
      <c r="L1127" t="inlineStr">
        <is>
          <t>No volvió a responder</t>
        </is>
      </c>
    </row>
    <row r="1128">
      <c r="A1128" t="inlineStr">
        <is>
          <t>CLI-1126</t>
        </is>
      </c>
      <c r="B1128" t="inlineStr">
        <is>
          <t>Daniel Arango Peláez</t>
        </is>
      </c>
      <c r="C1128" t="inlineStr">
        <is>
          <t>3159076374</t>
        </is>
      </c>
      <c r="D1128" t="inlineStr">
        <is>
          <t>daniel.arango54@yahoo.com</t>
        </is>
      </c>
      <c r="E1128" t="inlineStr">
        <is>
          <t>Medellín</t>
        </is>
      </c>
      <c r="F1128" t="inlineStr">
        <is>
          <t>PRY-003</t>
        </is>
      </c>
      <c r="G1128" t="inlineStr">
        <is>
          <t>Llamada directa</t>
        </is>
      </c>
      <c r="H1128" t="inlineStr">
        <is>
          <t>Miguel Salazar</t>
        </is>
      </c>
      <c r="I1128" t="inlineStr">
        <is>
          <t>Ganado</t>
        </is>
      </c>
      <c r="J1128" s="28" t="n">
        <v>45640</v>
      </c>
      <c r="K1128" s="28" t="n">
        <v>45760</v>
      </c>
      <c r="L1128" t="inlineStr">
        <is>
          <t>Compró Apto 807 en Conecta Laureles</t>
        </is>
      </c>
    </row>
    <row r="1129">
      <c r="A1129" t="inlineStr">
        <is>
          <t>CLI-1127</t>
        </is>
      </c>
      <c r="B1129" t="inlineStr">
        <is>
          <t>Iván Muñoz Gaviria</t>
        </is>
      </c>
      <c r="C1129" t="inlineStr">
        <is>
          <t>3014290039</t>
        </is>
      </c>
      <c r="D1129" t="inlineStr">
        <is>
          <t>ivan.munoz54@gmail.com</t>
        </is>
      </c>
      <c r="E1129" t="inlineStr">
        <is>
          <t>Medellín</t>
        </is>
      </c>
      <c r="F1129" t="inlineStr">
        <is>
          <t>PRY-002</t>
        </is>
      </c>
      <c r="G1129" t="inlineStr">
        <is>
          <t>Instagram</t>
        </is>
      </c>
      <c r="H1129" t="inlineStr">
        <is>
          <t>Sofía Prada</t>
        </is>
      </c>
      <c r="I1129" t="inlineStr">
        <is>
          <t>Perdido</t>
        </is>
      </c>
      <c r="J1129" s="28" t="n">
        <v>45640</v>
      </c>
      <c r="K1129" s="28" t="n">
        <v>45739</v>
      </c>
      <c r="L1129" t="inlineStr">
        <is>
          <t>Eligió otro proyecto</t>
        </is>
      </c>
    </row>
    <row r="1130">
      <c r="A1130" t="inlineStr">
        <is>
          <t>CLI-1128</t>
        </is>
      </c>
      <c r="B1130" t="inlineStr">
        <is>
          <t>Carlos Mejía Vargas</t>
        </is>
      </c>
      <c r="C1130" t="inlineStr">
        <is>
          <t>3207407160</t>
        </is>
      </c>
      <c r="D1130" t="inlineStr">
        <is>
          <t>carlos.mejia26@gmail.com</t>
        </is>
      </c>
      <c r="E1130" t="inlineStr">
        <is>
          <t>Medellín</t>
        </is>
      </c>
      <c r="F1130" t="inlineStr">
        <is>
          <t>PRY-003</t>
        </is>
      </c>
      <c r="G1130" t="inlineStr">
        <is>
          <t>Llamada directa</t>
        </is>
      </c>
      <c r="H1130" t="inlineStr">
        <is>
          <t>Miguel Salazar</t>
        </is>
      </c>
      <c r="I1130" t="inlineStr">
        <is>
          <t>Ganado</t>
        </is>
      </c>
      <c r="J1130" s="28" t="n">
        <v>45641</v>
      </c>
      <c r="K1130" s="28" t="n">
        <v>45764</v>
      </c>
      <c r="L1130" t="inlineStr">
        <is>
          <t>Compró Apto 1704 en Conecta Laureles</t>
        </is>
      </c>
    </row>
    <row r="1131">
      <c r="A1131" t="inlineStr">
        <is>
          <t>CLI-1129</t>
        </is>
      </c>
      <c r="B1131" t="inlineStr">
        <is>
          <t>Alejandro Valencia Cano</t>
        </is>
      </c>
      <c r="C1131" t="inlineStr">
        <is>
          <t>3246479165</t>
        </is>
      </c>
      <c r="D1131" t="inlineStr">
        <is>
          <t>alejandro.valencia21@outlook.com</t>
        </is>
      </c>
      <c r="E1131" t="inlineStr">
        <is>
          <t>Rionegro</t>
        </is>
      </c>
      <c r="F1131" t="inlineStr">
        <is>
          <t>PRY-007</t>
        </is>
      </c>
      <c r="G1131" t="inlineStr">
        <is>
          <t>Llamada directa</t>
        </is>
      </c>
      <c r="H1131" t="inlineStr">
        <is>
          <t>Ana Quintero</t>
        </is>
      </c>
      <c r="I1131" t="inlineStr">
        <is>
          <t>Perdido</t>
        </is>
      </c>
      <c r="J1131" s="28" t="n">
        <v>45643</v>
      </c>
      <c r="K1131" s="28" t="n">
        <v>45659</v>
      </c>
      <c r="L1131" t="inlineStr">
        <is>
          <t>Sin respuesta tras 3 contactos</t>
        </is>
      </c>
    </row>
    <row r="1132">
      <c r="A1132" t="inlineStr">
        <is>
          <t>CLI-1130</t>
        </is>
      </c>
      <c r="B1132" t="inlineStr">
        <is>
          <t>Katherine Vásquez Higuita</t>
        </is>
      </c>
      <c r="C1132" t="inlineStr">
        <is>
          <t>3139844835</t>
        </is>
      </c>
      <c r="D1132" t="inlineStr">
        <is>
          <t>katherine.vasquez14@gmail.com</t>
        </is>
      </c>
      <c r="E1132" t="inlineStr">
        <is>
          <t>Sabaneta</t>
        </is>
      </c>
      <c r="F1132" t="inlineStr">
        <is>
          <t>PRY-005</t>
        </is>
      </c>
      <c r="G1132" t="inlineStr">
        <is>
          <t>Facebook</t>
        </is>
      </c>
      <c r="H1132" t="inlineStr">
        <is>
          <t>Andrés Torres</t>
        </is>
      </c>
      <c r="I1132" t="inlineStr">
        <is>
          <t>Perdido</t>
        </is>
      </c>
      <c r="J1132" s="28" t="n">
        <v>45643</v>
      </c>
      <c r="K1132" s="28" t="n">
        <v>45657</v>
      </c>
      <c r="L1132" t="inlineStr">
        <is>
          <t>No calificó para crédito</t>
        </is>
      </c>
    </row>
    <row r="1133">
      <c r="A1133" t="inlineStr">
        <is>
          <t>CLI-1131</t>
        </is>
      </c>
      <c r="B1133" t="inlineStr">
        <is>
          <t>Gloria Zuluaga Restrepo</t>
        </is>
      </c>
      <c r="C1133" t="inlineStr">
        <is>
          <t>3233991173</t>
        </is>
      </c>
      <c r="D1133" t="inlineStr">
        <is>
          <t>gloria.zuluaga72@gmail.com</t>
        </is>
      </c>
      <c r="E1133" t="inlineStr">
        <is>
          <t>La Estrella</t>
        </is>
      </c>
      <c r="F1133" t="inlineStr">
        <is>
          <t>PRY-005</t>
        </is>
      </c>
      <c r="G1133" t="inlineStr">
        <is>
          <t>Portal Web</t>
        </is>
      </c>
      <c r="H1133" t="inlineStr">
        <is>
          <t>Luis Bedoya</t>
        </is>
      </c>
      <c r="I1133" t="inlineStr">
        <is>
          <t>Perdido</t>
        </is>
      </c>
      <c r="J1133" s="28" t="n">
        <v>45643</v>
      </c>
      <c r="K1133" s="28" t="n">
        <v>45660</v>
      </c>
      <c r="L1133" t="inlineStr">
        <is>
          <t>No calificó para crédito</t>
        </is>
      </c>
    </row>
    <row r="1134">
      <c r="A1134" t="inlineStr">
        <is>
          <t>CLI-1132</t>
        </is>
      </c>
      <c r="B1134" t="inlineStr">
        <is>
          <t>Mónica Franco Castaño</t>
        </is>
      </c>
      <c r="C1134" t="inlineStr">
        <is>
          <t>3242670876</t>
        </is>
      </c>
      <c r="D1134" t="inlineStr">
        <is>
          <t>monica.franco98@gmail.com</t>
        </is>
      </c>
      <c r="E1134" t="inlineStr">
        <is>
          <t>Medellín</t>
        </is>
      </c>
      <c r="F1134" t="inlineStr">
        <is>
          <t>PRY-004</t>
        </is>
      </c>
      <c r="G1134" t="inlineStr">
        <is>
          <t>Facebook</t>
        </is>
      </c>
      <c r="H1134" t="inlineStr">
        <is>
          <t>Luis Bedoya</t>
        </is>
      </c>
      <c r="I1134" t="inlineStr">
        <is>
          <t>Perdido</t>
        </is>
      </c>
      <c r="J1134" s="28" t="n">
        <v>45643</v>
      </c>
      <c r="K1134" s="28" t="n">
        <v>45662</v>
      </c>
      <c r="L1134" t="inlineStr">
        <is>
          <t>Sin respuesta tras 3 contactos</t>
        </is>
      </c>
    </row>
    <row r="1135">
      <c r="A1135" t="inlineStr">
        <is>
          <t>CLI-1133</t>
        </is>
      </c>
      <c r="B1135" t="inlineStr">
        <is>
          <t>José Osorio Álvarez</t>
        </is>
      </c>
      <c r="C1135" t="inlineStr">
        <is>
          <t>3177389301</t>
        </is>
      </c>
      <c r="D1135" t="inlineStr">
        <is>
          <t>jose.osorio68@gmail.com</t>
        </is>
      </c>
      <c r="E1135" t="inlineStr">
        <is>
          <t>Medellín</t>
        </is>
      </c>
      <c r="F1135" t="inlineStr">
        <is>
          <t>PRY-002</t>
        </is>
      </c>
      <c r="G1135" t="inlineStr">
        <is>
          <t>Llamada directa</t>
        </is>
      </c>
      <c r="H1135" t="inlineStr">
        <is>
          <t>Sofía Prada</t>
        </is>
      </c>
      <c r="I1135" t="inlineStr">
        <is>
          <t>Perdido</t>
        </is>
      </c>
      <c r="J1135" s="28" t="n">
        <v>45644</v>
      </c>
      <c r="K1135" s="28" t="n">
        <v>45664</v>
      </c>
      <c r="L1135" t="inlineStr">
        <is>
          <t>No calificó para crédito</t>
        </is>
      </c>
    </row>
    <row r="1136">
      <c r="A1136" t="inlineStr">
        <is>
          <t>CLI-1134</t>
        </is>
      </c>
      <c r="B1136" t="inlineStr">
        <is>
          <t>Sandra Salcedo Marín</t>
        </is>
      </c>
      <c r="C1136" t="inlineStr">
        <is>
          <t>3233019861</t>
        </is>
      </c>
      <c r="D1136" t="inlineStr">
        <is>
          <t>sandra.salcedo48@gmail.com</t>
        </is>
      </c>
      <c r="E1136" t="inlineStr">
        <is>
          <t>Medellín</t>
        </is>
      </c>
      <c r="F1136" t="inlineStr">
        <is>
          <t>PRY-003</t>
        </is>
      </c>
      <c r="G1136" t="inlineStr">
        <is>
          <t>Llamada directa</t>
        </is>
      </c>
      <c r="H1136" t="inlineStr">
        <is>
          <t>Miguel Salazar</t>
        </is>
      </c>
      <c r="I1136" t="inlineStr">
        <is>
          <t>Ganado</t>
        </is>
      </c>
      <c r="J1136" s="28" t="n">
        <v>45645</v>
      </c>
      <c r="K1136" s="28" t="n">
        <v>45743</v>
      </c>
      <c r="L1136" t="inlineStr">
        <is>
          <t>Compró Apto 2501 en Conecta Laureles</t>
        </is>
      </c>
    </row>
    <row r="1137">
      <c r="A1137" t="inlineStr">
        <is>
          <t>CLI-1135</t>
        </is>
      </c>
      <c r="B1137" t="inlineStr">
        <is>
          <t>Diana Cifuentes Londoño</t>
        </is>
      </c>
      <c r="C1137" t="inlineStr">
        <is>
          <t>3227778466</t>
        </is>
      </c>
      <c r="D1137" t="inlineStr">
        <is>
          <t>diana.cifuentes42@yahoo.com</t>
        </is>
      </c>
      <c r="E1137" t="inlineStr">
        <is>
          <t>Medellín</t>
        </is>
      </c>
      <c r="F1137" t="inlineStr">
        <is>
          <t>PRY-007</t>
        </is>
      </c>
      <c r="G1137" t="inlineStr">
        <is>
          <t>Llamada directa</t>
        </is>
      </c>
      <c r="H1137" t="inlineStr">
        <is>
          <t>Miguel Salazar</t>
        </is>
      </c>
      <c r="I1137" t="inlineStr">
        <is>
          <t>Perdido</t>
        </is>
      </c>
      <c r="J1137" s="28" t="n">
        <v>45645</v>
      </c>
      <c r="K1137" s="28" t="n">
        <v>45668</v>
      </c>
      <c r="L1137" t="inlineStr">
        <is>
          <t>Sin respuesta tras 3 contactos</t>
        </is>
      </c>
    </row>
    <row r="1138">
      <c r="A1138" t="inlineStr">
        <is>
          <t>CLI-1136</t>
        </is>
      </c>
      <c r="B1138" t="inlineStr">
        <is>
          <t>Mateo Gómez Franco</t>
        </is>
      </c>
      <c r="C1138" t="inlineStr">
        <is>
          <t>3243292120</t>
        </is>
      </c>
      <c r="D1138" t="inlineStr">
        <is>
          <t>mateo.gomez1@hotmail.com</t>
        </is>
      </c>
      <c r="E1138" t="inlineStr">
        <is>
          <t>Medellín</t>
        </is>
      </c>
      <c r="F1138" t="inlineStr">
        <is>
          <t>PRY-002</t>
        </is>
      </c>
      <c r="G1138" t="inlineStr">
        <is>
          <t>Feria Inmobiliaria</t>
        </is>
      </c>
      <c r="H1138" t="inlineStr">
        <is>
          <t>Sofía Prada</t>
        </is>
      </c>
      <c r="I1138" t="inlineStr">
        <is>
          <t>Perdido</t>
        </is>
      </c>
      <c r="J1138" s="28" t="n">
        <v>45645</v>
      </c>
      <c r="K1138" s="28" t="n">
        <v>45672</v>
      </c>
      <c r="L1138" t="inlineStr">
        <is>
          <t>No calificó para crédito</t>
        </is>
      </c>
    </row>
    <row r="1139">
      <c r="A1139" t="inlineStr">
        <is>
          <t>CLI-1137</t>
        </is>
      </c>
      <c r="B1139" t="inlineStr">
        <is>
          <t>Ricardo Vásquez Giraldo</t>
        </is>
      </c>
      <c r="C1139" t="inlineStr">
        <is>
          <t>3008595955</t>
        </is>
      </c>
      <c r="D1139" t="inlineStr">
        <is>
          <t>ricardo.vasquez38@gmail.com</t>
        </is>
      </c>
      <c r="E1139" t="inlineStr">
        <is>
          <t>Envigado</t>
        </is>
      </c>
      <c r="F1139" t="inlineStr">
        <is>
          <t>PRY-007</t>
        </is>
      </c>
      <c r="G1139" t="inlineStr">
        <is>
          <t>Facebook</t>
        </is>
      </c>
      <c r="H1139" t="inlineStr">
        <is>
          <t>Paula Arenas</t>
        </is>
      </c>
      <c r="I1139" t="inlineStr">
        <is>
          <t>Ganado</t>
        </is>
      </c>
      <c r="J1139" s="28" t="n">
        <v>45646</v>
      </c>
      <c r="K1139" s="28" t="n">
        <v>45724</v>
      </c>
      <c r="L1139" t="inlineStr">
        <is>
          <t>Compró Apto 1006 en Mirador de Envigado</t>
        </is>
      </c>
    </row>
    <row r="1140">
      <c r="A1140" t="inlineStr">
        <is>
          <t>CLI-1138</t>
        </is>
      </c>
      <c r="B1140" t="inlineStr">
        <is>
          <t>Hernán Gómez Cano</t>
        </is>
      </c>
      <c r="C1140" t="inlineStr">
        <is>
          <t>3137462433</t>
        </is>
      </c>
      <c r="D1140" t="inlineStr">
        <is>
          <t>hernan.gomez24@outlook.com</t>
        </is>
      </c>
      <c r="E1140" t="inlineStr">
        <is>
          <t>Envigado</t>
        </is>
      </c>
      <c r="F1140" t="inlineStr">
        <is>
          <t>PRY-005</t>
        </is>
      </c>
      <c r="G1140" t="inlineStr">
        <is>
          <t>Referido</t>
        </is>
      </c>
      <c r="H1140" t="inlineStr">
        <is>
          <t>Miguel Salazar</t>
        </is>
      </c>
      <c r="I1140" t="inlineStr">
        <is>
          <t>Perdido</t>
        </is>
      </c>
      <c r="J1140" s="28" t="n">
        <v>45646</v>
      </c>
      <c r="K1140" s="28" t="n">
        <v>45655</v>
      </c>
      <c r="L1140" t="inlineStr">
        <is>
          <t>No calificó para crédito</t>
        </is>
      </c>
    </row>
    <row r="1141">
      <c r="A1141" t="inlineStr">
        <is>
          <t>CLI-1139</t>
        </is>
      </c>
      <c r="B1141" t="inlineStr">
        <is>
          <t>Hernán Toro Toro</t>
        </is>
      </c>
      <c r="C1141" t="inlineStr">
        <is>
          <t>3227016672</t>
        </is>
      </c>
      <c r="D1141" t="inlineStr">
        <is>
          <t>hernan.toro49@hotmail.com</t>
        </is>
      </c>
      <c r="E1141" t="inlineStr">
        <is>
          <t>La Estrella</t>
        </is>
      </c>
      <c r="F1141" t="inlineStr">
        <is>
          <t>PRY-001</t>
        </is>
      </c>
      <c r="G1141" t="inlineStr">
        <is>
          <t>Feria Inmobiliaria</t>
        </is>
      </c>
      <c r="H1141" t="inlineStr">
        <is>
          <t>Santiago Muñoz</t>
        </is>
      </c>
      <c r="I1141" t="inlineStr">
        <is>
          <t>Perdido</t>
        </is>
      </c>
      <c r="J1141" s="28" t="n">
        <v>45646</v>
      </c>
      <c r="K1141" s="28" t="n">
        <v>45660</v>
      </c>
      <c r="L1141" t="inlineStr">
        <is>
          <t>No calificó para crédito</t>
        </is>
      </c>
    </row>
    <row r="1142">
      <c r="A1142" t="inlineStr">
        <is>
          <t>CLI-1140</t>
        </is>
      </c>
      <c r="B1142" t="inlineStr">
        <is>
          <t>David Zapata Hernández</t>
        </is>
      </c>
      <c r="C1142" t="inlineStr">
        <is>
          <t>3178003544</t>
        </is>
      </c>
      <c r="D1142" t="inlineStr">
        <is>
          <t>david.zapata81@hotmail.com</t>
        </is>
      </c>
      <c r="E1142" t="inlineStr">
        <is>
          <t>Medellín</t>
        </is>
      </c>
      <c r="F1142" t="inlineStr">
        <is>
          <t>PRY-001</t>
        </is>
      </c>
      <c r="G1142" t="inlineStr">
        <is>
          <t>Facebook</t>
        </is>
      </c>
      <c r="H1142" t="inlineStr">
        <is>
          <t>Andrés Torres</t>
        </is>
      </c>
      <c r="I1142" t="inlineStr">
        <is>
          <t>Perdido</t>
        </is>
      </c>
      <c r="J1142" s="28" t="n">
        <v>45646</v>
      </c>
      <c r="K1142" s="28" t="n">
        <v>45673</v>
      </c>
      <c r="L1142" t="inlineStr">
        <is>
          <t>Sin respuesta tras 3 contactos</t>
        </is>
      </c>
    </row>
    <row r="1143">
      <c r="A1143" t="inlineStr">
        <is>
          <t>CLI-1141</t>
        </is>
      </c>
      <c r="B1143" t="inlineStr">
        <is>
          <t>Natalia Espinosa Salazar</t>
        </is>
      </c>
      <c r="C1143" t="inlineStr">
        <is>
          <t>3155355403</t>
        </is>
      </c>
      <c r="D1143" t="inlineStr">
        <is>
          <t>natalia.espinosa62@gmail.com</t>
        </is>
      </c>
      <c r="E1143" t="inlineStr">
        <is>
          <t>Itagüí</t>
        </is>
      </c>
      <c r="F1143" t="inlineStr">
        <is>
          <t>PRY-008</t>
        </is>
      </c>
      <c r="G1143" t="inlineStr">
        <is>
          <t>Referido</t>
        </is>
      </c>
      <c r="H1143" t="inlineStr">
        <is>
          <t>Paula Arenas</t>
        </is>
      </c>
      <c r="I1143" t="inlineStr">
        <is>
          <t>Ganado</t>
        </is>
      </c>
      <c r="J1143" s="28" t="n">
        <v>45647</v>
      </c>
      <c r="K1143" s="28" t="n">
        <v>45734</v>
      </c>
      <c r="L1143" t="inlineStr">
        <is>
          <t>Compró Casa 90 en Valle Verde Itagüí</t>
        </is>
      </c>
    </row>
    <row r="1144">
      <c r="A1144" t="inlineStr">
        <is>
          <t>CLI-1142</t>
        </is>
      </c>
      <c r="B1144" t="inlineStr">
        <is>
          <t>Sara Londoño Cifuentes</t>
        </is>
      </c>
      <c r="C1144" t="inlineStr">
        <is>
          <t>3046615655</t>
        </is>
      </c>
      <c r="D1144" t="inlineStr">
        <is>
          <t>sara.londono56@gmail.com</t>
        </is>
      </c>
      <c r="E1144" t="inlineStr">
        <is>
          <t>Sabaneta</t>
        </is>
      </c>
      <c r="F1144" t="inlineStr">
        <is>
          <t>PRY-001</t>
        </is>
      </c>
      <c r="G1144" t="inlineStr">
        <is>
          <t>Facebook</t>
        </is>
      </c>
      <c r="H1144" t="inlineStr">
        <is>
          <t>Santiago Muñoz</t>
        </is>
      </c>
      <c r="I1144" t="inlineStr">
        <is>
          <t>Perdido</t>
        </is>
      </c>
      <c r="J1144" s="28" t="n">
        <v>45647</v>
      </c>
      <c r="K1144" s="28" t="n">
        <v>45671</v>
      </c>
      <c r="L1144" t="inlineStr">
        <is>
          <t>Sin respuesta tras 3 contactos</t>
        </is>
      </c>
    </row>
    <row r="1145">
      <c r="A1145" t="inlineStr">
        <is>
          <t>CLI-1143</t>
        </is>
      </c>
      <c r="B1145" t="inlineStr">
        <is>
          <t>María Zapata Cifuentes</t>
        </is>
      </c>
      <c r="C1145" t="inlineStr">
        <is>
          <t>3109221574</t>
        </is>
      </c>
      <c r="D1145" t="inlineStr">
        <is>
          <t>maria.zapata98@yahoo.com</t>
        </is>
      </c>
      <c r="E1145" t="inlineStr">
        <is>
          <t>Medellín</t>
        </is>
      </c>
      <c r="F1145" t="inlineStr">
        <is>
          <t>PRY-004</t>
        </is>
      </c>
      <c r="G1145" t="inlineStr">
        <is>
          <t>Portal Web</t>
        </is>
      </c>
      <c r="H1145" t="inlineStr">
        <is>
          <t>Santiago Muñoz</t>
        </is>
      </c>
      <c r="I1145" t="inlineStr">
        <is>
          <t>Perdido</t>
        </is>
      </c>
      <c r="J1145" s="28" t="n">
        <v>45647</v>
      </c>
      <c r="K1145" s="28" t="n">
        <v>45676</v>
      </c>
      <c r="L1145" t="inlineStr">
        <is>
          <t>Presupuesto insuficiente</t>
        </is>
      </c>
    </row>
    <row r="1146">
      <c r="A1146" t="inlineStr">
        <is>
          <t>CLI-1144</t>
        </is>
      </c>
      <c r="B1146" t="inlineStr">
        <is>
          <t>Ximena Quintero Gómez</t>
        </is>
      </c>
      <c r="C1146" t="inlineStr">
        <is>
          <t>3171928883</t>
        </is>
      </c>
      <c r="D1146" t="inlineStr">
        <is>
          <t>ximena.quintero62@hotmail.com</t>
        </is>
      </c>
      <c r="E1146" t="inlineStr">
        <is>
          <t>Medellín</t>
        </is>
      </c>
      <c r="F1146" t="inlineStr">
        <is>
          <t>PRY-004</t>
        </is>
      </c>
      <c r="G1146" t="inlineStr">
        <is>
          <t>Portal Web</t>
        </is>
      </c>
      <c r="H1146" t="inlineStr">
        <is>
          <t>Luis Bedoya</t>
        </is>
      </c>
      <c r="I1146" t="inlineStr">
        <is>
          <t>Perdido</t>
        </is>
      </c>
      <c r="J1146" s="28" t="n">
        <v>45647</v>
      </c>
      <c r="K1146" s="28" t="n">
        <v>45676</v>
      </c>
      <c r="L1146" t="inlineStr">
        <is>
          <t>Sin respuesta tras 3 contactos</t>
        </is>
      </c>
    </row>
    <row r="1147">
      <c r="A1147" t="inlineStr">
        <is>
          <t>CLI-1145</t>
        </is>
      </c>
      <c r="B1147" t="inlineStr">
        <is>
          <t>Fernando Higuita Toro</t>
        </is>
      </c>
      <c r="C1147" t="inlineStr">
        <is>
          <t>3135249086</t>
        </is>
      </c>
      <c r="D1147" t="inlineStr">
        <is>
          <t>fernando.higuita61@gmail.com</t>
        </is>
      </c>
      <c r="E1147" t="inlineStr">
        <is>
          <t>Medellín</t>
        </is>
      </c>
      <c r="F1147" t="inlineStr">
        <is>
          <t>PRY-001</t>
        </is>
      </c>
      <c r="G1147" t="inlineStr">
        <is>
          <t>Feria Inmobiliaria</t>
        </is>
      </c>
      <c r="H1147" t="inlineStr">
        <is>
          <t>Santiago Muñoz</t>
        </is>
      </c>
      <c r="I1147" t="inlineStr">
        <is>
          <t>Ganado</t>
        </is>
      </c>
      <c r="J1147" s="28" t="n">
        <v>45648</v>
      </c>
      <c r="K1147" s="28" t="n">
        <v>45751</v>
      </c>
      <c r="L1147" t="inlineStr">
        <is>
          <t>Compró Apto 1905 en Torres del Poblado</t>
        </is>
      </c>
    </row>
    <row r="1148">
      <c r="A1148" t="inlineStr">
        <is>
          <t>CLI-1146</t>
        </is>
      </c>
      <c r="B1148" t="inlineStr">
        <is>
          <t>Laura Sánchez Salazar</t>
        </is>
      </c>
      <c r="C1148" t="inlineStr">
        <is>
          <t>3044827310</t>
        </is>
      </c>
      <c r="D1148" t="inlineStr">
        <is>
          <t>laura.sanchez37@hotmail.com</t>
        </is>
      </c>
      <c r="E1148" t="inlineStr">
        <is>
          <t>Itagüí</t>
        </is>
      </c>
      <c r="F1148" t="inlineStr">
        <is>
          <t>PRY-008</t>
        </is>
      </c>
      <c r="G1148" t="inlineStr">
        <is>
          <t>Feria Inmobiliaria</t>
        </is>
      </c>
      <c r="H1148" t="inlineStr">
        <is>
          <t>Miguel Salazar</t>
        </is>
      </c>
      <c r="I1148" t="inlineStr">
        <is>
          <t>Perdido</t>
        </is>
      </c>
      <c r="J1148" s="28" t="n">
        <v>45648</v>
      </c>
      <c r="K1148" s="28" t="n">
        <v>45731</v>
      </c>
      <c r="L1148" t="inlineStr">
        <is>
          <t>Precio fuera de presupuesto</t>
        </is>
      </c>
    </row>
    <row r="1149">
      <c r="A1149" t="inlineStr">
        <is>
          <t>CLI-1147</t>
        </is>
      </c>
      <c r="B1149" t="inlineStr">
        <is>
          <t>Sandra López Echeverri</t>
        </is>
      </c>
      <c r="C1149" t="inlineStr">
        <is>
          <t>3177968089</t>
        </is>
      </c>
      <c r="D1149" t="inlineStr">
        <is>
          <t>sandra.lopez15@gmail.com</t>
        </is>
      </c>
      <c r="E1149" t="inlineStr">
        <is>
          <t>Medellín</t>
        </is>
      </c>
      <c r="F1149" t="inlineStr">
        <is>
          <t>PRY-001</t>
        </is>
      </c>
      <c r="G1149" t="inlineStr">
        <is>
          <t>Referido</t>
        </is>
      </c>
      <c r="H1149" t="inlineStr">
        <is>
          <t>Juliana Vélez</t>
        </is>
      </c>
      <c r="I1149" t="inlineStr">
        <is>
          <t>Perdido</t>
        </is>
      </c>
      <c r="J1149" s="28" t="n">
        <v>45648</v>
      </c>
      <c r="K1149" s="28" t="n">
        <v>45660</v>
      </c>
      <c r="L1149" t="inlineStr">
        <is>
          <t>Presupuesto insuficiente</t>
        </is>
      </c>
    </row>
    <row r="1150">
      <c r="A1150" t="inlineStr">
        <is>
          <t>CLI-1148</t>
        </is>
      </c>
      <c r="B1150" t="inlineStr">
        <is>
          <t>Daniela Valencia Zapata</t>
        </is>
      </c>
      <c r="C1150" t="inlineStr">
        <is>
          <t>3104111903</t>
        </is>
      </c>
      <c r="D1150" t="inlineStr">
        <is>
          <t>daniela.valencia98@gmail.com</t>
        </is>
      </c>
      <c r="E1150" t="inlineStr">
        <is>
          <t>Rionegro</t>
        </is>
      </c>
      <c r="F1150" t="inlineStr">
        <is>
          <t>PRY-005</t>
        </is>
      </c>
      <c r="G1150" t="inlineStr">
        <is>
          <t>Feria Inmobiliaria</t>
        </is>
      </c>
      <c r="H1150" t="inlineStr">
        <is>
          <t>Ana Quintero</t>
        </is>
      </c>
      <c r="I1150" t="inlineStr">
        <is>
          <t>Ganado</t>
        </is>
      </c>
      <c r="J1150" s="28" t="n">
        <v>45649</v>
      </c>
      <c r="K1150" s="28" t="n">
        <v>45762</v>
      </c>
      <c r="L1150" t="inlineStr">
        <is>
          <t>Compró Apto 702 en Ciudadela Rionegro</t>
        </is>
      </c>
    </row>
    <row r="1151">
      <c r="A1151" t="inlineStr">
        <is>
          <t>CLI-1149</t>
        </is>
      </c>
      <c r="B1151" t="inlineStr">
        <is>
          <t>Verónica Jaramillo Marín</t>
        </is>
      </c>
      <c r="C1151" t="inlineStr">
        <is>
          <t>3144120723</t>
        </is>
      </c>
      <c r="D1151" t="inlineStr">
        <is>
          <t>veronica.jaramillo93@gmail.com</t>
        </is>
      </c>
      <c r="E1151" t="inlineStr">
        <is>
          <t>Rionegro</t>
        </is>
      </c>
      <c r="F1151" t="inlineStr">
        <is>
          <t>PRY-005</t>
        </is>
      </c>
      <c r="G1151" t="inlineStr">
        <is>
          <t>Portal Web</t>
        </is>
      </c>
      <c r="H1151" t="inlineStr">
        <is>
          <t>Andrés Torres</t>
        </is>
      </c>
      <c r="I1151" t="inlineStr">
        <is>
          <t>Ganado</t>
        </is>
      </c>
      <c r="J1151" s="28" t="n">
        <v>45649</v>
      </c>
      <c r="K1151" s="28" t="n">
        <v>45787</v>
      </c>
      <c r="L1151" t="inlineStr">
        <is>
          <t>Compró Casa 44 en Ciudadela Rionegro</t>
        </is>
      </c>
    </row>
    <row r="1152">
      <c r="A1152" t="inlineStr">
        <is>
          <t>CLI-1150</t>
        </is>
      </c>
      <c r="B1152" t="inlineStr">
        <is>
          <t>Sofía Agudelo Giraldo</t>
        </is>
      </c>
      <c r="C1152" t="inlineStr">
        <is>
          <t>3176890854</t>
        </is>
      </c>
      <c r="D1152" t="inlineStr">
        <is>
          <t>sofia.agudelo48@outlook.com</t>
        </is>
      </c>
      <c r="E1152" t="inlineStr">
        <is>
          <t>Medellín</t>
        </is>
      </c>
      <c r="F1152" t="inlineStr">
        <is>
          <t>PRY-003</t>
        </is>
      </c>
      <c r="G1152" t="inlineStr">
        <is>
          <t>Portal Web</t>
        </is>
      </c>
      <c r="H1152" t="inlineStr">
        <is>
          <t>Paula Arenas</t>
        </is>
      </c>
      <c r="I1152" t="inlineStr">
        <is>
          <t>Perdido</t>
        </is>
      </c>
      <c r="J1152" s="28" t="n">
        <v>45649</v>
      </c>
      <c r="K1152" s="28" t="n">
        <v>45656</v>
      </c>
      <c r="L1152" t="inlineStr">
        <is>
          <t>No calificó para crédito</t>
        </is>
      </c>
    </row>
    <row r="1153">
      <c r="A1153" t="inlineStr">
        <is>
          <t>CLI-1151</t>
        </is>
      </c>
      <c r="B1153" t="inlineStr">
        <is>
          <t>Sofía Pérez Sánchez</t>
        </is>
      </c>
      <c r="C1153" t="inlineStr">
        <is>
          <t>3222646490</t>
        </is>
      </c>
      <c r="D1153" t="inlineStr">
        <is>
          <t>sofia.perez66@gmail.com</t>
        </is>
      </c>
      <c r="E1153" t="inlineStr">
        <is>
          <t>Medellín</t>
        </is>
      </c>
      <c r="F1153" t="inlineStr">
        <is>
          <t>PRY-004</t>
        </is>
      </c>
      <c r="G1153" t="inlineStr">
        <is>
          <t>Portal Web</t>
        </is>
      </c>
      <c r="H1153" t="inlineStr">
        <is>
          <t>Sofía Prada</t>
        </is>
      </c>
      <c r="I1153" t="inlineStr">
        <is>
          <t>Perdido</t>
        </is>
      </c>
      <c r="J1153" s="28" t="n">
        <v>45649</v>
      </c>
      <c r="K1153" s="28" t="n">
        <v>45675</v>
      </c>
      <c r="L1153" t="inlineStr">
        <is>
          <t>No calificó para crédito</t>
        </is>
      </c>
    </row>
    <row r="1154">
      <c r="A1154" t="inlineStr">
        <is>
          <t>CLI-1152</t>
        </is>
      </c>
      <c r="B1154" t="inlineStr">
        <is>
          <t>Paula Ochoa Zuluaga</t>
        </is>
      </c>
      <c r="C1154" t="inlineStr">
        <is>
          <t>3004457743</t>
        </is>
      </c>
      <c r="D1154" t="inlineStr">
        <is>
          <t>paula.ochoa5@hotmail.com</t>
        </is>
      </c>
      <c r="E1154" t="inlineStr">
        <is>
          <t>Rionegro</t>
        </is>
      </c>
      <c r="F1154" t="inlineStr">
        <is>
          <t>PRY-005</t>
        </is>
      </c>
      <c r="G1154" t="inlineStr">
        <is>
          <t>Portal Web</t>
        </is>
      </c>
      <c r="H1154" t="inlineStr">
        <is>
          <t>Luis Bedoya</t>
        </is>
      </c>
      <c r="I1154" t="inlineStr">
        <is>
          <t>Perdido</t>
        </is>
      </c>
      <c r="J1154" s="28" t="n">
        <v>45649</v>
      </c>
      <c r="K1154" s="28" t="n">
        <v>45661</v>
      </c>
      <c r="L1154" t="inlineStr">
        <is>
          <t>Buscaba arriendo, no compra</t>
        </is>
      </c>
    </row>
    <row r="1155">
      <c r="A1155" t="inlineStr">
        <is>
          <t>CLI-1153</t>
        </is>
      </c>
      <c r="B1155" t="inlineStr">
        <is>
          <t>Gloria Cano Cardona</t>
        </is>
      </c>
      <c r="C1155" t="inlineStr">
        <is>
          <t>3234159835</t>
        </is>
      </c>
      <c r="D1155" t="inlineStr">
        <is>
          <t>gloria.cano16@yahoo.com</t>
        </is>
      </c>
      <c r="E1155" t="inlineStr">
        <is>
          <t>Itagüí</t>
        </is>
      </c>
      <c r="F1155" t="inlineStr">
        <is>
          <t>PRY-008</t>
        </is>
      </c>
      <c r="G1155" t="inlineStr">
        <is>
          <t>Portal Web</t>
        </is>
      </c>
      <c r="H1155" t="inlineStr">
        <is>
          <t>Luis Bedoya</t>
        </is>
      </c>
      <c r="I1155" t="inlineStr">
        <is>
          <t>Perdido</t>
        </is>
      </c>
      <c r="J1155" s="28" t="n">
        <v>45649</v>
      </c>
      <c r="K1155" s="28" t="n">
        <v>45659</v>
      </c>
      <c r="L1155" t="inlineStr">
        <is>
          <t>Sin respuesta tras 3 contactos</t>
        </is>
      </c>
    </row>
    <row r="1156">
      <c r="A1156" t="inlineStr">
        <is>
          <t>CLI-1154</t>
        </is>
      </c>
      <c r="B1156" t="inlineStr">
        <is>
          <t>Paula Echeverri Vélez</t>
        </is>
      </c>
      <c r="C1156" t="inlineStr">
        <is>
          <t>3178428220</t>
        </is>
      </c>
      <c r="D1156" t="inlineStr">
        <is>
          <t>paula.echeverri76@gmail.com</t>
        </is>
      </c>
      <c r="E1156" t="inlineStr">
        <is>
          <t>Itagüí</t>
        </is>
      </c>
      <c r="F1156" t="inlineStr">
        <is>
          <t>PRY-008</t>
        </is>
      </c>
      <c r="G1156" t="inlineStr">
        <is>
          <t>Feria Inmobiliaria</t>
        </is>
      </c>
      <c r="H1156" t="inlineStr">
        <is>
          <t>Paula Arenas</t>
        </is>
      </c>
      <c r="I1156" t="inlineStr">
        <is>
          <t>Ganado</t>
        </is>
      </c>
      <c r="J1156" s="28" t="n">
        <v>45650</v>
      </c>
      <c r="K1156" s="28" t="n">
        <v>45716</v>
      </c>
      <c r="L1156" t="inlineStr">
        <is>
          <t>Compró Casa 74 en Valle Verde Itagüí</t>
        </is>
      </c>
    </row>
    <row r="1157">
      <c r="A1157" t="inlineStr">
        <is>
          <t>CLI-1155</t>
        </is>
      </c>
      <c r="B1157" t="inlineStr">
        <is>
          <t>Juan Pablo Jaramillo Escobar</t>
        </is>
      </c>
      <c r="C1157" t="inlineStr">
        <is>
          <t>3109876142</t>
        </is>
      </c>
      <c r="D1157" t="inlineStr">
        <is>
          <t>juan.jaramillo48@hotmail.com</t>
        </is>
      </c>
      <c r="E1157" t="inlineStr">
        <is>
          <t>Itagüí</t>
        </is>
      </c>
      <c r="F1157" t="inlineStr">
        <is>
          <t>PRY-008</t>
        </is>
      </c>
      <c r="G1157" t="inlineStr">
        <is>
          <t>Referido</t>
        </is>
      </c>
      <c r="H1157" t="inlineStr">
        <is>
          <t>Santiago Muñoz</t>
        </is>
      </c>
      <c r="I1157" t="inlineStr">
        <is>
          <t>Ganado</t>
        </is>
      </c>
      <c r="J1157" s="28" t="n">
        <v>45650</v>
      </c>
      <c r="K1157" s="28" t="n">
        <v>45728</v>
      </c>
      <c r="L1157" t="inlineStr">
        <is>
          <t>Compró Casa 102 en Valle Verde Itagüí</t>
        </is>
      </c>
    </row>
    <row r="1158">
      <c r="A1158" t="inlineStr">
        <is>
          <t>CLI-1156</t>
        </is>
      </c>
      <c r="B1158" t="inlineStr">
        <is>
          <t>Ximena Gómez Correa</t>
        </is>
      </c>
      <c r="C1158" t="inlineStr">
        <is>
          <t>3142693900</t>
        </is>
      </c>
      <c r="D1158" t="inlineStr">
        <is>
          <t>ximena.gomez29@hotmail.com</t>
        </is>
      </c>
      <c r="E1158" t="inlineStr">
        <is>
          <t>Medellín</t>
        </is>
      </c>
      <c r="F1158" t="inlineStr">
        <is>
          <t>PRY-004</t>
        </is>
      </c>
      <c r="G1158" t="inlineStr">
        <is>
          <t>Portal Web</t>
        </is>
      </c>
      <c r="H1158" t="inlineStr">
        <is>
          <t>Sofía Prada</t>
        </is>
      </c>
      <c r="I1158" t="inlineStr">
        <is>
          <t>Perdido</t>
        </is>
      </c>
      <c r="J1158" s="28" t="n">
        <v>45650</v>
      </c>
      <c r="K1158" s="28" t="n">
        <v>45703</v>
      </c>
      <c r="L1158" t="inlineStr">
        <is>
          <t>Desistió de la compra</t>
        </is>
      </c>
    </row>
    <row r="1159">
      <c r="A1159" t="inlineStr">
        <is>
          <t>CLI-1157</t>
        </is>
      </c>
      <c r="B1159" t="inlineStr">
        <is>
          <t>Lorena Montes Ramírez</t>
        </is>
      </c>
      <c r="C1159" t="inlineStr">
        <is>
          <t>3014071302</t>
        </is>
      </c>
      <c r="D1159" t="inlineStr">
        <is>
          <t>lorena.montes86@outlook.com</t>
        </is>
      </c>
      <c r="E1159" t="inlineStr">
        <is>
          <t>Envigado</t>
        </is>
      </c>
      <c r="F1159" t="inlineStr">
        <is>
          <t>PRY-008</t>
        </is>
      </c>
      <c r="G1159" t="inlineStr">
        <is>
          <t>Facebook</t>
        </is>
      </c>
      <c r="H1159" t="inlineStr">
        <is>
          <t>Ana Quintero</t>
        </is>
      </c>
      <c r="I1159" t="inlineStr">
        <is>
          <t>Perdido</t>
        </is>
      </c>
      <c r="J1159" s="28" t="n">
        <v>45650</v>
      </c>
      <c r="K1159" s="28" t="n">
        <v>45722</v>
      </c>
      <c r="L1159" t="inlineStr">
        <is>
          <t>Eligió otro proyecto</t>
        </is>
      </c>
    </row>
    <row r="1160">
      <c r="A1160" t="inlineStr">
        <is>
          <t>CLI-1158</t>
        </is>
      </c>
      <c r="B1160" t="inlineStr">
        <is>
          <t>Natalia Álvarez Vargas</t>
        </is>
      </c>
      <c r="C1160" t="inlineStr">
        <is>
          <t>3249060107</t>
        </is>
      </c>
      <c r="D1160" t="inlineStr">
        <is>
          <t>natalia.alvarez71@yahoo.com</t>
        </is>
      </c>
      <c r="E1160" t="inlineStr">
        <is>
          <t>Rionegro</t>
        </is>
      </c>
      <c r="F1160" t="inlineStr">
        <is>
          <t>PRY-005</t>
        </is>
      </c>
      <c r="G1160" t="inlineStr">
        <is>
          <t>Referido</t>
        </is>
      </c>
      <c r="H1160" t="inlineStr">
        <is>
          <t>Ana Quintero</t>
        </is>
      </c>
      <c r="I1160" t="inlineStr">
        <is>
          <t>Perdido</t>
        </is>
      </c>
      <c r="J1160" s="28" t="n">
        <v>45650</v>
      </c>
      <c r="K1160" s="28" t="n">
        <v>45700</v>
      </c>
      <c r="L1160" t="inlineStr">
        <is>
          <t>Eligió otro proyecto</t>
        </is>
      </c>
    </row>
    <row r="1161">
      <c r="A1161" t="inlineStr">
        <is>
          <t>CLI-1159</t>
        </is>
      </c>
      <c r="B1161" t="inlineStr">
        <is>
          <t>Esteban Restrepo Montoya</t>
        </is>
      </c>
      <c r="C1161" t="inlineStr">
        <is>
          <t>3155405703</t>
        </is>
      </c>
      <c r="D1161" t="inlineStr">
        <is>
          <t>esteban.restrepo65@gmail.com</t>
        </is>
      </c>
      <c r="E1161" t="inlineStr">
        <is>
          <t>Envigado</t>
        </is>
      </c>
      <c r="F1161" t="inlineStr">
        <is>
          <t>PRY-007</t>
        </is>
      </c>
      <c r="G1161" t="inlineStr">
        <is>
          <t>Portal Web</t>
        </is>
      </c>
      <c r="H1161" t="inlineStr">
        <is>
          <t>Sofía Prada</t>
        </is>
      </c>
      <c r="I1161" t="inlineStr">
        <is>
          <t>Perdido</t>
        </is>
      </c>
      <c r="J1161" s="28" t="n">
        <v>45650</v>
      </c>
      <c r="K1161" s="28" t="n">
        <v>45656</v>
      </c>
      <c r="L1161" t="inlineStr">
        <is>
          <t>Sin respuesta tras 3 contactos</t>
        </is>
      </c>
    </row>
    <row r="1162">
      <c r="A1162" t="inlineStr">
        <is>
          <t>CLI-1160</t>
        </is>
      </c>
      <c r="B1162" t="inlineStr">
        <is>
          <t>Mauricio Álvarez Castaño</t>
        </is>
      </c>
      <c r="C1162" t="inlineStr">
        <is>
          <t>3224587318</t>
        </is>
      </c>
      <c r="D1162" t="inlineStr">
        <is>
          <t>mauricio.alvarez13@hotmail.com</t>
        </is>
      </c>
      <c r="E1162" t="inlineStr">
        <is>
          <t>La Estrella</t>
        </is>
      </c>
      <c r="F1162" t="inlineStr">
        <is>
          <t>PRY-007</t>
        </is>
      </c>
      <c r="G1162" t="inlineStr">
        <is>
          <t>Instagram</t>
        </is>
      </c>
      <c r="H1162" t="inlineStr">
        <is>
          <t>Paula Arenas</t>
        </is>
      </c>
      <c r="I1162" t="inlineStr">
        <is>
          <t>Perdido</t>
        </is>
      </c>
      <c r="J1162" s="28" t="n">
        <v>45650</v>
      </c>
      <c r="K1162" s="28" t="n">
        <v>45673</v>
      </c>
      <c r="L1162" t="inlineStr">
        <is>
          <t>Sin respuesta tras 3 contactos</t>
        </is>
      </c>
    </row>
    <row r="1163">
      <c r="A1163" t="inlineStr">
        <is>
          <t>CLI-1161</t>
        </is>
      </c>
      <c r="B1163" t="inlineStr">
        <is>
          <t>Manuela Espinosa Echeverri</t>
        </is>
      </c>
      <c r="C1163" t="inlineStr">
        <is>
          <t>3208860399</t>
        </is>
      </c>
      <c r="D1163" t="inlineStr">
        <is>
          <t>manuela.espinosa56@yahoo.com</t>
        </is>
      </c>
      <c r="E1163" t="inlineStr">
        <is>
          <t>La Estrella</t>
        </is>
      </c>
      <c r="F1163" t="inlineStr">
        <is>
          <t>PRY-002</t>
        </is>
      </c>
      <c r="G1163" t="inlineStr">
        <is>
          <t>Portal Web</t>
        </is>
      </c>
      <c r="H1163" t="inlineStr">
        <is>
          <t>Ana Quintero</t>
        </is>
      </c>
      <c r="I1163" t="inlineStr">
        <is>
          <t>Perdido</t>
        </is>
      </c>
      <c r="J1163" s="28" t="n">
        <v>45650</v>
      </c>
      <c r="K1163" s="28" t="n">
        <v>45680</v>
      </c>
      <c r="L1163" t="inlineStr">
        <is>
          <t>No calificó para crédito</t>
        </is>
      </c>
    </row>
    <row r="1164">
      <c r="A1164" t="inlineStr">
        <is>
          <t>CLI-1162</t>
        </is>
      </c>
      <c r="B1164" t="inlineStr">
        <is>
          <t>Patricia Franco Duque</t>
        </is>
      </c>
      <c r="C1164" t="inlineStr">
        <is>
          <t>3019129603</t>
        </is>
      </c>
      <c r="D1164" t="inlineStr">
        <is>
          <t>patricia.franco35@yahoo.com</t>
        </is>
      </c>
      <c r="E1164" t="inlineStr">
        <is>
          <t>Envigado</t>
        </is>
      </c>
      <c r="F1164" t="inlineStr">
        <is>
          <t>PRY-005</t>
        </is>
      </c>
      <c r="G1164" t="inlineStr">
        <is>
          <t>Instagram</t>
        </is>
      </c>
      <c r="H1164" t="inlineStr">
        <is>
          <t>Andrés Torres</t>
        </is>
      </c>
      <c r="I1164" t="inlineStr">
        <is>
          <t>Perdido</t>
        </is>
      </c>
      <c r="J1164" s="28" t="n">
        <v>45650</v>
      </c>
      <c r="K1164" s="28" t="n">
        <v>45672</v>
      </c>
      <c r="L1164" t="inlineStr">
        <is>
          <t>Presupuesto insuficiente</t>
        </is>
      </c>
    </row>
    <row r="1165">
      <c r="A1165" t="inlineStr">
        <is>
          <t>CLI-1163</t>
        </is>
      </c>
      <c r="B1165" t="inlineStr">
        <is>
          <t>Gabriel Cardona Hernández</t>
        </is>
      </c>
      <c r="C1165" t="inlineStr">
        <is>
          <t>3173518601</t>
        </is>
      </c>
      <c r="D1165" t="inlineStr">
        <is>
          <t>gabriel.cardona87@outlook.com</t>
        </is>
      </c>
      <c r="E1165" t="inlineStr">
        <is>
          <t>Medellín</t>
        </is>
      </c>
      <c r="F1165" t="inlineStr">
        <is>
          <t>PRY-003</t>
        </is>
      </c>
      <c r="G1165" t="inlineStr">
        <is>
          <t>Llamada directa</t>
        </is>
      </c>
      <c r="H1165" t="inlineStr">
        <is>
          <t>Juliana Vélez</t>
        </is>
      </c>
      <c r="I1165" t="inlineStr">
        <is>
          <t>Ganado</t>
        </is>
      </c>
      <c r="J1165" s="28" t="n">
        <v>45651</v>
      </c>
      <c r="K1165" s="28" t="n">
        <v>45748</v>
      </c>
      <c r="L1165" t="inlineStr">
        <is>
          <t>Compró Apto 2402 en Conecta Laureles</t>
        </is>
      </c>
    </row>
    <row r="1166">
      <c r="A1166" t="inlineStr">
        <is>
          <t>CLI-1164</t>
        </is>
      </c>
      <c r="B1166" t="inlineStr">
        <is>
          <t>Carlos Quintero Londoño</t>
        </is>
      </c>
      <c r="C1166" t="inlineStr">
        <is>
          <t>3157879502</t>
        </is>
      </c>
      <c r="D1166" t="inlineStr">
        <is>
          <t>carlos.quintero96@yahoo.com</t>
        </is>
      </c>
      <c r="E1166" t="inlineStr">
        <is>
          <t>Medellín</t>
        </is>
      </c>
      <c r="F1166" t="inlineStr">
        <is>
          <t>PRY-001</t>
        </is>
      </c>
      <c r="G1166" t="inlineStr">
        <is>
          <t>Instagram</t>
        </is>
      </c>
      <c r="H1166" t="inlineStr">
        <is>
          <t>Santiago Muñoz</t>
        </is>
      </c>
      <c r="I1166" t="inlineStr">
        <is>
          <t>Perdido</t>
        </is>
      </c>
      <c r="J1166" s="28" t="n">
        <v>45651</v>
      </c>
      <c r="K1166" s="28" t="n">
        <v>45672</v>
      </c>
      <c r="L1166" t="inlineStr">
        <is>
          <t>Datos de contacto errados</t>
        </is>
      </c>
    </row>
    <row r="1167">
      <c r="A1167" t="inlineStr">
        <is>
          <t>CLI-1165</t>
        </is>
      </c>
      <c r="B1167" t="inlineStr">
        <is>
          <t>Mateo Montoya Uribe</t>
        </is>
      </c>
      <c r="C1167" t="inlineStr">
        <is>
          <t>3046893130</t>
        </is>
      </c>
      <c r="D1167" t="inlineStr">
        <is>
          <t>mateo.montoya27@outlook.com</t>
        </is>
      </c>
      <c r="E1167" t="inlineStr">
        <is>
          <t>Medellín</t>
        </is>
      </c>
      <c r="F1167" t="inlineStr">
        <is>
          <t>PRY-004</t>
        </is>
      </c>
      <c r="G1167" t="inlineStr">
        <is>
          <t>Facebook</t>
        </is>
      </c>
      <c r="H1167" t="inlineStr">
        <is>
          <t>Andrés Torres</t>
        </is>
      </c>
      <c r="I1167" t="inlineStr">
        <is>
          <t>Perdido</t>
        </is>
      </c>
      <c r="J1167" s="28" t="n">
        <v>45651</v>
      </c>
      <c r="K1167" s="28" t="n">
        <v>45659</v>
      </c>
      <c r="L1167" t="inlineStr">
        <is>
          <t>No calificó para crédito</t>
        </is>
      </c>
    </row>
    <row r="1168">
      <c r="A1168" t="inlineStr">
        <is>
          <t>CLI-1166</t>
        </is>
      </c>
      <c r="B1168" t="inlineStr">
        <is>
          <t>Jorge Agudelo Correa</t>
        </is>
      </c>
      <c r="C1168" t="inlineStr">
        <is>
          <t>3014335396</t>
        </is>
      </c>
      <c r="D1168" t="inlineStr">
        <is>
          <t>jorge.agudelo4@outlook.com</t>
        </is>
      </c>
      <c r="E1168" t="inlineStr">
        <is>
          <t>Medellín</t>
        </is>
      </c>
      <c r="F1168" t="inlineStr">
        <is>
          <t>PRY-003</t>
        </is>
      </c>
      <c r="G1168" t="inlineStr">
        <is>
          <t>Instagram</t>
        </is>
      </c>
      <c r="H1168" t="inlineStr">
        <is>
          <t>Paula Arenas</t>
        </is>
      </c>
      <c r="I1168" t="inlineStr">
        <is>
          <t>Perdido</t>
        </is>
      </c>
      <c r="J1168" s="28" t="n">
        <v>45652</v>
      </c>
      <c r="K1168" s="28" t="n">
        <v>45668</v>
      </c>
      <c r="L1168" t="inlineStr">
        <is>
          <t>No calificó para crédito</t>
        </is>
      </c>
    </row>
    <row r="1169">
      <c r="A1169" t="inlineStr">
        <is>
          <t>CLI-1167</t>
        </is>
      </c>
      <c r="B1169" t="inlineStr">
        <is>
          <t>Laura Pérez Higuita</t>
        </is>
      </c>
      <c r="C1169" t="inlineStr">
        <is>
          <t>3142454157</t>
        </is>
      </c>
      <c r="D1169" t="inlineStr">
        <is>
          <t>laura.perez98@yahoo.com</t>
        </is>
      </c>
      <c r="E1169" t="inlineStr">
        <is>
          <t>Medellín</t>
        </is>
      </c>
      <c r="F1169" t="inlineStr">
        <is>
          <t>PRY-001</t>
        </is>
      </c>
      <c r="G1169" t="inlineStr">
        <is>
          <t>Portal Web</t>
        </is>
      </c>
      <c r="H1169" t="inlineStr">
        <is>
          <t>Luis Bedoya</t>
        </is>
      </c>
      <c r="I1169" t="inlineStr">
        <is>
          <t>Perdido</t>
        </is>
      </c>
      <c r="J1169" s="28" t="n">
        <v>45652</v>
      </c>
      <c r="K1169" s="28" t="n">
        <v>45658</v>
      </c>
      <c r="L1169" t="inlineStr">
        <is>
          <t>No calificó para crédito</t>
        </is>
      </c>
    </row>
    <row r="1170">
      <c r="A1170" t="inlineStr">
        <is>
          <t>CLI-1168</t>
        </is>
      </c>
      <c r="B1170" t="inlineStr">
        <is>
          <t>Ximena Franco Sánchez</t>
        </is>
      </c>
      <c r="C1170" t="inlineStr">
        <is>
          <t>3004460161</t>
        </is>
      </c>
      <c r="D1170" t="inlineStr">
        <is>
          <t>ximena.franco5@outlook.com</t>
        </is>
      </c>
      <c r="E1170" t="inlineStr">
        <is>
          <t>Medellín</t>
        </is>
      </c>
      <c r="F1170" t="inlineStr">
        <is>
          <t>PRY-002</t>
        </is>
      </c>
      <c r="G1170" t="inlineStr">
        <is>
          <t>Instagram</t>
        </is>
      </c>
      <c r="H1170" t="inlineStr">
        <is>
          <t>Luis Bedoya</t>
        </is>
      </c>
      <c r="I1170" t="inlineStr">
        <is>
          <t>Perdido</t>
        </is>
      </c>
      <c r="J1170" s="28" t="n">
        <v>45652</v>
      </c>
      <c r="K1170" s="28" t="n">
        <v>45657</v>
      </c>
      <c r="L1170" t="inlineStr">
        <is>
          <t>Sin respuesta tras 3 contactos</t>
        </is>
      </c>
    </row>
    <row r="1171">
      <c r="A1171" t="inlineStr">
        <is>
          <t>CLI-1169</t>
        </is>
      </c>
      <c r="B1171" t="inlineStr">
        <is>
          <t>David Toro Valencia</t>
        </is>
      </c>
      <c r="C1171" t="inlineStr">
        <is>
          <t>3158835167</t>
        </is>
      </c>
      <c r="D1171" t="inlineStr">
        <is>
          <t>david.toro2@yahoo.com</t>
        </is>
      </c>
      <c r="E1171" t="inlineStr">
        <is>
          <t>Medellín</t>
        </is>
      </c>
      <c r="F1171" t="inlineStr">
        <is>
          <t>PRY-003</t>
        </is>
      </c>
      <c r="G1171" t="inlineStr">
        <is>
          <t>Facebook</t>
        </is>
      </c>
      <c r="H1171" t="inlineStr">
        <is>
          <t>Paula Arenas</t>
        </is>
      </c>
      <c r="I1171" t="inlineStr">
        <is>
          <t>Perdido</t>
        </is>
      </c>
      <c r="J1171" s="28" t="n">
        <v>45652</v>
      </c>
      <c r="K1171" s="28" t="n">
        <v>45661</v>
      </c>
      <c r="L1171" t="inlineStr">
        <is>
          <t>Sin respuesta tras 3 contactos</t>
        </is>
      </c>
    </row>
    <row r="1172">
      <c r="A1172" t="inlineStr">
        <is>
          <t>CLI-1170</t>
        </is>
      </c>
      <c r="B1172" t="inlineStr">
        <is>
          <t>Fernando Ochoa Salcedo</t>
        </is>
      </c>
      <c r="C1172" t="inlineStr">
        <is>
          <t>3148585196</t>
        </is>
      </c>
      <c r="D1172" t="inlineStr">
        <is>
          <t>fernando.ochoa93@yahoo.com</t>
        </is>
      </c>
      <c r="E1172" t="inlineStr">
        <is>
          <t>Envigado</t>
        </is>
      </c>
      <c r="F1172" t="inlineStr">
        <is>
          <t>PRY-007</t>
        </is>
      </c>
      <c r="G1172" t="inlineStr">
        <is>
          <t>Feria Inmobiliaria</t>
        </is>
      </c>
      <c r="H1172" t="inlineStr">
        <is>
          <t>Luis Bedoya</t>
        </is>
      </c>
      <c r="I1172" t="inlineStr">
        <is>
          <t>Perdido</t>
        </is>
      </c>
      <c r="J1172" s="28" t="n">
        <v>45652</v>
      </c>
      <c r="K1172" s="28" t="n">
        <v>45664</v>
      </c>
      <c r="L1172" t="inlineStr">
        <is>
          <t>Presupuesto insuficiente</t>
        </is>
      </c>
    </row>
    <row r="1173">
      <c r="A1173" t="inlineStr">
        <is>
          <t>CLI-1171</t>
        </is>
      </c>
      <c r="B1173" t="inlineStr">
        <is>
          <t>Mariana Arango Higuita</t>
        </is>
      </c>
      <c r="C1173" t="inlineStr">
        <is>
          <t>3178204651</t>
        </is>
      </c>
      <c r="D1173" t="inlineStr">
        <is>
          <t>mariana.arango55@outlook.com</t>
        </is>
      </c>
      <c r="E1173" t="inlineStr">
        <is>
          <t>Itagüí</t>
        </is>
      </c>
      <c r="F1173" t="inlineStr">
        <is>
          <t>PRY-005</t>
        </is>
      </c>
      <c r="G1173" t="inlineStr">
        <is>
          <t>Facebook</t>
        </is>
      </c>
      <c r="H1173" t="inlineStr">
        <is>
          <t>Luis Bedoya</t>
        </is>
      </c>
      <c r="I1173" t="inlineStr">
        <is>
          <t>Perdido</t>
        </is>
      </c>
      <c r="J1173" s="28" t="n">
        <v>45652</v>
      </c>
      <c r="K1173" s="28" t="n">
        <v>45682</v>
      </c>
      <c r="L1173" t="inlineStr">
        <is>
          <t>No calificó para crédito</t>
        </is>
      </c>
    </row>
    <row r="1174">
      <c r="A1174" t="inlineStr">
        <is>
          <t>CLI-1172</t>
        </is>
      </c>
      <c r="B1174" t="inlineStr">
        <is>
          <t>Katherine Montoya Bedoya</t>
        </is>
      </c>
      <c r="C1174" t="inlineStr">
        <is>
          <t>3045533446</t>
        </is>
      </c>
      <c r="D1174" t="inlineStr">
        <is>
          <t>katherine.montoya21@yahoo.com</t>
        </is>
      </c>
      <c r="E1174" t="inlineStr">
        <is>
          <t>Itagüí</t>
        </is>
      </c>
      <c r="F1174" t="inlineStr">
        <is>
          <t>PRY-008</t>
        </is>
      </c>
      <c r="G1174" t="inlineStr">
        <is>
          <t>Referido</t>
        </is>
      </c>
      <c r="H1174" t="inlineStr">
        <is>
          <t>Luis Bedoya</t>
        </is>
      </c>
      <c r="I1174" t="inlineStr">
        <is>
          <t>Perdido</t>
        </is>
      </c>
      <c r="J1174" s="28" t="n">
        <v>45652</v>
      </c>
      <c r="K1174" s="28" t="n">
        <v>45657</v>
      </c>
      <c r="L1174" t="inlineStr">
        <is>
          <t>Sin respuesta tras 3 contactos</t>
        </is>
      </c>
    </row>
    <row r="1175">
      <c r="A1175" t="inlineStr">
        <is>
          <t>CLI-1173</t>
        </is>
      </c>
      <c r="B1175" t="inlineStr">
        <is>
          <t>Julián Valencia Hernández</t>
        </is>
      </c>
      <c r="C1175" t="inlineStr">
        <is>
          <t>3001858085</t>
        </is>
      </c>
      <c r="D1175" t="inlineStr">
        <is>
          <t>julian.valencia26@gmail.com</t>
        </is>
      </c>
      <c r="E1175" t="inlineStr">
        <is>
          <t>Rionegro</t>
        </is>
      </c>
      <c r="F1175" t="inlineStr">
        <is>
          <t>PRY-005</t>
        </is>
      </c>
      <c r="G1175" t="inlineStr">
        <is>
          <t>Facebook</t>
        </is>
      </c>
      <c r="H1175" t="inlineStr">
        <is>
          <t>Miguel Salazar</t>
        </is>
      </c>
      <c r="I1175" t="inlineStr">
        <is>
          <t>Perdido</t>
        </is>
      </c>
      <c r="J1175" s="28" t="n">
        <v>45652</v>
      </c>
      <c r="K1175" s="28" t="n">
        <v>45678</v>
      </c>
      <c r="L1175" t="inlineStr">
        <is>
          <t>Buscaba arriendo, no compra</t>
        </is>
      </c>
    </row>
    <row r="1176">
      <c r="A1176" t="inlineStr">
        <is>
          <t>CLI-1174</t>
        </is>
      </c>
      <c r="B1176" t="inlineStr">
        <is>
          <t>Manuela Cardona Vélez</t>
        </is>
      </c>
      <c r="C1176" t="inlineStr">
        <is>
          <t>3043058226</t>
        </is>
      </c>
      <c r="D1176" t="inlineStr">
        <is>
          <t>manuela.cardona66@outlook.com</t>
        </is>
      </c>
      <c r="E1176" t="inlineStr">
        <is>
          <t>Rionegro</t>
        </is>
      </c>
      <c r="F1176" t="inlineStr">
        <is>
          <t>PRY-001</t>
        </is>
      </c>
      <c r="G1176" t="inlineStr">
        <is>
          <t>Portal Web</t>
        </is>
      </c>
      <c r="H1176" t="inlineStr">
        <is>
          <t>Ana Quintero</t>
        </is>
      </c>
      <c r="I1176" t="inlineStr">
        <is>
          <t>Perdido</t>
        </is>
      </c>
      <c r="J1176" s="28" t="n">
        <v>45653</v>
      </c>
      <c r="K1176" s="28" t="n">
        <v>45681</v>
      </c>
      <c r="L1176" t="inlineStr">
        <is>
          <t>Presupuesto insuficiente</t>
        </is>
      </c>
    </row>
    <row r="1177">
      <c r="A1177" t="inlineStr">
        <is>
          <t>CLI-1175</t>
        </is>
      </c>
      <c r="B1177" t="inlineStr">
        <is>
          <t>Julián Mejía Vélez</t>
        </is>
      </c>
      <c r="C1177" t="inlineStr">
        <is>
          <t>3239248953</t>
        </is>
      </c>
      <c r="D1177" t="inlineStr">
        <is>
          <t>julian.mejia29@hotmail.com</t>
        </is>
      </c>
      <c r="E1177" t="inlineStr">
        <is>
          <t>Itagüí</t>
        </is>
      </c>
      <c r="F1177" t="inlineStr">
        <is>
          <t>PRY-002</t>
        </is>
      </c>
      <c r="G1177" t="inlineStr">
        <is>
          <t>Portal Web</t>
        </is>
      </c>
      <c r="H1177" t="inlineStr">
        <is>
          <t>Paula Arenas</t>
        </is>
      </c>
      <c r="I1177" t="inlineStr">
        <is>
          <t>Perdido</t>
        </is>
      </c>
      <c r="J1177" s="28" t="n">
        <v>45654</v>
      </c>
      <c r="K1177" s="28" t="n">
        <v>45673</v>
      </c>
      <c r="L1177" t="inlineStr">
        <is>
          <t>Sin respuesta tras 3 contactos</t>
        </is>
      </c>
    </row>
    <row r="1178">
      <c r="A1178" t="inlineStr">
        <is>
          <t>CLI-1176</t>
        </is>
      </c>
      <c r="B1178" t="inlineStr">
        <is>
          <t>David Vélez Cano</t>
        </is>
      </c>
      <c r="C1178" t="inlineStr">
        <is>
          <t>3046886171</t>
        </is>
      </c>
      <c r="D1178" t="inlineStr">
        <is>
          <t>david.velez66@yahoo.com</t>
        </is>
      </c>
      <c r="E1178" t="inlineStr">
        <is>
          <t>Medellín</t>
        </is>
      </c>
      <c r="F1178" t="inlineStr">
        <is>
          <t>PRY-001</t>
        </is>
      </c>
      <c r="G1178" t="inlineStr">
        <is>
          <t>Facebook</t>
        </is>
      </c>
      <c r="H1178" t="inlineStr">
        <is>
          <t>Santiago Muñoz</t>
        </is>
      </c>
      <c r="I1178" t="inlineStr">
        <is>
          <t>Perdido</t>
        </is>
      </c>
      <c r="J1178" s="28" t="n">
        <v>45654</v>
      </c>
      <c r="K1178" s="28" t="n">
        <v>45666</v>
      </c>
      <c r="L1178" t="inlineStr">
        <is>
          <t>Sin respuesta tras 3 contactos</t>
        </is>
      </c>
    </row>
    <row r="1179">
      <c r="A1179" t="inlineStr">
        <is>
          <t>CLI-1177</t>
        </is>
      </c>
      <c r="B1179" t="inlineStr">
        <is>
          <t>Marcela Quintero Sánchez</t>
        </is>
      </c>
      <c r="C1179" t="inlineStr">
        <is>
          <t>3237431445</t>
        </is>
      </c>
      <c r="D1179" t="inlineStr">
        <is>
          <t>marcela.quintero30@yahoo.com</t>
        </is>
      </c>
      <c r="E1179" t="inlineStr">
        <is>
          <t>Rionegro</t>
        </is>
      </c>
      <c r="F1179" t="inlineStr">
        <is>
          <t>PRY-005</t>
        </is>
      </c>
      <c r="G1179" t="inlineStr">
        <is>
          <t>Facebook</t>
        </is>
      </c>
      <c r="H1179" t="inlineStr">
        <is>
          <t>Paula Arenas</t>
        </is>
      </c>
      <c r="I1179" t="inlineStr">
        <is>
          <t>Perdido</t>
        </is>
      </c>
      <c r="J1179" s="28" t="n">
        <v>45654</v>
      </c>
      <c r="K1179" s="28" t="n">
        <v>45681</v>
      </c>
      <c r="L1179" t="inlineStr">
        <is>
          <t>Sin respuesta tras 3 contactos</t>
        </is>
      </c>
    </row>
    <row r="1180">
      <c r="A1180" t="inlineStr">
        <is>
          <t>CLI-1178</t>
        </is>
      </c>
      <c r="B1180" t="inlineStr">
        <is>
          <t>Jorge Ríos Quintero</t>
        </is>
      </c>
      <c r="C1180" t="inlineStr">
        <is>
          <t>3249690386</t>
        </is>
      </c>
      <c r="D1180" t="inlineStr">
        <is>
          <t>jorge.rios4@outlook.com</t>
        </is>
      </c>
      <c r="E1180" t="inlineStr">
        <is>
          <t>Envigado</t>
        </is>
      </c>
      <c r="F1180" t="inlineStr">
        <is>
          <t>PRY-007</t>
        </is>
      </c>
      <c r="G1180" t="inlineStr">
        <is>
          <t>Llamada directa</t>
        </is>
      </c>
      <c r="H1180" t="inlineStr">
        <is>
          <t>Luis Bedoya</t>
        </is>
      </c>
      <c r="I1180" t="inlineStr">
        <is>
          <t>Perdido</t>
        </is>
      </c>
      <c r="J1180" s="28" t="n">
        <v>45655</v>
      </c>
      <c r="K1180" s="28" t="n">
        <v>45672</v>
      </c>
      <c r="L1180" t="inlineStr">
        <is>
          <t>Buscaba arriendo, no compra</t>
        </is>
      </c>
    </row>
    <row r="1181">
      <c r="A1181" t="inlineStr">
        <is>
          <t>CLI-1179</t>
        </is>
      </c>
      <c r="B1181" t="inlineStr">
        <is>
          <t>Mauricio Bedoya Henao</t>
        </is>
      </c>
      <c r="C1181" t="inlineStr">
        <is>
          <t>3201780066</t>
        </is>
      </c>
      <c r="D1181" t="inlineStr">
        <is>
          <t>mauricio.bedoya69@gmail.com</t>
        </is>
      </c>
      <c r="E1181" t="inlineStr">
        <is>
          <t>Medellín</t>
        </is>
      </c>
      <c r="F1181" t="inlineStr">
        <is>
          <t>PRY-003</t>
        </is>
      </c>
      <c r="G1181" t="inlineStr">
        <is>
          <t>Facebook</t>
        </is>
      </c>
      <c r="H1181" t="inlineStr">
        <is>
          <t>Luis Bedoya</t>
        </is>
      </c>
      <c r="I1181" t="inlineStr">
        <is>
          <t>Perdido</t>
        </is>
      </c>
      <c r="J1181" s="28" t="n">
        <v>45656</v>
      </c>
      <c r="K1181" s="28" t="n">
        <v>45746</v>
      </c>
      <c r="L1181" t="inlineStr">
        <is>
          <t>Crédito no aprobado</t>
        </is>
      </c>
    </row>
    <row r="1182">
      <c r="A1182" t="inlineStr">
        <is>
          <t>CLI-1180</t>
        </is>
      </c>
      <c r="B1182" t="inlineStr">
        <is>
          <t>Liliana Álvarez Correa</t>
        </is>
      </c>
      <c r="C1182" t="inlineStr">
        <is>
          <t>3207879537</t>
        </is>
      </c>
      <c r="D1182" t="inlineStr">
        <is>
          <t>liliana.alvarez45@yahoo.com</t>
        </is>
      </c>
      <c r="E1182" t="inlineStr">
        <is>
          <t>Medellín</t>
        </is>
      </c>
      <c r="F1182" t="inlineStr">
        <is>
          <t>PRY-004</t>
        </is>
      </c>
      <c r="G1182" t="inlineStr">
        <is>
          <t>Llamada directa</t>
        </is>
      </c>
      <c r="H1182" t="inlineStr">
        <is>
          <t>Sofía Prada</t>
        </is>
      </c>
      <c r="I1182" t="inlineStr">
        <is>
          <t>Perdido</t>
        </is>
      </c>
      <c r="J1182" s="28" t="n">
        <v>45656</v>
      </c>
      <c r="K1182" s="28" t="n">
        <v>45680</v>
      </c>
      <c r="L1182" t="inlineStr">
        <is>
          <t>Sin respuesta tras 3 contactos</t>
        </is>
      </c>
    </row>
    <row r="1183">
      <c r="A1183" t="inlineStr">
        <is>
          <t>CLI-1181</t>
        </is>
      </c>
      <c r="B1183" t="inlineStr">
        <is>
          <t>Carolina Cifuentes Gaviria</t>
        </is>
      </c>
      <c r="C1183" t="inlineStr">
        <is>
          <t>3001388906</t>
        </is>
      </c>
      <c r="D1183" t="inlineStr">
        <is>
          <t>carolina.cifuentes10@hotmail.com</t>
        </is>
      </c>
      <c r="E1183" t="inlineStr">
        <is>
          <t>Rionegro</t>
        </is>
      </c>
      <c r="F1183" t="inlineStr">
        <is>
          <t>PRY-005</t>
        </is>
      </c>
      <c r="G1183" t="inlineStr">
        <is>
          <t>Instagram</t>
        </is>
      </c>
      <c r="H1183" t="inlineStr">
        <is>
          <t>Santiago Muñoz</t>
        </is>
      </c>
      <c r="I1183" t="inlineStr">
        <is>
          <t>Perdido</t>
        </is>
      </c>
      <c r="J1183" s="28" t="n">
        <v>45657</v>
      </c>
      <c r="K1183" s="28" t="n">
        <v>45670</v>
      </c>
      <c r="L1183" t="inlineStr">
        <is>
          <t>Sin respuesta tras 3 contactos</t>
        </is>
      </c>
    </row>
    <row r="1184">
      <c r="A1184" t="inlineStr">
        <is>
          <t>CLI-1182</t>
        </is>
      </c>
      <c r="B1184" t="inlineStr">
        <is>
          <t>Valentina Gómez Betancur</t>
        </is>
      </c>
      <c r="C1184" t="inlineStr">
        <is>
          <t>3224240764</t>
        </is>
      </c>
      <c r="D1184" t="inlineStr">
        <is>
          <t>valentina.gomez7@yahoo.com</t>
        </is>
      </c>
      <c r="E1184" t="inlineStr">
        <is>
          <t>La Estrella</t>
        </is>
      </c>
      <c r="F1184" t="inlineStr">
        <is>
          <t>PRY-005</t>
        </is>
      </c>
      <c r="G1184" t="inlineStr">
        <is>
          <t>Portal Web</t>
        </is>
      </c>
      <c r="H1184" t="inlineStr">
        <is>
          <t>Sofía Prada</t>
        </is>
      </c>
      <c r="I1184" t="inlineStr">
        <is>
          <t>Perdido</t>
        </is>
      </c>
      <c r="J1184" s="28" t="n">
        <v>45657</v>
      </c>
      <c r="K1184" s="28" t="n">
        <v>45685</v>
      </c>
      <c r="L1184" t="inlineStr">
        <is>
          <t>Buscaba arriendo, no compra</t>
        </is>
      </c>
    </row>
    <row r="1185">
      <c r="A1185" t="inlineStr">
        <is>
          <t>CLI-1183</t>
        </is>
      </c>
      <c r="B1185" t="inlineStr">
        <is>
          <t>Mariana Ochoa Echeverri</t>
        </is>
      </c>
      <c r="C1185" t="inlineStr">
        <is>
          <t>3104707632</t>
        </is>
      </c>
      <c r="D1185" t="inlineStr">
        <is>
          <t>mariana.ochoa48@outlook.com</t>
        </is>
      </c>
      <c r="E1185" t="inlineStr">
        <is>
          <t>Medellín</t>
        </is>
      </c>
      <c r="F1185" t="inlineStr">
        <is>
          <t>PRY-004</t>
        </is>
      </c>
      <c r="G1185" t="inlineStr">
        <is>
          <t>Instagram</t>
        </is>
      </c>
      <c r="H1185" t="inlineStr">
        <is>
          <t>Miguel Salazar</t>
        </is>
      </c>
      <c r="I1185" t="inlineStr">
        <is>
          <t>Perdido</t>
        </is>
      </c>
      <c r="J1185" s="28" t="n">
        <v>45658</v>
      </c>
      <c r="K1185" s="28" t="n">
        <v>45672</v>
      </c>
      <c r="L1185" t="inlineStr">
        <is>
          <t>Sin respuesta tras 3 contactos</t>
        </is>
      </c>
    </row>
    <row r="1186">
      <c r="A1186" t="inlineStr">
        <is>
          <t>CLI-1184</t>
        </is>
      </c>
      <c r="B1186" t="inlineStr">
        <is>
          <t>Emilio Bedoya Higuita</t>
        </is>
      </c>
      <c r="C1186" t="inlineStr">
        <is>
          <t>3172943418</t>
        </is>
      </c>
      <c r="D1186" t="inlineStr">
        <is>
          <t>emilio.bedoya52@gmail.com</t>
        </is>
      </c>
      <c r="E1186" t="inlineStr">
        <is>
          <t>Medellín</t>
        </is>
      </c>
      <c r="F1186" t="inlineStr">
        <is>
          <t>PRY-001</t>
        </is>
      </c>
      <c r="G1186" t="inlineStr">
        <is>
          <t>Feria Inmobiliaria</t>
        </is>
      </c>
      <c r="H1186" t="inlineStr">
        <is>
          <t>Sofía Prada</t>
        </is>
      </c>
      <c r="I1186" t="inlineStr">
        <is>
          <t>Ganado</t>
        </is>
      </c>
      <c r="J1186" s="28" t="n">
        <v>45660</v>
      </c>
      <c r="K1186" s="28" t="n">
        <v>45760</v>
      </c>
      <c r="L1186" t="inlineStr">
        <is>
          <t>Compró Apto 1205 en Torres del Poblado</t>
        </is>
      </c>
    </row>
    <row r="1187">
      <c r="A1187" t="inlineStr">
        <is>
          <t>CLI-1185</t>
        </is>
      </c>
      <c r="B1187" t="inlineStr">
        <is>
          <t>Wilson Cano Álvarez</t>
        </is>
      </c>
      <c r="C1187" t="inlineStr">
        <is>
          <t>3229291182</t>
        </is>
      </c>
      <c r="D1187" t="inlineStr">
        <is>
          <t>wilson.cano12@gmail.com</t>
        </is>
      </c>
      <c r="E1187" t="inlineStr">
        <is>
          <t>Medellín</t>
        </is>
      </c>
      <c r="F1187" t="inlineStr">
        <is>
          <t>PRY-002</t>
        </is>
      </c>
      <c r="G1187" t="inlineStr">
        <is>
          <t>Portal Web</t>
        </is>
      </c>
      <c r="H1187" t="inlineStr">
        <is>
          <t>Ana Quintero</t>
        </is>
      </c>
      <c r="I1187" t="inlineStr">
        <is>
          <t>Perdido</t>
        </is>
      </c>
      <c r="J1187" s="28" t="n">
        <v>45660</v>
      </c>
      <c r="K1187" s="28" t="n">
        <v>45792</v>
      </c>
      <c r="L1187" t="inlineStr">
        <is>
          <t>Precio fuera de presupuesto</t>
        </is>
      </c>
    </row>
    <row r="1188">
      <c r="A1188" t="inlineStr">
        <is>
          <t>CLI-1186</t>
        </is>
      </c>
      <c r="B1188" t="inlineStr">
        <is>
          <t>Lorena Vélez Zapata</t>
        </is>
      </c>
      <c r="C1188" t="inlineStr">
        <is>
          <t>3137294784</t>
        </is>
      </c>
      <c r="D1188" t="inlineStr">
        <is>
          <t>lorena.velez24@hotmail.com</t>
        </is>
      </c>
      <c r="E1188" t="inlineStr">
        <is>
          <t>Bello</t>
        </is>
      </c>
      <c r="F1188" t="inlineStr">
        <is>
          <t>PRY-003</t>
        </is>
      </c>
      <c r="G1188" t="inlineStr">
        <is>
          <t>Feria Inmobiliaria</t>
        </is>
      </c>
      <c r="H1188" t="inlineStr">
        <is>
          <t>Santiago Muñoz</t>
        </is>
      </c>
      <c r="I1188" t="inlineStr">
        <is>
          <t>Ganado</t>
        </is>
      </c>
      <c r="J1188" s="28" t="n">
        <v>45660</v>
      </c>
      <c r="K1188" s="28" t="n">
        <v>45772</v>
      </c>
      <c r="L1188" t="inlineStr">
        <is>
          <t>Compró Apto 708 en Conecta Laureles</t>
        </is>
      </c>
    </row>
    <row r="1189">
      <c r="A1189" t="inlineStr">
        <is>
          <t>CLI-1187</t>
        </is>
      </c>
      <c r="B1189" t="inlineStr">
        <is>
          <t>Juliana Londoño Ramírez</t>
        </is>
      </c>
      <c r="C1189" t="inlineStr">
        <is>
          <t>3153769088</t>
        </is>
      </c>
      <c r="D1189" t="inlineStr">
        <is>
          <t>juliana.londono23@hotmail.com</t>
        </is>
      </c>
      <c r="E1189" t="inlineStr">
        <is>
          <t>Itagüí</t>
        </is>
      </c>
      <c r="F1189" t="inlineStr">
        <is>
          <t>PRY-008</t>
        </is>
      </c>
      <c r="G1189" t="inlineStr">
        <is>
          <t>Referido</t>
        </is>
      </c>
      <c r="H1189" t="inlineStr">
        <is>
          <t>Andrés Torres</t>
        </is>
      </c>
      <c r="I1189" t="inlineStr">
        <is>
          <t>Perdido</t>
        </is>
      </c>
      <c r="J1189" s="28" t="n">
        <v>45660</v>
      </c>
      <c r="K1189" s="28" t="n">
        <v>45698</v>
      </c>
      <c r="L1189" t="inlineStr">
        <is>
          <t>Precio fuera de presupuesto</t>
        </is>
      </c>
    </row>
    <row r="1190">
      <c r="A1190" t="inlineStr">
        <is>
          <t>CLI-1188</t>
        </is>
      </c>
      <c r="B1190" t="inlineStr">
        <is>
          <t>Diego Ramírez Salcedo</t>
        </is>
      </c>
      <c r="C1190" t="inlineStr">
        <is>
          <t>3013034545</t>
        </is>
      </c>
      <c r="D1190" t="inlineStr">
        <is>
          <t>diego.ramirez52@gmail.com</t>
        </is>
      </c>
      <c r="E1190" t="inlineStr">
        <is>
          <t>Medellín</t>
        </is>
      </c>
      <c r="F1190" t="inlineStr">
        <is>
          <t>PRY-004</t>
        </is>
      </c>
      <c r="G1190" t="inlineStr">
        <is>
          <t>Portal Web</t>
        </is>
      </c>
      <c r="H1190" t="inlineStr">
        <is>
          <t>Miguel Salazar</t>
        </is>
      </c>
      <c r="I1190" t="inlineStr">
        <is>
          <t>Ganado</t>
        </is>
      </c>
      <c r="J1190" s="28" t="n">
        <v>45660</v>
      </c>
      <c r="K1190" s="28" t="n">
        <v>45771</v>
      </c>
      <c r="L1190" t="inlineStr">
        <is>
          <t>Compró Casa 67 en Altavista Park</t>
        </is>
      </c>
    </row>
    <row r="1191">
      <c r="A1191" t="inlineStr">
        <is>
          <t>CLI-1189</t>
        </is>
      </c>
      <c r="B1191" t="inlineStr">
        <is>
          <t>Carlos Montes Jaramillo</t>
        </is>
      </c>
      <c r="C1191" t="inlineStr">
        <is>
          <t>3223856245</t>
        </is>
      </c>
      <c r="D1191" t="inlineStr">
        <is>
          <t>carlos.montes77@hotmail.com</t>
        </is>
      </c>
      <c r="E1191" t="inlineStr">
        <is>
          <t>Medellín</t>
        </is>
      </c>
      <c r="F1191" t="inlineStr">
        <is>
          <t>PRY-003</t>
        </is>
      </c>
      <c r="G1191" t="inlineStr">
        <is>
          <t>Llamada directa</t>
        </is>
      </c>
      <c r="H1191" t="inlineStr">
        <is>
          <t>Andrés Torres</t>
        </is>
      </c>
      <c r="I1191" t="inlineStr">
        <is>
          <t>Ganado</t>
        </is>
      </c>
      <c r="J1191" s="28" t="n">
        <v>45661</v>
      </c>
      <c r="K1191" s="28" t="n">
        <v>45739</v>
      </c>
      <c r="L1191" t="inlineStr">
        <is>
          <t>Compró Apto 1608 en Conecta Laureles</t>
        </is>
      </c>
    </row>
    <row r="1192">
      <c r="A1192" t="inlineStr">
        <is>
          <t>CLI-1190</t>
        </is>
      </c>
      <c r="B1192" t="inlineStr">
        <is>
          <t>Andrés Gómez Hernández</t>
        </is>
      </c>
      <c r="C1192" t="inlineStr">
        <is>
          <t>3242340480</t>
        </is>
      </c>
      <c r="D1192" t="inlineStr">
        <is>
          <t>andres.gomez33@gmail.com</t>
        </is>
      </c>
      <c r="E1192" t="inlineStr">
        <is>
          <t>Medellín</t>
        </is>
      </c>
      <c r="F1192" t="inlineStr">
        <is>
          <t>PRY-004</t>
        </is>
      </c>
      <c r="G1192" t="inlineStr">
        <is>
          <t>Referido</t>
        </is>
      </c>
      <c r="H1192" t="inlineStr">
        <is>
          <t>Ana Quintero</t>
        </is>
      </c>
      <c r="I1192" t="inlineStr">
        <is>
          <t>Ganado</t>
        </is>
      </c>
      <c r="J1192" s="28" t="n">
        <v>45661</v>
      </c>
      <c r="K1192" s="28" t="n">
        <v>45769</v>
      </c>
      <c r="L1192" t="inlineStr">
        <is>
          <t>Compró Casa 44 en Altavista Park</t>
        </is>
      </c>
    </row>
    <row r="1193">
      <c r="A1193" t="inlineStr">
        <is>
          <t>CLI-1191</t>
        </is>
      </c>
      <c r="B1193" t="inlineStr">
        <is>
          <t>Mauricio Henao Salazar</t>
        </is>
      </c>
      <c r="C1193" t="inlineStr">
        <is>
          <t>3137710893</t>
        </is>
      </c>
      <c r="D1193" t="inlineStr">
        <is>
          <t>mauricio.henao95@gmail.com</t>
        </is>
      </c>
      <c r="E1193" t="inlineStr">
        <is>
          <t>Itagüí</t>
        </is>
      </c>
      <c r="F1193" t="inlineStr">
        <is>
          <t>PRY-008</t>
        </is>
      </c>
      <c r="G1193" t="inlineStr">
        <is>
          <t>Llamada directa</t>
        </is>
      </c>
      <c r="H1193" t="inlineStr">
        <is>
          <t>Luis Bedoya</t>
        </is>
      </c>
      <c r="I1193" t="inlineStr">
        <is>
          <t>Perdido</t>
        </is>
      </c>
      <c r="J1193" s="28" t="n">
        <v>45661</v>
      </c>
      <c r="K1193" s="28" t="n">
        <v>45671</v>
      </c>
      <c r="L1193" t="inlineStr">
        <is>
          <t>Sin respuesta tras 3 contactos</t>
        </is>
      </c>
    </row>
    <row r="1194">
      <c r="A1194" t="inlineStr">
        <is>
          <t>CLI-1192</t>
        </is>
      </c>
      <c r="B1194" t="inlineStr">
        <is>
          <t>Sebastián Palacio Zuluaga</t>
        </is>
      </c>
      <c r="C1194" t="inlineStr">
        <is>
          <t>3203515555</t>
        </is>
      </c>
      <c r="D1194" t="inlineStr">
        <is>
          <t>sebastian.palacio86@yahoo.com</t>
        </is>
      </c>
      <c r="E1194" t="inlineStr">
        <is>
          <t>La Estrella</t>
        </is>
      </c>
      <c r="F1194" t="inlineStr">
        <is>
          <t>PRY-003</t>
        </is>
      </c>
      <c r="G1194" t="inlineStr">
        <is>
          <t>Portal Web</t>
        </is>
      </c>
      <c r="H1194" t="inlineStr">
        <is>
          <t>Ana Quintero</t>
        </is>
      </c>
      <c r="I1194" t="inlineStr">
        <is>
          <t>Perdido</t>
        </is>
      </c>
      <c r="J1194" s="28" t="n">
        <v>45661</v>
      </c>
      <c r="K1194" s="28" t="n">
        <v>45683</v>
      </c>
      <c r="L1194" t="inlineStr">
        <is>
          <t>Sin respuesta tras 3 contactos</t>
        </is>
      </c>
    </row>
    <row r="1195">
      <c r="A1195" t="inlineStr">
        <is>
          <t>CLI-1193</t>
        </is>
      </c>
      <c r="B1195" t="inlineStr">
        <is>
          <t>Juliana Zuluaga Muñoz</t>
        </is>
      </c>
      <c r="C1195" t="inlineStr">
        <is>
          <t>3007477924</t>
        </is>
      </c>
      <c r="D1195" t="inlineStr">
        <is>
          <t>juliana.zuluaga2@yahoo.com</t>
        </is>
      </c>
      <c r="E1195" t="inlineStr">
        <is>
          <t>Rionegro</t>
        </is>
      </c>
      <c r="F1195" t="inlineStr">
        <is>
          <t>PRY-002</t>
        </is>
      </c>
      <c r="G1195" t="inlineStr">
        <is>
          <t>Llamada directa</t>
        </is>
      </c>
      <c r="H1195" t="inlineStr">
        <is>
          <t>Ana Quintero</t>
        </is>
      </c>
      <c r="I1195" t="inlineStr">
        <is>
          <t>Perdido</t>
        </is>
      </c>
      <c r="J1195" s="28" t="n">
        <v>45661</v>
      </c>
      <c r="K1195" s="28" t="n">
        <v>45682</v>
      </c>
      <c r="L1195" t="inlineStr">
        <is>
          <t>Buscaba arriendo, no compra</t>
        </is>
      </c>
    </row>
    <row r="1196">
      <c r="A1196" t="inlineStr">
        <is>
          <t>CLI-1194</t>
        </is>
      </c>
      <c r="B1196" t="inlineStr">
        <is>
          <t>Mateo Agudelo Ríos</t>
        </is>
      </c>
      <c r="C1196" t="inlineStr">
        <is>
          <t>3016152163</t>
        </is>
      </c>
      <c r="D1196" t="inlineStr">
        <is>
          <t>mateo.agudelo74@yahoo.com</t>
        </is>
      </c>
      <c r="E1196" t="inlineStr">
        <is>
          <t>Medellín</t>
        </is>
      </c>
      <c r="F1196" t="inlineStr">
        <is>
          <t>PRY-003</t>
        </is>
      </c>
      <c r="G1196" t="inlineStr">
        <is>
          <t>Portal Web</t>
        </is>
      </c>
      <c r="H1196" t="inlineStr">
        <is>
          <t>Luis Bedoya</t>
        </is>
      </c>
      <c r="I1196" t="inlineStr">
        <is>
          <t>Perdido</t>
        </is>
      </c>
      <c r="J1196" s="28" t="n">
        <v>45662</v>
      </c>
      <c r="K1196" s="28" t="n">
        <v>45713</v>
      </c>
      <c r="L1196" t="inlineStr">
        <is>
          <t>No volvió a responder</t>
        </is>
      </c>
    </row>
    <row r="1197">
      <c r="A1197" t="inlineStr">
        <is>
          <t>CLI-1195</t>
        </is>
      </c>
      <c r="B1197" t="inlineStr">
        <is>
          <t>Catalina Mejía Vargas</t>
        </is>
      </c>
      <c r="C1197" t="inlineStr">
        <is>
          <t>3231537832</t>
        </is>
      </c>
      <c r="D1197" t="inlineStr">
        <is>
          <t>catalina.mejia74@outlook.com</t>
        </is>
      </c>
      <c r="E1197" t="inlineStr">
        <is>
          <t>Medellín</t>
        </is>
      </c>
      <c r="F1197" t="inlineStr">
        <is>
          <t>PRY-002</t>
        </is>
      </c>
      <c r="G1197" t="inlineStr">
        <is>
          <t>Referido</t>
        </is>
      </c>
      <c r="H1197" t="inlineStr">
        <is>
          <t>Miguel Salazar</t>
        </is>
      </c>
      <c r="I1197" t="inlineStr">
        <is>
          <t>Perdido</t>
        </is>
      </c>
      <c r="J1197" s="28" t="n">
        <v>45662</v>
      </c>
      <c r="K1197" s="28" t="n">
        <v>45683</v>
      </c>
      <c r="L1197" t="inlineStr">
        <is>
          <t>No calificó para crédito</t>
        </is>
      </c>
    </row>
    <row r="1198">
      <c r="A1198" t="inlineStr">
        <is>
          <t>CLI-1196</t>
        </is>
      </c>
      <c r="B1198" t="inlineStr">
        <is>
          <t>Manuela Zuluaga Henao</t>
        </is>
      </c>
      <c r="C1198" t="inlineStr">
        <is>
          <t>3018415859</t>
        </is>
      </c>
      <c r="D1198" t="inlineStr">
        <is>
          <t>manuela.zuluaga59@outlook.com</t>
        </is>
      </c>
      <c r="E1198" t="inlineStr">
        <is>
          <t>Medellín</t>
        </is>
      </c>
      <c r="F1198" t="inlineStr">
        <is>
          <t>PRY-001</t>
        </is>
      </c>
      <c r="G1198" t="inlineStr">
        <is>
          <t>Instagram</t>
        </is>
      </c>
      <c r="H1198" t="inlineStr">
        <is>
          <t>Miguel Salazar</t>
        </is>
      </c>
      <c r="I1198" t="inlineStr">
        <is>
          <t>Perdido</t>
        </is>
      </c>
      <c r="J1198" s="28" t="n">
        <v>45663</v>
      </c>
      <c r="K1198" s="28" t="n">
        <v>45753</v>
      </c>
      <c r="L1198" t="inlineStr">
        <is>
          <t>Desistió de la compra</t>
        </is>
      </c>
    </row>
    <row r="1199">
      <c r="A1199" t="inlineStr">
        <is>
          <t>CLI-1197</t>
        </is>
      </c>
      <c r="B1199" t="inlineStr">
        <is>
          <t>Alejandra Mejía Franco</t>
        </is>
      </c>
      <c r="C1199" t="inlineStr">
        <is>
          <t>3232600793</t>
        </is>
      </c>
      <c r="D1199" t="inlineStr">
        <is>
          <t>alejandra.mejia80@hotmail.com</t>
        </is>
      </c>
      <c r="E1199" t="inlineStr">
        <is>
          <t>Medellín</t>
        </is>
      </c>
      <c r="F1199" t="inlineStr">
        <is>
          <t>PRY-003</t>
        </is>
      </c>
      <c r="G1199" t="inlineStr">
        <is>
          <t>Instagram</t>
        </is>
      </c>
      <c r="H1199" t="inlineStr">
        <is>
          <t>Sofía Prada</t>
        </is>
      </c>
      <c r="I1199" t="inlineStr">
        <is>
          <t>Perdido</t>
        </is>
      </c>
      <c r="J1199" s="28" t="n">
        <v>45663</v>
      </c>
      <c r="K1199" s="28" t="n">
        <v>45748</v>
      </c>
      <c r="L1199" t="inlineStr">
        <is>
          <t>Precio fuera de presupuesto</t>
        </is>
      </c>
    </row>
    <row r="1200">
      <c r="A1200" t="inlineStr">
        <is>
          <t>CLI-1198</t>
        </is>
      </c>
      <c r="B1200" t="inlineStr">
        <is>
          <t>Sara Toro Toro</t>
        </is>
      </c>
      <c r="C1200" t="inlineStr">
        <is>
          <t>3177079220</t>
        </is>
      </c>
      <c r="D1200" t="inlineStr">
        <is>
          <t>sara.toro39@gmail.com</t>
        </is>
      </c>
      <c r="E1200" t="inlineStr">
        <is>
          <t>Envigado</t>
        </is>
      </c>
      <c r="F1200" t="inlineStr">
        <is>
          <t>PRY-007</t>
        </is>
      </c>
      <c r="G1200" t="inlineStr">
        <is>
          <t>Llamada directa</t>
        </is>
      </c>
      <c r="H1200" t="inlineStr">
        <is>
          <t>Miguel Salazar</t>
        </is>
      </c>
      <c r="I1200" t="inlineStr">
        <is>
          <t>Perdido</t>
        </is>
      </c>
      <c r="J1200" s="28" t="n">
        <v>45663</v>
      </c>
      <c r="K1200" s="28" t="n">
        <v>45687</v>
      </c>
      <c r="L1200" t="inlineStr">
        <is>
          <t>Buscaba arriendo, no compra</t>
        </is>
      </c>
    </row>
    <row r="1201">
      <c r="A1201" t="inlineStr">
        <is>
          <t>CLI-1199</t>
        </is>
      </c>
      <c r="B1201" t="inlineStr">
        <is>
          <t>Valentina Henao Montoya</t>
        </is>
      </c>
      <c r="C1201" t="inlineStr">
        <is>
          <t>3221513893</t>
        </is>
      </c>
      <c r="D1201" t="inlineStr">
        <is>
          <t>valentina.henao25@yahoo.com</t>
        </is>
      </c>
      <c r="E1201" t="inlineStr">
        <is>
          <t>Medellín</t>
        </is>
      </c>
      <c r="F1201" t="inlineStr">
        <is>
          <t>PRY-002</t>
        </is>
      </c>
      <c r="G1201" t="inlineStr">
        <is>
          <t>Instagram</t>
        </is>
      </c>
      <c r="H1201" t="inlineStr">
        <is>
          <t>Sofía Prada</t>
        </is>
      </c>
      <c r="I1201" t="inlineStr">
        <is>
          <t>Perdido</t>
        </is>
      </c>
      <c r="J1201" s="28" t="n">
        <v>45664</v>
      </c>
      <c r="K1201" s="28" t="n">
        <v>45677</v>
      </c>
      <c r="L1201" t="inlineStr">
        <is>
          <t>Sin respuesta tras 3 contactos</t>
        </is>
      </c>
    </row>
    <row r="1202">
      <c r="A1202" t="inlineStr">
        <is>
          <t>CLI-1200</t>
        </is>
      </c>
      <c r="B1202" t="inlineStr">
        <is>
          <t>Jhon Ochoa Toro</t>
        </is>
      </c>
      <c r="C1202" t="inlineStr">
        <is>
          <t>3152050903</t>
        </is>
      </c>
      <c r="D1202" t="inlineStr">
        <is>
          <t>jhon.ochoa67@outlook.com</t>
        </is>
      </c>
      <c r="E1202" t="inlineStr">
        <is>
          <t>Medellín</t>
        </is>
      </c>
      <c r="F1202" t="inlineStr">
        <is>
          <t>PRY-004</t>
        </is>
      </c>
      <c r="G1202" t="inlineStr">
        <is>
          <t>Instagram</t>
        </is>
      </c>
      <c r="H1202" t="inlineStr">
        <is>
          <t>Santiago Muñoz</t>
        </is>
      </c>
      <c r="I1202" t="inlineStr">
        <is>
          <t>Perdido</t>
        </is>
      </c>
      <c r="J1202" s="28" t="n">
        <v>45664</v>
      </c>
      <c r="K1202" s="28" t="n">
        <v>45675</v>
      </c>
      <c r="L1202" t="inlineStr">
        <is>
          <t>No calificó para crédito</t>
        </is>
      </c>
    </row>
    <row r="1203">
      <c r="A1203" t="inlineStr">
        <is>
          <t>CLI-1201</t>
        </is>
      </c>
      <c r="B1203" t="inlineStr">
        <is>
          <t>Liliana Ochoa Gaviria</t>
        </is>
      </c>
      <c r="C1203" t="inlineStr">
        <is>
          <t>3227999884</t>
        </is>
      </c>
      <c r="D1203" t="inlineStr">
        <is>
          <t>liliana.ochoa18@hotmail.com</t>
        </is>
      </c>
      <c r="E1203" t="inlineStr">
        <is>
          <t>Medellín</t>
        </is>
      </c>
      <c r="F1203" t="inlineStr">
        <is>
          <t>PRY-004</t>
        </is>
      </c>
      <c r="G1203" t="inlineStr">
        <is>
          <t>Portal Web</t>
        </is>
      </c>
      <c r="H1203" t="inlineStr">
        <is>
          <t>Miguel Salazar</t>
        </is>
      </c>
      <c r="I1203" t="inlineStr">
        <is>
          <t>Perdido</t>
        </is>
      </c>
      <c r="J1203" s="28" t="n">
        <v>45664</v>
      </c>
      <c r="K1203" s="28" t="n">
        <v>45676</v>
      </c>
      <c r="L1203" t="inlineStr">
        <is>
          <t>Buscaba arriendo, no compra</t>
        </is>
      </c>
    </row>
    <row r="1204">
      <c r="A1204" t="inlineStr">
        <is>
          <t>CLI-1202</t>
        </is>
      </c>
      <c r="B1204" t="inlineStr">
        <is>
          <t>Juan Pablo Franco Jaramillo</t>
        </is>
      </c>
      <c r="C1204" t="inlineStr">
        <is>
          <t>3205647084</t>
        </is>
      </c>
      <c r="D1204" t="inlineStr">
        <is>
          <t>juan.franco27@hotmail.com</t>
        </is>
      </c>
      <c r="E1204" t="inlineStr">
        <is>
          <t>Rionegro</t>
        </is>
      </c>
      <c r="F1204" t="inlineStr">
        <is>
          <t>PRY-005</t>
        </is>
      </c>
      <c r="G1204" t="inlineStr">
        <is>
          <t>Facebook</t>
        </is>
      </c>
      <c r="H1204" t="inlineStr">
        <is>
          <t>Juliana Vélez</t>
        </is>
      </c>
      <c r="I1204" t="inlineStr">
        <is>
          <t>Perdido</t>
        </is>
      </c>
      <c r="J1204" s="28" t="n">
        <v>45664</v>
      </c>
      <c r="K1204" s="28" t="n">
        <v>45669</v>
      </c>
      <c r="L1204" t="inlineStr">
        <is>
          <t>Datos de contacto errados</t>
        </is>
      </c>
    </row>
    <row r="1205">
      <c r="A1205" t="inlineStr">
        <is>
          <t>CLI-1203</t>
        </is>
      </c>
      <c r="B1205" t="inlineStr">
        <is>
          <t>Natalia Ríos Vélez</t>
        </is>
      </c>
      <c r="C1205" t="inlineStr">
        <is>
          <t>3236033825</t>
        </is>
      </c>
      <c r="D1205" t="inlineStr">
        <is>
          <t>natalia.rios87@gmail.com</t>
        </is>
      </c>
      <c r="E1205" t="inlineStr">
        <is>
          <t>Itagüí</t>
        </is>
      </c>
      <c r="F1205" t="inlineStr">
        <is>
          <t>PRY-005</t>
        </is>
      </c>
      <c r="G1205" t="inlineStr">
        <is>
          <t>Instagram</t>
        </is>
      </c>
      <c r="H1205" t="inlineStr">
        <is>
          <t>Juliana Vélez</t>
        </is>
      </c>
      <c r="I1205" t="inlineStr">
        <is>
          <t>Ganado</t>
        </is>
      </c>
      <c r="J1205" s="28" t="n">
        <v>45665</v>
      </c>
      <c r="K1205" s="28" t="n">
        <v>45771</v>
      </c>
      <c r="L1205" t="inlineStr">
        <is>
          <t>Compró Apto 1001 en Ciudadela Rionegro</t>
        </is>
      </c>
    </row>
    <row r="1206">
      <c r="A1206" t="inlineStr">
        <is>
          <t>CLI-1204</t>
        </is>
      </c>
      <c r="B1206" t="inlineStr">
        <is>
          <t>Mateo Echeverri Quintero</t>
        </is>
      </c>
      <c r="C1206" t="inlineStr">
        <is>
          <t>3158669526</t>
        </is>
      </c>
      <c r="D1206" t="inlineStr">
        <is>
          <t>mateo.echeverri57@outlook.com</t>
        </is>
      </c>
      <c r="E1206" t="inlineStr">
        <is>
          <t>Rionegro</t>
        </is>
      </c>
      <c r="F1206" t="inlineStr">
        <is>
          <t>PRY-005</t>
        </is>
      </c>
      <c r="G1206" t="inlineStr">
        <is>
          <t>Instagram</t>
        </is>
      </c>
      <c r="H1206" t="inlineStr">
        <is>
          <t>Luis Bedoya</t>
        </is>
      </c>
      <c r="I1206" t="inlineStr">
        <is>
          <t>Perdido</t>
        </is>
      </c>
      <c r="J1206" s="28" t="n">
        <v>45665</v>
      </c>
      <c r="K1206" s="28" t="n">
        <v>45748</v>
      </c>
      <c r="L1206" t="inlineStr">
        <is>
          <t>Crédito no aprobado</t>
        </is>
      </c>
    </row>
    <row r="1207">
      <c r="A1207" t="inlineStr">
        <is>
          <t>CLI-1205</t>
        </is>
      </c>
      <c r="B1207" t="inlineStr">
        <is>
          <t>Liliana Ochoa Pérez</t>
        </is>
      </c>
      <c r="C1207" t="inlineStr">
        <is>
          <t>3174766236</t>
        </is>
      </c>
      <c r="D1207" t="inlineStr">
        <is>
          <t>liliana.ochoa26@hotmail.com</t>
        </is>
      </c>
      <c r="E1207" t="inlineStr">
        <is>
          <t>Envigado</t>
        </is>
      </c>
      <c r="F1207" t="inlineStr">
        <is>
          <t>PRY-008</t>
        </is>
      </c>
      <c r="G1207" t="inlineStr">
        <is>
          <t>Portal Web</t>
        </is>
      </c>
      <c r="H1207" t="inlineStr">
        <is>
          <t>Juliana Vélez</t>
        </is>
      </c>
      <c r="I1207" t="inlineStr">
        <is>
          <t>Perdido</t>
        </is>
      </c>
      <c r="J1207" s="28" t="n">
        <v>45665</v>
      </c>
      <c r="K1207" s="28" t="n">
        <v>45694</v>
      </c>
      <c r="L1207" t="inlineStr">
        <is>
          <t>No calificó para crédito</t>
        </is>
      </c>
    </row>
    <row r="1208">
      <c r="A1208" t="inlineStr">
        <is>
          <t>CLI-1206</t>
        </is>
      </c>
      <c r="B1208" t="inlineStr">
        <is>
          <t>Juliana Betancur Giraldo</t>
        </is>
      </c>
      <c r="C1208" t="inlineStr">
        <is>
          <t>3243753715</t>
        </is>
      </c>
      <c r="D1208" t="inlineStr">
        <is>
          <t>juliana.betancur40@hotmail.com</t>
        </is>
      </c>
      <c r="E1208" t="inlineStr">
        <is>
          <t>Itagüí</t>
        </is>
      </c>
      <c r="F1208" t="inlineStr">
        <is>
          <t>PRY-008</t>
        </is>
      </c>
      <c r="G1208" t="inlineStr">
        <is>
          <t>Instagram</t>
        </is>
      </c>
      <c r="H1208" t="inlineStr">
        <is>
          <t>Ana Quintero</t>
        </is>
      </c>
      <c r="I1208" t="inlineStr">
        <is>
          <t>Perdido</t>
        </is>
      </c>
      <c r="J1208" s="28" t="n">
        <v>45665</v>
      </c>
      <c r="K1208" s="28" t="n">
        <v>45680</v>
      </c>
      <c r="L1208" t="inlineStr">
        <is>
          <t>Buscaba arriendo, no compra</t>
        </is>
      </c>
    </row>
    <row r="1209">
      <c r="A1209" t="inlineStr">
        <is>
          <t>CLI-1207</t>
        </is>
      </c>
      <c r="B1209" t="inlineStr">
        <is>
          <t>Sandra Bedoya Zapata</t>
        </is>
      </c>
      <c r="C1209" t="inlineStr">
        <is>
          <t>3147247930</t>
        </is>
      </c>
      <c r="D1209" t="inlineStr">
        <is>
          <t>sandra.bedoya16@hotmail.com</t>
        </is>
      </c>
      <c r="E1209" t="inlineStr">
        <is>
          <t>Medellín</t>
        </is>
      </c>
      <c r="F1209" t="inlineStr">
        <is>
          <t>PRY-002</t>
        </is>
      </c>
      <c r="G1209" t="inlineStr">
        <is>
          <t>Portal Web</t>
        </is>
      </c>
      <c r="H1209" t="inlineStr">
        <is>
          <t>Andrés Torres</t>
        </is>
      </c>
      <c r="I1209" t="inlineStr">
        <is>
          <t>Perdido</t>
        </is>
      </c>
      <c r="J1209" s="28" t="n">
        <v>45665</v>
      </c>
      <c r="K1209" s="28" t="n">
        <v>45686</v>
      </c>
      <c r="L1209" t="inlineStr">
        <is>
          <t>No calificó para crédito</t>
        </is>
      </c>
    </row>
    <row r="1210">
      <c r="A1210" t="inlineStr">
        <is>
          <t>CLI-1208</t>
        </is>
      </c>
      <c r="B1210" t="inlineStr">
        <is>
          <t>Sofía López Montoya</t>
        </is>
      </c>
      <c r="C1210" t="inlineStr">
        <is>
          <t>3017141699</t>
        </is>
      </c>
      <c r="D1210" t="inlineStr">
        <is>
          <t>sofia.lopez24@gmail.com</t>
        </is>
      </c>
      <c r="E1210" t="inlineStr">
        <is>
          <t>Itagüí</t>
        </is>
      </c>
      <c r="F1210" t="inlineStr">
        <is>
          <t>PRY-002</t>
        </is>
      </c>
      <c r="G1210" t="inlineStr">
        <is>
          <t>Facebook</t>
        </is>
      </c>
      <c r="H1210" t="inlineStr">
        <is>
          <t>Sofía Prada</t>
        </is>
      </c>
      <c r="I1210" t="inlineStr">
        <is>
          <t>Perdido</t>
        </is>
      </c>
      <c r="J1210" s="28" t="n">
        <v>45665</v>
      </c>
      <c r="K1210" s="28" t="n">
        <v>45687</v>
      </c>
      <c r="L1210" t="inlineStr">
        <is>
          <t>No calificó para crédito</t>
        </is>
      </c>
    </row>
    <row r="1211">
      <c r="A1211" t="inlineStr">
        <is>
          <t>CLI-1209</t>
        </is>
      </c>
      <c r="B1211" t="inlineStr">
        <is>
          <t>David Toro Zuluaga</t>
        </is>
      </c>
      <c r="C1211" t="inlineStr">
        <is>
          <t>3102026306</t>
        </is>
      </c>
      <c r="D1211" t="inlineStr">
        <is>
          <t>david.toro14@outlook.com</t>
        </is>
      </c>
      <c r="E1211" t="inlineStr">
        <is>
          <t>La Estrella</t>
        </is>
      </c>
      <c r="F1211" t="inlineStr">
        <is>
          <t>PRY-008</t>
        </is>
      </c>
      <c r="G1211" t="inlineStr">
        <is>
          <t>Instagram</t>
        </is>
      </c>
      <c r="H1211" t="inlineStr">
        <is>
          <t>Ana Quintero</t>
        </is>
      </c>
      <c r="I1211" t="inlineStr">
        <is>
          <t>Perdido</t>
        </is>
      </c>
      <c r="J1211" s="28" t="n">
        <v>45665</v>
      </c>
      <c r="K1211" s="28" t="n">
        <v>45683</v>
      </c>
      <c r="L1211" t="inlineStr">
        <is>
          <t>No calificó para crédito</t>
        </is>
      </c>
    </row>
    <row r="1212">
      <c r="A1212" t="inlineStr">
        <is>
          <t>CLI-1210</t>
        </is>
      </c>
      <c r="B1212" t="inlineStr">
        <is>
          <t>Jhon Escobar Echeverri</t>
        </is>
      </c>
      <c r="C1212" t="inlineStr">
        <is>
          <t>3234844636</t>
        </is>
      </c>
      <c r="D1212" t="inlineStr">
        <is>
          <t>jhon.escobar67@gmail.com</t>
        </is>
      </c>
      <c r="E1212" t="inlineStr">
        <is>
          <t>Sabaneta</t>
        </is>
      </c>
      <c r="F1212" t="inlineStr">
        <is>
          <t>PRY-002</t>
        </is>
      </c>
      <c r="G1212" t="inlineStr">
        <is>
          <t>Portal Web</t>
        </is>
      </c>
      <c r="H1212" t="inlineStr">
        <is>
          <t>Sofía Prada</t>
        </is>
      </c>
      <c r="I1212" t="inlineStr">
        <is>
          <t>Ganado</t>
        </is>
      </c>
      <c r="J1212" s="28" t="n">
        <v>45666</v>
      </c>
      <c r="K1212" s="28" t="n">
        <v>45820</v>
      </c>
      <c r="L1212" t="inlineStr">
        <is>
          <t>Compró Casa 3 en Reserva Santa Elena</t>
        </is>
      </c>
    </row>
    <row r="1213">
      <c r="A1213" t="inlineStr">
        <is>
          <t>CLI-1211</t>
        </is>
      </c>
      <c r="B1213" t="inlineStr">
        <is>
          <t>Mauricio López Castaño</t>
        </is>
      </c>
      <c r="C1213" t="inlineStr">
        <is>
          <t>3147046108</t>
        </is>
      </c>
      <c r="D1213" t="inlineStr">
        <is>
          <t>mauricio.lopez27@outlook.com</t>
        </is>
      </c>
      <c r="E1213" t="inlineStr">
        <is>
          <t>Envigado</t>
        </is>
      </c>
      <c r="F1213" t="inlineStr">
        <is>
          <t>PRY-007</t>
        </is>
      </c>
      <c r="G1213" t="inlineStr">
        <is>
          <t>Llamada directa</t>
        </is>
      </c>
      <c r="H1213" t="inlineStr">
        <is>
          <t>Miguel Salazar</t>
        </is>
      </c>
      <c r="I1213" t="inlineStr">
        <is>
          <t>Ganado</t>
        </is>
      </c>
      <c r="J1213" s="28" t="n">
        <v>45666</v>
      </c>
      <c r="K1213" s="28" t="n">
        <v>45797</v>
      </c>
      <c r="L1213" t="inlineStr">
        <is>
          <t>Compró Apto 1603 en Mirador de Envigado</t>
        </is>
      </c>
    </row>
    <row r="1214">
      <c r="A1214" t="inlineStr">
        <is>
          <t>CLI-1212</t>
        </is>
      </c>
      <c r="B1214" t="inlineStr">
        <is>
          <t>Verónica Higuita Jaramillo</t>
        </is>
      </c>
      <c r="C1214" t="inlineStr">
        <is>
          <t>3017409278</t>
        </is>
      </c>
      <c r="D1214" t="inlineStr">
        <is>
          <t>veronica.higuita1@hotmail.com</t>
        </is>
      </c>
      <c r="E1214" t="inlineStr">
        <is>
          <t>Envigado</t>
        </is>
      </c>
      <c r="F1214" t="inlineStr">
        <is>
          <t>PRY-007</t>
        </is>
      </c>
      <c r="G1214" t="inlineStr">
        <is>
          <t>Facebook</t>
        </is>
      </c>
      <c r="H1214" t="inlineStr">
        <is>
          <t>Andrés Torres</t>
        </is>
      </c>
      <c r="I1214" t="inlineStr">
        <is>
          <t>Perdido</t>
        </is>
      </c>
      <c r="J1214" s="28" t="n">
        <v>45666</v>
      </c>
      <c r="K1214" s="28" t="n">
        <v>45677</v>
      </c>
      <c r="L1214" t="inlineStr">
        <is>
          <t>Buscaba arriendo, no compra</t>
        </is>
      </c>
    </row>
    <row r="1215">
      <c r="A1215" t="inlineStr">
        <is>
          <t>CLI-1213</t>
        </is>
      </c>
      <c r="B1215" t="inlineStr">
        <is>
          <t>Sara Salazar Ochoa</t>
        </is>
      </c>
      <c r="C1215" t="inlineStr">
        <is>
          <t>3224044756</t>
        </is>
      </c>
      <c r="D1215" t="inlineStr">
        <is>
          <t>sara.salazar32@hotmail.com</t>
        </is>
      </c>
      <c r="E1215" t="inlineStr">
        <is>
          <t>Rionegro</t>
        </is>
      </c>
      <c r="F1215" t="inlineStr">
        <is>
          <t>PRY-003</t>
        </is>
      </c>
      <c r="G1215" t="inlineStr">
        <is>
          <t>Instagram</t>
        </is>
      </c>
      <c r="H1215" t="inlineStr">
        <is>
          <t>Miguel Salazar</t>
        </is>
      </c>
      <c r="I1215" t="inlineStr">
        <is>
          <t>Perdido</t>
        </is>
      </c>
      <c r="J1215" s="28" t="n">
        <v>45666</v>
      </c>
      <c r="K1215" s="28" t="n">
        <v>45690</v>
      </c>
      <c r="L1215" t="inlineStr">
        <is>
          <t>Sin respuesta tras 3 contactos</t>
        </is>
      </c>
    </row>
    <row r="1216">
      <c r="A1216" t="inlineStr">
        <is>
          <t>CLI-1214</t>
        </is>
      </c>
      <c r="B1216" t="inlineStr">
        <is>
          <t>Hernán Salcedo Palacio</t>
        </is>
      </c>
      <c r="C1216" t="inlineStr">
        <is>
          <t>3138349606</t>
        </is>
      </c>
      <c r="D1216" t="inlineStr">
        <is>
          <t>hernan.salcedo44@outlook.com</t>
        </is>
      </c>
      <c r="E1216" t="inlineStr">
        <is>
          <t>Bello</t>
        </is>
      </c>
      <c r="F1216" t="inlineStr">
        <is>
          <t>PRY-005</t>
        </is>
      </c>
      <c r="G1216" t="inlineStr">
        <is>
          <t>Facebook</t>
        </is>
      </c>
      <c r="H1216" t="inlineStr">
        <is>
          <t>Luis Bedoya</t>
        </is>
      </c>
      <c r="I1216" t="inlineStr">
        <is>
          <t>Perdido</t>
        </is>
      </c>
      <c r="J1216" s="28" t="n">
        <v>45666</v>
      </c>
      <c r="K1216" s="28" t="n">
        <v>45672</v>
      </c>
      <c r="L1216" t="inlineStr">
        <is>
          <t>Presupuesto insuficiente</t>
        </is>
      </c>
    </row>
    <row r="1217">
      <c r="A1217" t="inlineStr">
        <is>
          <t>CLI-1215</t>
        </is>
      </c>
      <c r="B1217" t="inlineStr">
        <is>
          <t>Óscar Palacio Sánchez</t>
        </is>
      </c>
      <c r="C1217" t="inlineStr">
        <is>
          <t>3004652172</t>
        </is>
      </c>
      <c r="D1217" t="inlineStr">
        <is>
          <t>oscar.palacio72@yahoo.com</t>
        </is>
      </c>
      <c r="E1217" t="inlineStr">
        <is>
          <t>Envigado</t>
        </is>
      </c>
      <c r="F1217" t="inlineStr">
        <is>
          <t>PRY-007</t>
        </is>
      </c>
      <c r="G1217" t="inlineStr">
        <is>
          <t>Portal Web</t>
        </is>
      </c>
      <c r="H1217" t="inlineStr">
        <is>
          <t>Juliana Vélez</t>
        </is>
      </c>
      <c r="I1217" t="inlineStr">
        <is>
          <t>Ganado</t>
        </is>
      </c>
      <c r="J1217" s="28" t="n">
        <v>45667</v>
      </c>
      <c r="K1217" s="28" t="n">
        <v>45762</v>
      </c>
      <c r="L1217" t="inlineStr">
        <is>
          <t>Compró Apto 1204 en Mirador de Envigado</t>
        </is>
      </c>
    </row>
    <row r="1218">
      <c r="A1218" t="inlineStr">
        <is>
          <t>CLI-1216</t>
        </is>
      </c>
      <c r="B1218" t="inlineStr">
        <is>
          <t>David Marín Vélez</t>
        </is>
      </c>
      <c r="C1218" t="inlineStr">
        <is>
          <t>3242053956</t>
        </is>
      </c>
      <c r="D1218" t="inlineStr">
        <is>
          <t>david.marin20@hotmail.com</t>
        </is>
      </c>
      <c r="E1218" t="inlineStr">
        <is>
          <t>Sabaneta</t>
        </is>
      </c>
      <c r="F1218" t="inlineStr">
        <is>
          <t>PRY-002</t>
        </is>
      </c>
      <c r="G1218" t="inlineStr">
        <is>
          <t>Portal Web</t>
        </is>
      </c>
      <c r="H1218" t="inlineStr">
        <is>
          <t>Luis Bedoya</t>
        </is>
      </c>
      <c r="I1218" t="inlineStr">
        <is>
          <t>Perdido</t>
        </is>
      </c>
      <c r="J1218" s="28" t="n">
        <v>45667</v>
      </c>
      <c r="K1218" s="28" t="n">
        <v>45770</v>
      </c>
      <c r="L1218" t="inlineStr">
        <is>
          <t>Desistió de la compra</t>
        </is>
      </c>
    </row>
    <row r="1219">
      <c r="A1219" t="inlineStr">
        <is>
          <t>CLI-1217</t>
        </is>
      </c>
      <c r="B1219" t="inlineStr">
        <is>
          <t>Luisa Peláez Zuluaga</t>
        </is>
      </c>
      <c r="C1219" t="inlineStr">
        <is>
          <t>3005538886</t>
        </is>
      </c>
      <c r="D1219" t="inlineStr">
        <is>
          <t>luisa.pelaez64@hotmail.com</t>
        </is>
      </c>
      <c r="E1219" t="inlineStr">
        <is>
          <t>Itagüí</t>
        </is>
      </c>
      <c r="F1219" t="inlineStr">
        <is>
          <t>PRY-008</t>
        </is>
      </c>
      <c r="G1219" t="inlineStr">
        <is>
          <t>Facebook</t>
        </is>
      </c>
      <c r="H1219" t="inlineStr">
        <is>
          <t>Luis Bedoya</t>
        </is>
      </c>
      <c r="I1219" t="inlineStr">
        <is>
          <t>Perdido</t>
        </is>
      </c>
      <c r="J1219" s="28" t="n">
        <v>45668</v>
      </c>
      <c r="K1219" s="28" t="n">
        <v>45707</v>
      </c>
      <c r="L1219" t="inlineStr">
        <is>
          <t>Precio fuera de presupuesto</t>
        </is>
      </c>
    </row>
    <row r="1220">
      <c r="A1220" t="inlineStr">
        <is>
          <t>CLI-1218</t>
        </is>
      </c>
      <c r="B1220" t="inlineStr">
        <is>
          <t>Mónica Montoya Peláez</t>
        </is>
      </c>
      <c r="C1220" t="inlineStr">
        <is>
          <t>3131649047</t>
        </is>
      </c>
      <c r="D1220" t="inlineStr">
        <is>
          <t>monica.montoya3@hotmail.com</t>
        </is>
      </c>
      <c r="E1220" t="inlineStr">
        <is>
          <t>Bello</t>
        </is>
      </c>
      <c r="F1220" t="inlineStr">
        <is>
          <t>PRY-008</t>
        </is>
      </c>
      <c r="G1220" t="inlineStr">
        <is>
          <t>Facebook</t>
        </is>
      </c>
      <c r="H1220" t="inlineStr">
        <is>
          <t>Ana Quintero</t>
        </is>
      </c>
      <c r="I1220" t="inlineStr">
        <is>
          <t>Perdido</t>
        </is>
      </c>
      <c r="J1220" s="28" t="n">
        <v>45668</v>
      </c>
      <c r="K1220" s="28" t="n">
        <v>45694</v>
      </c>
      <c r="L1220" t="inlineStr">
        <is>
          <t>Sin respuesta tras 3 contactos</t>
        </is>
      </c>
    </row>
    <row r="1221">
      <c r="A1221" t="inlineStr">
        <is>
          <t>CLI-1219</t>
        </is>
      </c>
      <c r="B1221" t="inlineStr">
        <is>
          <t>Felipe Higuita Osorio</t>
        </is>
      </c>
      <c r="C1221" t="inlineStr">
        <is>
          <t>3103348542</t>
        </is>
      </c>
      <c r="D1221" t="inlineStr">
        <is>
          <t>felipe.higuita95@yahoo.com</t>
        </is>
      </c>
      <c r="E1221" t="inlineStr">
        <is>
          <t>Itagüí</t>
        </is>
      </c>
      <c r="F1221" t="inlineStr">
        <is>
          <t>PRY-008</t>
        </is>
      </c>
      <c r="G1221" t="inlineStr">
        <is>
          <t>Referido</t>
        </is>
      </c>
      <c r="H1221" t="inlineStr">
        <is>
          <t>Paula Arenas</t>
        </is>
      </c>
      <c r="I1221" t="inlineStr">
        <is>
          <t>Ganado</t>
        </is>
      </c>
      <c r="J1221" s="28" t="n">
        <v>45669</v>
      </c>
      <c r="K1221" s="28" t="n">
        <v>45747</v>
      </c>
      <c r="L1221" t="inlineStr">
        <is>
          <t>Compró Casa 48 en Valle Verde Itagüí</t>
        </is>
      </c>
    </row>
    <row r="1222">
      <c r="A1222" t="inlineStr">
        <is>
          <t>CLI-1220</t>
        </is>
      </c>
      <c r="B1222" t="inlineStr">
        <is>
          <t>Carolina Mejía Salazar</t>
        </is>
      </c>
      <c r="C1222" t="inlineStr">
        <is>
          <t>3101361107</t>
        </is>
      </c>
      <c r="D1222" t="inlineStr">
        <is>
          <t>carolina.mejia13@hotmail.com</t>
        </is>
      </c>
      <c r="E1222" t="inlineStr">
        <is>
          <t>Bello</t>
        </is>
      </c>
      <c r="F1222" t="inlineStr">
        <is>
          <t>PRY-002</t>
        </is>
      </c>
      <c r="G1222" t="inlineStr">
        <is>
          <t>Facebook</t>
        </is>
      </c>
      <c r="H1222" t="inlineStr">
        <is>
          <t>Juliana Vélez</t>
        </is>
      </c>
      <c r="I1222" t="inlineStr">
        <is>
          <t>Perdido</t>
        </is>
      </c>
      <c r="J1222" s="28" t="n">
        <v>45669</v>
      </c>
      <c r="K1222" s="28" t="n">
        <v>45694</v>
      </c>
      <c r="L1222" t="inlineStr">
        <is>
          <t>No calificó para crédito</t>
        </is>
      </c>
    </row>
    <row r="1223">
      <c r="A1223" t="inlineStr">
        <is>
          <t>CLI-1221</t>
        </is>
      </c>
      <c r="B1223" t="inlineStr">
        <is>
          <t>Óscar Restrepo Franco</t>
        </is>
      </c>
      <c r="C1223" t="inlineStr">
        <is>
          <t>3143853527</t>
        </is>
      </c>
      <c r="D1223" t="inlineStr">
        <is>
          <t>oscar.restrepo30@gmail.com</t>
        </is>
      </c>
      <c r="E1223" t="inlineStr">
        <is>
          <t>La Estrella</t>
        </is>
      </c>
      <c r="F1223" t="inlineStr">
        <is>
          <t>PRY-002</t>
        </is>
      </c>
      <c r="G1223" t="inlineStr">
        <is>
          <t>Facebook</t>
        </is>
      </c>
      <c r="H1223" t="inlineStr">
        <is>
          <t>Luis Bedoya</t>
        </is>
      </c>
      <c r="I1223" t="inlineStr">
        <is>
          <t>Perdido</t>
        </is>
      </c>
      <c r="J1223" s="28" t="n">
        <v>45669</v>
      </c>
      <c r="K1223" s="28" t="n">
        <v>45689</v>
      </c>
      <c r="L1223" t="inlineStr">
        <is>
          <t>Sin respuesta tras 3 contactos</t>
        </is>
      </c>
    </row>
    <row r="1224">
      <c r="A1224" t="inlineStr">
        <is>
          <t>CLI-1222</t>
        </is>
      </c>
      <c r="B1224" t="inlineStr">
        <is>
          <t>José Londoño Escobar</t>
        </is>
      </c>
      <c r="C1224" t="inlineStr">
        <is>
          <t>3018489543</t>
        </is>
      </c>
      <c r="D1224" t="inlineStr">
        <is>
          <t>jose.londono77@hotmail.com</t>
        </is>
      </c>
      <c r="E1224" t="inlineStr">
        <is>
          <t>Sabaneta</t>
        </is>
      </c>
      <c r="F1224" t="inlineStr">
        <is>
          <t>PRY-002</t>
        </is>
      </c>
      <c r="G1224" t="inlineStr">
        <is>
          <t>Facebook</t>
        </is>
      </c>
      <c r="H1224" t="inlineStr">
        <is>
          <t>Ana Quintero</t>
        </is>
      </c>
      <c r="I1224" t="inlineStr">
        <is>
          <t>Perdido</t>
        </is>
      </c>
      <c r="J1224" s="28" t="n">
        <v>45669</v>
      </c>
      <c r="K1224" s="28" t="n">
        <v>45686</v>
      </c>
      <c r="L1224" t="inlineStr">
        <is>
          <t>No calificó para crédito</t>
        </is>
      </c>
    </row>
    <row r="1225">
      <c r="A1225" t="inlineStr">
        <is>
          <t>CLI-1223</t>
        </is>
      </c>
      <c r="B1225" t="inlineStr">
        <is>
          <t>Diana Toro Ríos</t>
        </is>
      </c>
      <c r="C1225" t="inlineStr">
        <is>
          <t>3177445238</t>
        </is>
      </c>
      <c r="D1225" t="inlineStr">
        <is>
          <t>diana.toro62@gmail.com</t>
        </is>
      </c>
      <c r="E1225" t="inlineStr">
        <is>
          <t>Sabaneta</t>
        </is>
      </c>
      <c r="F1225" t="inlineStr">
        <is>
          <t>PRY-008</t>
        </is>
      </c>
      <c r="G1225" t="inlineStr">
        <is>
          <t>Instagram</t>
        </is>
      </c>
      <c r="H1225" t="inlineStr">
        <is>
          <t>Ana Quintero</t>
        </is>
      </c>
      <c r="I1225" t="inlineStr">
        <is>
          <t>Perdido</t>
        </is>
      </c>
      <c r="J1225" s="28" t="n">
        <v>45669</v>
      </c>
      <c r="K1225" s="28" t="n">
        <v>45690</v>
      </c>
      <c r="L1225" t="inlineStr">
        <is>
          <t>Buscaba arriendo, no compra</t>
        </is>
      </c>
    </row>
    <row r="1226">
      <c r="A1226" t="inlineStr">
        <is>
          <t>CLI-1224</t>
        </is>
      </c>
      <c r="B1226" t="inlineStr">
        <is>
          <t>Iván Vásquez Vélez</t>
        </is>
      </c>
      <c r="C1226" t="inlineStr">
        <is>
          <t>3107959429</t>
        </is>
      </c>
      <c r="D1226" t="inlineStr">
        <is>
          <t>ivan.vasquez76@gmail.com</t>
        </is>
      </c>
      <c r="E1226" t="inlineStr">
        <is>
          <t>Sabaneta</t>
        </is>
      </c>
      <c r="F1226" t="inlineStr">
        <is>
          <t>PRY-008</t>
        </is>
      </c>
      <c r="G1226" t="inlineStr">
        <is>
          <t>Feria Inmobiliaria</t>
        </is>
      </c>
      <c r="H1226" t="inlineStr">
        <is>
          <t>Luis Bedoya</t>
        </is>
      </c>
      <c r="I1226" t="inlineStr">
        <is>
          <t>Perdido</t>
        </is>
      </c>
      <c r="J1226" s="28" t="n">
        <v>45669</v>
      </c>
      <c r="K1226" s="28" t="n">
        <v>45677</v>
      </c>
      <c r="L1226" t="inlineStr">
        <is>
          <t>Sin respuesta tras 3 contactos</t>
        </is>
      </c>
    </row>
    <row r="1227">
      <c r="A1227" t="inlineStr">
        <is>
          <t>CLI-1225</t>
        </is>
      </c>
      <c r="B1227" t="inlineStr">
        <is>
          <t>Jhon Rojas Montes</t>
        </is>
      </c>
      <c r="C1227" t="inlineStr">
        <is>
          <t>3203856310</t>
        </is>
      </c>
      <c r="D1227" t="inlineStr">
        <is>
          <t>jhon.rojas74@hotmail.com</t>
        </is>
      </c>
      <c r="E1227" t="inlineStr">
        <is>
          <t>Itagüí</t>
        </is>
      </c>
      <c r="F1227" t="inlineStr">
        <is>
          <t>PRY-008</t>
        </is>
      </c>
      <c r="G1227" t="inlineStr">
        <is>
          <t>Facebook</t>
        </is>
      </c>
      <c r="H1227" t="inlineStr">
        <is>
          <t>Luis Bedoya</t>
        </is>
      </c>
      <c r="I1227" t="inlineStr">
        <is>
          <t>Perdido</t>
        </is>
      </c>
      <c r="J1227" s="28" t="n">
        <v>45670</v>
      </c>
      <c r="K1227" s="28" t="n">
        <v>45677</v>
      </c>
      <c r="L1227" t="inlineStr">
        <is>
          <t>Buscaba arriendo, no compra</t>
        </is>
      </c>
    </row>
    <row r="1228">
      <c r="A1228" t="inlineStr">
        <is>
          <t>CLI-1226</t>
        </is>
      </c>
      <c r="B1228" t="inlineStr">
        <is>
          <t>Liliana Rojas Agudelo</t>
        </is>
      </c>
      <c r="C1228" t="inlineStr">
        <is>
          <t>3048490847</t>
        </is>
      </c>
      <c r="D1228" t="inlineStr">
        <is>
          <t>liliana.rojas83@hotmail.com</t>
        </is>
      </c>
      <c r="E1228" t="inlineStr">
        <is>
          <t>Medellín</t>
        </is>
      </c>
      <c r="F1228" t="inlineStr">
        <is>
          <t>PRY-004</t>
        </is>
      </c>
      <c r="G1228" t="inlineStr">
        <is>
          <t>Feria Inmobiliaria</t>
        </is>
      </c>
      <c r="H1228" t="inlineStr">
        <is>
          <t>Ana Quintero</t>
        </is>
      </c>
      <c r="I1228" t="inlineStr">
        <is>
          <t>Ganado</t>
        </is>
      </c>
      <c r="J1228" s="28" t="n">
        <v>45671</v>
      </c>
      <c r="K1228" s="28" t="n">
        <v>45800</v>
      </c>
      <c r="L1228" t="inlineStr">
        <is>
          <t>Compró Casa 40 en Altavista Park</t>
        </is>
      </c>
    </row>
    <row r="1229">
      <c r="A1229" t="inlineStr">
        <is>
          <t>CLI-1227</t>
        </is>
      </c>
      <c r="B1229" t="inlineStr">
        <is>
          <t>David Arango López</t>
        </is>
      </c>
      <c r="C1229" t="inlineStr">
        <is>
          <t>3232466271</t>
        </is>
      </c>
      <c r="D1229" t="inlineStr">
        <is>
          <t>david.arango71@gmail.com</t>
        </is>
      </c>
      <c r="E1229" t="inlineStr">
        <is>
          <t>Rionegro</t>
        </is>
      </c>
      <c r="F1229" t="inlineStr">
        <is>
          <t>PRY-005</t>
        </is>
      </c>
      <c r="G1229" t="inlineStr">
        <is>
          <t>Portal Web</t>
        </is>
      </c>
      <c r="H1229" t="inlineStr">
        <is>
          <t>Juliana Vélez</t>
        </is>
      </c>
      <c r="I1229" t="inlineStr">
        <is>
          <t>Perdido</t>
        </is>
      </c>
      <c r="J1229" s="28" t="n">
        <v>45671</v>
      </c>
      <c r="K1229" s="28" t="n">
        <v>45807</v>
      </c>
      <c r="L1229" t="inlineStr">
        <is>
          <t>Crédito no aprobado</t>
        </is>
      </c>
    </row>
    <row r="1230">
      <c r="A1230" t="inlineStr">
        <is>
          <t>CLI-1228</t>
        </is>
      </c>
      <c r="B1230" t="inlineStr">
        <is>
          <t>Alejandra Giraldo Uribe</t>
        </is>
      </c>
      <c r="C1230" t="inlineStr">
        <is>
          <t>3249228448</t>
        </is>
      </c>
      <c r="D1230" t="inlineStr">
        <is>
          <t>alejandra.giraldo46@hotmail.com</t>
        </is>
      </c>
      <c r="E1230" t="inlineStr">
        <is>
          <t>Bello</t>
        </is>
      </c>
      <c r="F1230" t="inlineStr">
        <is>
          <t>PRY-002</t>
        </is>
      </c>
      <c r="G1230" t="inlineStr">
        <is>
          <t>Feria Inmobiliaria</t>
        </is>
      </c>
      <c r="H1230" t="inlineStr">
        <is>
          <t>Andrés Torres</t>
        </is>
      </c>
      <c r="I1230" t="inlineStr">
        <is>
          <t>Perdido</t>
        </is>
      </c>
      <c r="J1230" s="28" t="n">
        <v>45671</v>
      </c>
      <c r="K1230" s="28" t="n">
        <v>45678</v>
      </c>
      <c r="L1230" t="inlineStr">
        <is>
          <t>Sin respuesta tras 3 contactos</t>
        </is>
      </c>
    </row>
    <row r="1231">
      <c r="A1231" t="inlineStr">
        <is>
          <t>CLI-1229</t>
        </is>
      </c>
      <c r="B1231" t="inlineStr">
        <is>
          <t>Valeria Uribe Pérez</t>
        </is>
      </c>
      <c r="C1231" t="inlineStr">
        <is>
          <t>3147485804</t>
        </is>
      </c>
      <c r="D1231" t="inlineStr">
        <is>
          <t>valeria.uribe88@hotmail.com</t>
        </is>
      </c>
      <c r="E1231" t="inlineStr">
        <is>
          <t>La Estrella</t>
        </is>
      </c>
      <c r="F1231" t="inlineStr">
        <is>
          <t>PRY-001</t>
        </is>
      </c>
      <c r="G1231" t="inlineStr">
        <is>
          <t>Llamada directa</t>
        </is>
      </c>
      <c r="H1231" t="inlineStr">
        <is>
          <t>Luis Bedoya</t>
        </is>
      </c>
      <c r="I1231" t="inlineStr">
        <is>
          <t>Perdido</t>
        </is>
      </c>
      <c r="J1231" s="28" t="n">
        <v>45671</v>
      </c>
      <c r="K1231" s="28" t="n">
        <v>45676</v>
      </c>
      <c r="L1231" t="inlineStr">
        <is>
          <t>No calificó para crédito</t>
        </is>
      </c>
    </row>
    <row r="1232">
      <c r="A1232" t="inlineStr">
        <is>
          <t>CLI-1230</t>
        </is>
      </c>
      <c r="B1232" t="inlineStr">
        <is>
          <t>Liliana Correa Londoño</t>
        </is>
      </c>
      <c r="C1232" t="inlineStr">
        <is>
          <t>3156459710</t>
        </is>
      </c>
      <c r="D1232" t="inlineStr">
        <is>
          <t>liliana.correa45@hotmail.com</t>
        </is>
      </c>
      <c r="E1232" t="inlineStr">
        <is>
          <t>Sabaneta</t>
        </is>
      </c>
      <c r="F1232" t="inlineStr">
        <is>
          <t>PRY-008</t>
        </is>
      </c>
      <c r="G1232" t="inlineStr">
        <is>
          <t>Facebook</t>
        </is>
      </c>
      <c r="H1232" t="inlineStr">
        <is>
          <t>Ana Quintero</t>
        </is>
      </c>
      <c r="I1232" t="inlineStr">
        <is>
          <t>Perdido</t>
        </is>
      </c>
      <c r="J1232" s="28" t="n">
        <v>45671</v>
      </c>
      <c r="K1232" s="28" t="n">
        <v>45690</v>
      </c>
      <c r="L1232" t="inlineStr">
        <is>
          <t>Buscaba arriendo, no compra</t>
        </is>
      </c>
    </row>
    <row r="1233">
      <c r="A1233" t="inlineStr">
        <is>
          <t>CLI-1231</t>
        </is>
      </c>
      <c r="B1233" t="inlineStr">
        <is>
          <t>Gabriel Hernández Gómez</t>
        </is>
      </c>
      <c r="C1233" t="inlineStr">
        <is>
          <t>3155600462</t>
        </is>
      </c>
      <c r="D1233" t="inlineStr">
        <is>
          <t>gabriel.hernandez39@outlook.com</t>
        </is>
      </c>
      <c r="E1233" t="inlineStr">
        <is>
          <t>Medellín</t>
        </is>
      </c>
      <c r="F1233" t="inlineStr">
        <is>
          <t>PRY-004</t>
        </is>
      </c>
      <c r="G1233" t="inlineStr">
        <is>
          <t>Feria Inmobiliaria</t>
        </is>
      </c>
      <c r="H1233" t="inlineStr">
        <is>
          <t>Sofía Prada</t>
        </is>
      </c>
      <c r="I1233" t="inlineStr">
        <is>
          <t>Perdido</t>
        </is>
      </c>
      <c r="J1233" s="28" t="n">
        <v>45671</v>
      </c>
      <c r="K1233" s="28" t="n">
        <v>45680</v>
      </c>
      <c r="L1233" t="inlineStr">
        <is>
          <t>Sin respuesta tras 3 contactos</t>
        </is>
      </c>
    </row>
    <row r="1234">
      <c r="A1234" t="inlineStr">
        <is>
          <t>CLI-1232</t>
        </is>
      </c>
      <c r="B1234" t="inlineStr">
        <is>
          <t>Katherine Franco Sánchez</t>
        </is>
      </c>
      <c r="C1234" t="inlineStr">
        <is>
          <t>3158354932</t>
        </is>
      </c>
      <c r="D1234" t="inlineStr">
        <is>
          <t>katherine.franco49@yahoo.com</t>
        </is>
      </c>
      <c r="E1234" t="inlineStr">
        <is>
          <t>Envigado</t>
        </is>
      </c>
      <c r="F1234" t="inlineStr">
        <is>
          <t>PRY-007</t>
        </is>
      </c>
      <c r="G1234" t="inlineStr">
        <is>
          <t>Facebook</t>
        </is>
      </c>
      <c r="H1234" t="inlineStr">
        <is>
          <t>Juliana Vélez</t>
        </is>
      </c>
      <c r="I1234" t="inlineStr">
        <is>
          <t>Perdido</t>
        </is>
      </c>
      <c r="J1234" s="28" t="n">
        <v>45672</v>
      </c>
      <c r="K1234" s="28" t="n">
        <v>45786</v>
      </c>
      <c r="L1234" t="inlineStr">
        <is>
          <t>Eligió otro proyecto</t>
        </is>
      </c>
    </row>
    <row r="1235">
      <c r="A1235" t="inlineStr">
        <is>
          <t>CLI-1233</t>
        </is>
      </c>
      <c r="B1235" t="inlineStr">
        <is>
          <t>Felipe Ochoa Mejía</t>
        </is>
      </c>
      <c r="C1235" t="inlineStr">
        <is>
          <t>3109567891</t>
        </is>
      </c>
      <c r="D1235" t="inlineStr">
        <is>
          <t>felipe.ochoa70@yahoo.com</t>
        </is>
      </c>
      <c r="E1235" t="inlineStr">
        <is>
          <t>Rionegro</t>
        </is>
      </c>
      <c r="F1235" t="inlineStr">
        <is>
          <t>PRY-001</t>
        </is>
      </c>
      <c r="G1235" t="inlineStr">
        <is>
          <t>Portal Web</t>
        </is>
      </c>
      <c r="H1235" t="inlineStr">
        <is>
          <t>Andrés Torres</t>
        </is>
      </c>
      <c r="I1235" t="inlineStr">
        <is>
          <t>Ganado</t>
        </is>
      </c>
      <c r="J1235" s="28" t="n">
        <v>45672</v>
      </c>
      <c r="K1235" s="28" t="n">
        <v>45807</v>
      </c>
      <c r="L1235" t="inlineStr">
        <is>
          <t>Compró Apto 1006 en Torres del Poblado</t>
        </is>
      </c>
    </row>
    <row r="1236">
      <c r="A1236" t="inlineStr">
        <is>
          <t>CLI-1234</t>
        </is>
      </c>
      <c r="B1236" t="inlineStr">
        <is>
          <t>Natalia Henao Toro</t>
        </is>
      </c>
      <c r="C1236" t="inlineStr">
        <is>
          <t>3227473943</t>
        </is>
      </c>
      <c r="D1236" t="inlineStr">
        <is>
          <t>natalia.henao8@yahoo.com</t>
        </is>
      </c>
      <c r="E1236" t="inlineStr">
        <is>
          <t>Medellín</t>
        </is>
      </c>
      <c r="F1236" t="inlineStr">
        <is>
          <t>PRY-004</t>
        </is>
      </c>
      <c r="G1236" t="inlineStr">
        <is>
          <t>Referido</t>
        </is>
      </c>
      <c r="H1236" t="inlineStr">
        <is>
          <t>Andrés Torres</t>
        </is>
      </c>
      <c r="I1236" t="inlineStr">
        <is>
          <t>Ganado</t>
        </is>
      </c>
      <c r="J1236" s="28" t="n">
        <v>45672</v>
      </c>
      <c r="K1236" s="28" t="n">
        <v>45779</v>
      </c>
      <c r="L1236" t="inlineStr">
        <is>
          <t>Compró Casa 20 en Altavista Park</t>
        </is>
      </c>
    </row>
    <row r="1237">
      <c r="A1237" t="inlineStr">
        <is>
          <t>CLI-1235</t>
        </is>
      </c>
      <c r="B1237" t="inlineStr">
        <is>
          <t>Valeria Ramírez Salcedo</t>
        </is>
      </c>
      <c r="C1237" t="inlineStr">
        <is>
          <t>3006675647</t>
        </is>
      </c>
      <c r="D1237" t="inlineStr">
        <is>
          <t>valeria.ramirez93@gmail.com</t>
        </is>
      </c>
      <c r="E1237" t="inlineStr">
        <is>
          <t>Rionegro</t>
        </is>
      </c>
      <c r="F1237" t="inlineStr">
        <is>
          <t>PRY-005</t>
        </is>
      </c>
      <c r="G1237" t="inlineStr">
        <is>
          <t>Feria Inmobiliaria</t>
        </is>
      </c>
      <c r="H1237" t="inlineStr">
        <is>
          <t>Sofía Prada</t>
        </is>
      </c>
      <c r="I1237" t="inlineStr">
        <is>
          <t>Ganado</t>
        </is>
      </c>
      <c r="J1237" s="28" t="n">
        <v>45672</v>
      </c>
      <c r="K1237" s="28" t="n">
        <v>45834</v>
      </c>
      <c r="L1237" t="inlineStr">
        <is>
          <t>Compró Apto 1308 en Ciudadela Rionegro</t>
        </is>
      </c>
    </row>
    <row r="1238">
      <c r="A1238" t="inlineStr">
        <is>
          <t>CLI-1236</t>
        </is>
      </c>
      <c r="B1238" t="inlineStr">
        <is>
          <t>Mateo Duque Vásquez</t>
        </is>
      </c>
      <c r="C1238" t="inlineStr">
        <is>
          <t>3242223510</t>
        </is>
      </c>
      <c r="D1238" t="inlineStr">
        <is>
          <t>mateo.duque79@hotmail.com</t>
        </is>
      </c>
      <c r="E1238" t="inlineStr">
        <is>
          <t>Medellín</t>
        </is>
      </c>
      <c r="F1238" t="inlineStr">
        <is>
          <t>PRY-004</t>
        </is>
      </c>
      <c r="G1238" t="inlineStr">
        <is>
          <t>Referido</t>
        </is>
      </c>
      <c r="H1238" t="inlineStr">
        <is>
          <t>Sofía Prada</t>
        </is>
      </c>
      <c r="I1238" t="inlineStr">
        <is>
          <t>Perdido</t>
        </is>
      </c>
      <c r="J1238" s="28" t="n">
        <v>45673</v>
      </c>
      <c r="K1238" s="28" t="n">
        <v>45701</v>
      </c>
      <c r="L1238" t="inlineStr">
        <is>
          <t>Sin respuesta tras 3 contactos</t>
        </is>
      </c>
    </row>
    <row r="1239">
      <c r="A1239" t="inlineStr">
        <is>
          <t>CLI-1237</t>
        </is>
      </c>
      <c r="B1239" t="inlineStr">
        <is>
          <t>Daniel López Salazar</t>
        </is>
      </c>
      <c r="C1239" t="inlineStr">
        <is>
          <t>3141306314</t>
        </is>
      </c>
      <c r="D1239" t="inlineStr">
        <is>
          <t>daniel.lopez70@yahoo.com</t>
        </is>
      </c>
      <c r="E1239" t="inlineStr">
        <is>
          <t>Medellín</t>
        </is>
      </c>
      <c r="F1239" t="inlineStr">
        <is>
          <t>PRY-001</t>
        </is>
      </c>
      <c r="G1239" t="inlineStr">
        <is>
          <t>Llamada directa</t>
        </is>
      </c>
      <c r="H1239" t="inlineStr">
        <is>
          <t>Miguel Salazar</t>
        </is>
      </c>
      <c r="I1239" t="inlineStr">
        <is>
          <t>Perdido</t>
        </is>
      </c>
      <c r="J1239" s="28" t="n">
        <v>45673</v>
      </c>
      <c r="K1239" s="28" t="n">
        <v>45688</v>
      </c>
      <c r="L1239" t="inlineStr">
        <is>
          <t>Sin respuesta tras 3 contactos</t>
        </is>
      </c>
    </row>
    <row r="1240">
      <c r="A1240" t="inlineStr">
        <is>
          <t>CLI-1238</t>
        </is>
      </c>
      <c r="B1240" t="inlineStr">
        <is>
          <t>Cristian Toro Gómez</t>
        </is>
      </c>
      <c r="C1240" t="inlineStr">
        <is>
          <t>3005660963</t>
        </is>
      </c>
      <c r="D1240" t="inlineStr">
        <is>
          <t>cristian.toro86@gmail.com</t>
        </is>
      </c>
      <c r="E1240" t="inlineStr">
        <is>
          <t>Medellín</t>
        </is>
      </c>
      <c r="F1240" t="inlineStr">
        <is>
          <t>PRY-004</t>
        </is>
      </c>
      <c r="G1240" t="inlineStr">
        <is>
          <t>Portal Web</t>
        </is>
      </c>
      <c r="H1240" t="inlineStr">
        <is>
          <t>Sofía Prada</t>
        </is>
      </c>
      <c r="I1240" t="inlineStr">
        <is>
          <t>Perdido</t>
        </is>
      </c>
      <c r="J1240" s="28" t="n">
        <v>45674</v>
      </c>
      <c r="K1240" s="28" t="n">
        <v>45752</v>
      </c>
      <c r="L1240" t="inlineStr">
        <is>
          <t>Desistió de la compra</t>
        </is>
      </c>
    </row>
    <row r="1241">
      <c r="A1241" t="inlineStr">
        <is>
          <t>CLI-1239</t>
        </is>
      </c>
      <c r="B1241" t="inlineStr">
        <is>
          <t>Manuela Hernández Hernández</t>
        </is>
      </c>
      <c r="C1241" t="inlineStr">
        <is>
          <t>3179555467</t>
        </is>
      </c>
      <c r="D1241" t="inlineStr">
        <is>
          <t>manuela.hernandez13@outlook.com</t>
        </is>
      </c>
      <c r="E1241" t="inlineStr">
        <is>
          <t>Medellín</t>
        </is>
      </c>
      <c r="F1241" t="inlineStr">
        <is>
          <t>PRY-003</t>
        </is>
      </c>
      <c r="G1241" t="inlineStr">
        <is>
          <t>Referido</t>
        </is>
      </c>
      <c r="H1241" t="inlineStr">
        <is>
          <t>Santiago Muñoz</t>
        </is>
      </c>
      <c r="I1241" t="inlineStr">
        <is>
          <t>Ganado</t>
        </is>
      </c>
      <c r="J1241" s="28" t="n">
        <v>45674</v>
      </c>
      <c r="K1241" s="28" t="n">
        <v>45801</v>
      </c>
      <c r="L1241" t="inlineStr">
        <is>
          <t>Compró Apto 1002 en Conecta Laureles</t>
        </is>
      </c>
    </row>
    <row r="1242">
      <c r="A1242" t="inlineStr">
        <is>
          <t>CLI-1240</t>
        </is>
      </c>
      <c r="B1242" t="inlineStr">
        <is>
          <t>Juliana Vásquez Montoya</t>
        </is>
      </c>
      <c r="C1242" t="inlineStr">
        <is>
          <t>3101883720</t>
        </is>
      </c>
      <c r="D1242" t="inlineStr">
        <is>
          <t>juliana.vasquez61@outlook.com</t>
        </is>
      </c>
      <c r="E1242" t="inlineStr">
        <is>
          <t>Envigado</t>
        </is>
      </c>
      <c r="F1242" t="inlineStr">
        <is>
          <t>PRY-002</t>
        </is>
      </c>
      <c r="G1242" t="inlineStr">
        <is>
          <t>Instagram</t>
        </is>
      </c>
      <c r="H1242" t="inlineStr">
        <is>
          <t>Ana Quintero</t>
        </is>
      </c>
      <c r="I1242" t="inlineStr">
        <is>
          <t>Perdido</t>
        </is>
      </c>
      <c r="J1242" s="28" t="n">
        <v>45674</v>
      </c>
      <c r="K1242" s="28" t="n">
        <v>45687</v>
      </c>
      <c r="L1242" t="inlineStr">
        <is>
          <t>Buscaba arriendo, no compra</t>
        </is>
      </c>
    </row>
    <row r="1243">
      <c r="A1243" t="inlineStr">
        <is>
          <t>CLI-1241</t>
        </is>
      </c>
      <c r="B1243" t="inlineStr">
        <is>
          <t>Nicolás Gómez Rojas</t>
        </is>
      </c>
      <c r="C1243" t="inlineStr">
        <is>
          <t>3005925948</t>
        </is>
      </c>
      <c r="D1243" t="inlineStr">
        <is>
          <t>nicolas.gomez9@hotmail.com</t>
        </is>
      </c>
      <c r="E1243" t="inlineStr">
        <is>
          <t>Medellín</t>
        </is>
      </c>
      <c r="F1243" t="inlineStr">
        <is>
          <t>PRY-001</t>
        </is>
      </c>
      <c r="G1243" t="inlineStr">
        <is>
          <t>Portal Web</t>
        </is>
      </c>
      <c r="H1243" t="inlineStr">
        <is>
          <t>Luis Bedoya</t>
        </is>
      </c>
      <c r="I1243" t="inlineStr">
        <is>
          <t>Perdido</t>
        </is>
      </c>
      <c r="J1243" s="28" t="n">
        <v>45675</v>
      </c>
      <c r="K1243" s="28" t="n">
        <v>45681</v>
      </c>
      <c r="L1243" t="inlineStr">
        <is>
          <t>Buscaba arriendo, no compra</t>
        </is>
      </c>
    </row>
    <row r="1244">
      <c r="A1244" t="inlineStr">
        <is>
          <t>CLI-1242</t>
        </is>
      </c>
      <c r="B1244" t="inlineStr">
        <is>
          <t>Natalia Echeverri Salcedo</t>
        </is>
      </c>
      <c r="C1244" t="inlineStr">
        <is>
          <t>3007305327</t>
        </is>
      </c>
      <c r="D1244" t="inlineStr">
        <is>
          <t>natalia.echeverri38@gmail.com</t>
        </is>
      </c>
      <c r="E1244" t="inlineStr">
        <is>
          <t>Medellín</t>
        </is>
      </c>
      <c r="F1244" t="inlineStr">
        <is>
          <t>PRY-008</t>
        </is>
      </c>
      <c r="G1244" t="inlineStr">
        <is>
          <t>Instagram</t>
        </is>
      </c>
      <c r="H1244" t="inlineStr">
        <is>
          <t>Juliana Vélez</t>
        </is>
      </c>
      <c r="I1244" t="inlineStr">
        <is>
          <t>Ganado</t>
        </is>
      </c>
      <c r="J1244" s="28" t="n">
        <v>45678</v>
      </c>
      <c r="K1244" s="28" t="n">
        <v>45773</v>
      </c>
      <c r="L1244" t="inlineStr">
        <is>
          <t>Compró Casa 92 en Valle Verde Itagüí</t>
        </is>
      </c>
    </row>
    <row r="1245">
      <c r="A1245" t="inlineStr">
        <is>
          <t>CLI-1243</t>
        </is>
      </c>
      <c r="B1245" t="inlineStr">
        <is>
          <t>Sandra Vásquez Franco</t>
        </is>
      </c>
      <c r="C1245" t="inlineStr">
        <is>
          <t>3005987192</t>
        </is>
      </c>
      <c r="D1245" t="inlineStr">
        <is>
          <t>sandra.vasquez84@gmail.com</t>
        </is>
      </c>
      <c r="E1245" t="inlineStr">
        <is>
          <t>Sabaneta</t>
        </is>
      </c>
      <c r="F1245" t="inlineStr">
        <is>
          <t>PRY-001</t>
        </is>
      </c>
      <c r="G1245" t="inlineStr">
        <is>
          <t>Referido</t>
        </is>
      </c>
      <c r="H1245" t="inlineStr">
        <is>
          <t>Juliana Vélez</t>
        </is>
      </c>
      <c r="I1245" t="inlineStr">
        <is>
          <t>Perdido</t>
        </is>
      </c>
      <c r="J1245" s="28" t="n">
        <v>45678</v>
      </c>
      <c r="K1245" s="28" t="n">
        <v>45706</v>
      </c>
      <c r="L1245" t="inlineStr">
        <is>
          <t>No calificó para crédito</t>
        </is>
      </c>
    </row>
    <row r="1246">
      <c r="A1246" t="inlineStr">
        <is>
          <t>CLI-1244</t>
        </is>
      </c>
      <c r="B1246" t="inlineStr">
        <is>
          <t>Mateo Vásquez Cifuentes</t>
        </is>
      </c>
      <c r="C1246" t="inlineStr">
        <is>
          <t>3209651262</t>
        </is>
      </c>
      <c r="D1246" t="inlineStr">
        <is>
          <t>mateo.vasquez89@yahoo.com</t>
        </is>
      </c>
      <c r="E1246" t="inlineStr">
        <is>
          <t>Envigado</t>
        </is>
      </c>
      <c r="F1246" t="inlineStr">
        <is>
          <t>PRY-002</t>
        </is>
      </c>
      <c r="G1246" t="inlineStr">
        <is>
          <t>Facebook</t>
        </is>
      </c>
      <c r="H1246" t="inlineStr">
        <is>
          <t>Ana Quintero</t>
        </is>
      </c>
      <c r="I1246" t="inlineStr">
        <is>
          <t>Perdido</t>
        </is>
      </c>
      <c r="J1246" s="28" t="n">
        <v>45678</v>
      </c>
      <c r="K1246" s="28" t="n">
        <v>45691</v>
      </c>
      <c r="L1246" t="inlineStr">
        <is>
          <t>Sin respuesta tras 3 contactos</t>
        </is>
      </c>
    </row>
    <row r="1247">
      <c r="A1247" t="inlineStr">
        <is>
          <t>CLI-1245</t>
        </is>
      </c>
      <c r="B1247" t="inlineStr">
        <is>
          <t>Tomás Uribe Vargas</t>
        </is>
      </c>
      <c r="C1247" t="inlineStr">
        <is>
          <t>3245197543</t>
        </is>
      </c>
      <c r="D1247" t="inlineStr">
        <is>
          <t>tomas.uribe51@outlook.com</t>
        </is>
      </c>
      <c r="E1247" t="inlineStr">
        <is>
          <t>Itagüí</t>
        </is>
      </c>
      <c r="F1247" t="inlineStr">
        <is>
          <t>PRY-002</t>
        </is>
      </c>
      <c r="G1247" t="inlineStr">
        <is>
          <t>Instagram</t>
        </is>
      </c>
      <c r="H1247" t="inlineStr">
        <is>
          <t>Santiago Muñoz</t>
        </is>
      </c>
      <c r="I1247" t="inlineStr">
        <is>
          <t>Perdido</t>
        </is>
      </c>
      <c r="J1247" s="28" t="n">
        <v>45679</v>
      </c>
      <c r="K1247" s="28" t="n">
        <v>45694</v>
      </c>
      <c r="L1247" t="inlineStr">
        <is>
          <t>Datos de contacto errados</t>
        </is>
      </c>
    </row>
    <row r="1248">
      <c r="A1248" t="inlineStr">
        <is>
          <t>CLI-1246</t>
        </is>
      </c>
      <c r="B1248" t="inlineStr">
        <is>
          <t>Sebastián Uribe Duque</t>
        </is>
      </c>
      <c r="C1248" t="inlineStr">
        <is>
          <t>3008457525</t>
        </is>
      </c>
      <c r="D1248" t="inlineStr">
        <is>
          <t>sebastian.uribe61@yahoo.com</t>
        </is>
      </c>
      <c r="E1248" t="inlineStr">
        <is>
          <t>Medellín</t>
        </is>
      </c>
      <c r="F1248" t="inlineStr">
        <is>
          <t>PRY-002</t>
        </is>
      </c>
      <c r="G1248" t="inlineStr">
        <is>
          <t>Instagram</t>
        </is>
      </c>
      <c r="H1248" t="inlineStr">
        <is>
          <t>Santiago Muñoz</t>
        </is>
      </c>
      <c r="I1248" t="inlineStr">
        <is>
          <t>Perdido</t>
        </is>
      </c>
      <c r="J1248" s="28" t="n">
        <v>45679</v>
      </c>
      <c r="K1248" s="28" t="n">
        <v>45706</v>
      </c>
      <c r="L1248" t="inlineStr">
        <is>
          <t>No calificó para crédito</t>
        </is>
      </c>
    </row>
    <row r="1249">
      <c r="A1249" t="inlineStr">
        <is>
          <t>CLI-1247</t>
        </is>
      </c>
      <c r="B1249" t="inlineStr">
        <is>
          <t>Juan Pablo Cano Vásquez</t>
        </is>
      </c>
      <c r="C1249" t="inlineStr">
        <is>
          <t>3017224970</t>
        </is>
      </c>
      <c r="D1249" t="inlineStr">
        <is>
          <t>juan.cano80@outlook.com</t>
        </is>
      </c>
      <c r="E1249" t="inlineStr">
        <is>
          <t>Rionegro</t>
        </is>
      </c>
      <c r="F1249" t="inlineStr">
        <is>
          <t>PRY-007</t>
        </is>
      </c>
      <c r="G1249" t="inlineStr">
        <is>
          <t>Llamada directa</t>
        </is>
      </c>
      <c r="H1249" t="inlineStr">
        <is>
          <t>Juliana Vélez</t>
        </is>
      </c>
      <c r="I1249" t="inlineStr">
        <is>
          <t>Perdido</t>
        </is>
      </c>
      <c r="J1249" s="28" t="n">
        <v>45679</v>
      </c>
      <c r="K1249" s="28" t="n">
        <v>45689</v>
      </c>
      <c r="L1249" t="inlineStr">
        <is>
          <t>No calificó para crédito</t>
        </is>
      </c>
    </row>
    <row r="1250">
      <c r="A1250" t="inlineStr">
        <is>
          <t>CLI-1248</t>
        </is>
      </c>
      <c r="B1250" t="inlineStr">
        <is>
          <t>Jhon Ramírez Cano</t>
        </is>
      </c>
      <c r="C1250" t="inlineStr">
        <is>
          <t>3246688366</t>
        </is>
      </c>
      <c r="D1250" t="inlineStr">
        <is>
          <t>jhon.ramirez3@gmail.com</t>
        </is>
      </c>
      <c r="E1250" t="inlineStr">
        <is>
          <t>La Estrella</t>
        </is>
      </c>
      <c r="F1250" t="inlineStr">
        <is>
          <t>PRY-003</t>
        </is>
      </c>
      <c r="G1250" t="inlineStr">
        <is>
          <t>Instagram</t>
        </is>
      </c>
      <c r="H1250" t="inlineStr">
        <is>
          <t>Sofía Prada</t>
        </is>
      </c>
      <c r="I1250" t="inlineStr">
        <is>
          <t>Perdido</t>
        </is>
      </c>
      <c r="J1250" s="28" t="n">
        <v>45679</v>
      </c>
      <c r="K1250" s="28" t="n">
        <v>45686</v>
      </c>
      <c r="L1250" t="inlineStr">
        <is>
          <t>Sin respuesta tras 3 contactos</t>
        </is>
      </c>
    </row>
    <row r="1251">
      <c r="A1251" t="inlineStr">
        <is>
          <t>CLI-1249</t>
        </is>
      </c>
      <c r="B1251" t="inlineStr">
        <is>
          <t>Julián Restrepo Cardona</t>
        </is>
      </c>
      <c r="C1251" t="inlineStr">
        <is>
          <t>3011792838</t>
        </is>
      </c>
      <c r="D1251" t="inlineStr">
        <is>
          <t>julian.restrepo39@outlook.com</t>
        </is>
      </c>
      <c r="E1251" t="inlineStr">
        <is>
          <t>Medellín</t>
        </is>
      </c>
      <c r="F1251" t="inlineStr">
        <is>
          <t>PRY-004</t>
        </is>
      </c>
      <c r="G1251" t="inlineStr">
        <is>
          <t>Feria Inmobiliaria</t>
        </is>
      </c>
      <c r="H1251" t="inlineStr">
        <is>
          <t>Daniela Ríos</t>
        </is>
      </c>
      <c r="I1251" t="inlineStr">
        <is>
          <t>Ganado</t>
        </is>
      </c>
      <c r="J1251" s="28" t="n">
        <v>45680</v>
      </c>
      <c r="K1251" s="28" t="n">
        <v>45807</v>
      </c>
      <c r="L1251" t="inlineStr">
        <is>
          <t>Compró Casa 25 en Altavista Park</t>
        </is>
      </c>
    </row>
    <row r="1252">
      <c r="A1252" t="inlineStr">
        <is>
          <t>CLI-1250</t>
        </is>
      </c>
      <c r="B1252" t="inlineStr">
        <is>
          <t>José Betancur Giraldo</t>
        </is>
      </c>
      <c r="C1252" t="inlineStr">
        <is>
          <t>3205129116</t>
        </is>
      </c>
      <c r="D1252" t="inlineStr">
        <is>
          <t>jose.betancur14@hotmail.com</t>
        </is>
      </c>
      <c r="E1252" t="inlineStr">
        <is>
          <t>La Estrella</t>
        </is>
      </c>
      <c r="F1252" t="inlineStr">
        <is>
          <t>PRY-005</t>
        </is>
      </c>
      <c r="G1252" t="inlineStr">
        <is>
          <t>Instagram</t>
        </is>
      </c>
      <c r="H1252" t="inlineStr">
        <is>
          <t>Luis Bedoya</t>
        </is>
      </c>
      <c r="I1252" t="inlineStr">
        <is>
          <t>Perdido</t>
        </is>
      </c>
      <c r="J1252" s="28" t="n">
        <v>45680</v>
      </c>
      <c r="K1252" s="28" t="n">
        <v>45701</v>
      </c>
      <c r="L1252" t="inlineStr">
        <is>
          <t>Presupuesto insuficiente</t>
        </is>
      </c>
    </row>
    <row r="1253">
      <c r="A1253" t="inlineStr">
        <is>
          <t>CLI-1251</t>
        </is>
      </c>
      <c r="B1253" t="inlineStr">
        <is>
          <t>Gloria Espinosa Zuluaga</t>
        </is>
      </c>
      <c r="C1253" t="inlineStr">
        <is>
          <t>3003427558</t>
        </is>
      </c>
      <c r="D1253" t="inlineStr">
        <is>
          <t>gloria.espinosa96@gmail.com</t>
        </is>
      </c>
      <c r="E1253" t="inlineStr">
        <is>
          <t>Medellín</t>
        </is>
      </c>
      <c r="F1253" t="inlineStr">
        <is>
          <t>PRY-001</t>
        </is>
      </c>
      <c r="G1253" t="inlineStr">
        <is>
          <t>Llamada directa</t>
        </is>
      </c>
      <c r="H1253" t="inlineStr">
        <is>
          <t>Miguel Salazar</t>
        </is>
      </c>
      <c r="I1253" t="inlineStr">
        <is>
          <t>Perdido</t>
        </is>
      </c>
      <c r="J1253" s="28" t="n">
        <v>45680</v>
      </c>
      <c r="K1253" s="28" t="n">
        <v>45691</v>
      </c>
      <c r="L1253" t="inlineStr">
        <is>
          <t>Datos de contacto errados</t>
        </is>
      </c>
    </row>
    <row r="1254">
      <c r="A1254" t="inlineStr">
        <is>
          <t>CLI-1252</t>
        </is>
      </c>
      <c r="B1254" t="inlineStr">
        <is>
          <t>Sandra Uribe Ochoa</t>
        </is>
      </c>
      <c r="C1254" t="inlineStr">
        <is>
          <t>3139993931</t>
        </is>
      </c>
      <c r="D1254" t="inlineStr">
        <is>
          <t>sandra.uribe48@gmail.com</t>
        </is>
      </c>
      <c r="E1254" t="inlineStr">
        <is>
          <t>Medellín</t>
        </is>
      </c>
      <c r="F1254" t="inlineStr">
        <is>
          <t>PRY-002</t>
        </is>
      </c>
      <c r="G1254" t="inlineStr">
        <is>
          <t>Facebook</t>
        </is>
      </c>
      <c r="H1254" t="inlineStr">
        <is>
          <t>Sofía Prada</t>
        </is>
      </c>
      <c r="I1254" t="inlineStr">
        <is>
          <t>Perdido</t>
        </is>
      </c>
      <c r="J1254" s="28" t="n">
        <v>45680</v>
      </c>
      <c r="K1254" s="28" t="n">
        <v>45685</v>
      </c>
      <c r="L1254" t="inlineStr">
        <is>
          <t>No calificó para crédito</t>
        </is>
      </c>
    </row>
    <row r="1255">
      <c r="A1255" t="inlineStr">
        <is>
          <t>CLI-1253</t>
        </is>
      </c>
      <c r="B1255" t="inlineStr">
        <is>
          <t>Sebastián Rojas Bedoya</t>
        </is>
      </c>
      <c r="C1255" t="inlineStr">
        <is>
          <t>3138802155</t>
        </is>
      </c>
      <c r="D1255" t="inlineStr">
        <is>
          <t>sebastian.rojas95@hotmail.com</t>
        </is>
      </c>
      <c r="E1255" t="inlineStr">
        <is>
          <t>Medellín</t>
        </is>
      </c>
      <c r="F1255" t="inlineStr">
        <is>
          <t>PRY-004</t>
        </is>
      </c>
      <c r="G1255" t="inlineStr">
        <is>
          <t>Instagram</t>
        </is>
      </c>
      <c r="H1255" t="inlineStr">
        <is>
          <t>Juliana Vélez</t>
        </is>
      </c>
      <c r="I1255" t="inlineStr">
        <is>
          <t>Ganado</t>
        </is>
      </c>
      <c r="J1255" s="28" t="n">
        <v>45681</v>
      </c>
      <c r="K1255" s="28" t="n">
        <v>45771</v>
      </c>
      <c r="L1255" t="inlineStr">
        <is>
          <t>Compró Casa 49 en Altavista Park</t>
        </is>
      </c>
    </row>
    <row r="1256">
      <c r="A1256" t="inlineStr">
        <is>
          <t>CLI-1254</t>
        </is>
      </c>
      <c r="B1256" t="inlineStr">
        <is>
          <t>Marcela Jaramillo Cano</t>
        </is>
      </c>
      <c r="C1256" t="inlineStr">
        <is>
          <t>3141513212</t>
        </is>
      </c>
      <c r="D1256" t="inlineStr">
        <is>
          <t>marcela.jaramillo89@gmail.com</t>
        </is>
      </c>
      <c r="E1256" t="inlineStr">
        <is>
          <t>Sabaneta</t>
        </is>
      </c>
      <c r="F1256" t="inlineStr">
        <is>
          <t>PRY-004</t>
        </is>
      </c>
      <c r="G1256" t="inlineStr">
        <is>
          <t>Feria Inmobiliaria</t>
        </is>
      </c>
      <c r="H1256" t="inlineStr">
        <is>
          <t>Paula Arenas</t>
        </is>
      </c>
      <c r="I1256" t="inlineStr">
        <is>
          <t>Ganado</t>
        </is>
      </c>
      <c r="J1256" s="28" t="n">
        <v>45681</v>
      </c>
      <c r="K1256" s="28" t="n">
        <v>45789</v>
      </c>
      <c r="L1256" t="inlineStr">
        <is>
          <t>Compró Casa 39 en Altavista Park</t>
        </is>
      </c>
    </row>
    <row r="1257">
      <c r="A1257" t="inlineStr">
        <is>
          <t>CLI-1255</t>
        </is>
      </c>
      <c r="B1257" t="inlineStr">
        <is>
          <t>Juliana Marín Betancur</t>
        </is>
      </c>
      <c r="C1257" t="inlineStr">
        <is>
          <t>3154577642</t>
        </is>
      </c>
      <c r="D1257" t="inlineStr">
        <is>
          <t>juliana.marin88@outlook.com</t>
        </is>
      </c>
      <c r="E1257" t="inlineStr">
        <is>
          <t>Rionegro</t>
        </is>
      </c>
      <c r="F1257" t="inlineStr">
        <is>
          <t>PRY-005</t>
        </is>
      </c>
      <c r="G1257" t="inlineStr">
        <is>
          <t>Portal Web</t>
        </is>
      </c>
      <c r="H1257" t="inlineStr">
        <is>
          <t>Luis Bedoya</t>
        </is>
      </c>
      <c r="I1257" t="inlineStr">
        <is>
          <t>Perdido</t>
        </is>
      </c>
      <c r="J1257" s="28" t="n">
        <v>45681</v>
      </c>
      <c r="K1257" s="28" t="n">
        <v>45710</v>
      </c>
      <c r="L1257" t="inlineStr">
        <is>
          <t>Presupuesto insuficiente</t>
        </is>
      </c>
    </row>
    <row r="1258">
      <c r="A1258" t="inlineStr">
        <is>
          <t>CLI-1256</t>
        </is>
      </c>
      <c r="B1258" t="inlineStr">
        <is>
          <t>Mateo Muñoz Hernández</t>
        </is>
      </c>
      <c r="C1258" t="inlineStr">
        <is>
          <t>3222771840</t>
        </is>
      </c>
      <c r="D1258" t="inlineStr">
        <is>
          <t>mateo.munoz98@outlook.com</t>
        </is>
      </c>
      <c r="E1258" t="inlineStr">
        <is>
          <t>Itagüí</t>
        </is>
      </c>
      <c r="F1258" t="inlineStr">
        <is>
          <t>PRY-008</t>
        </is>
      </c>
      <c r="G1258" t="inlineStr">
        <is>
          <t>Facebook</t>
        </is>
      </c>
      <c r="H1258" t="inlineStr">
        <is>
          <t>Andrés Torres</t>
        </is>
      </c>
      <c r="I1258" t="inlineStr">
        <is>
          <t>Perdido</t>
        </is>
      </c>
      <c r="J1258" s="28" t="n">
        <v>45681</v>
      </c>
      <c r="K1258" s="28" t="n">
        <v>45694</v>
      </c>
      <c r="L1258" t="inlineStr">
        <is>
          <t>Sin respuesta tras 3 contactos</t>
        </is>
      </c>
    </row>
    <row r="1259">
      <c r="A1259" t="inlineStr">
        <is>
          <t>CLI-1257</t>
        </is>
      </c>
      <c r="B1259" t="inlineStr">
        <is>
          <t>María Correa Quintero</t>
        </is>
      </c>
      <c r="C1259" t="inlineStr">
        <is>
          <t>3102889192</t>
        </is>
      </c>
      <c r="D1259" t="inlineStr">
        <is>
          <t>maria.correa59@gmail.com</t>
        </is>
      </c>
      <c r="E1259" t="inlineStr">
        <is>
          <t>Medellín</t>
        </is>
      </c>
      <c r="F1259" t="inlineStr">
        <is>
          <t>PRY-002</t>
        </is>
      </c>
      <c r="G1259" t="inlineStr">
        <is>
          <t>Facebook</t>
        </is>
      </c>
      <c r="H1259" t="inlineStr">
        <is>
          <t>Paula Arenas</t>
        </is>
      </c>
      <c r="I1259" t="inlineStr">
        <is>
          <t>Perdido</t>
        </is>
      </c>
      <c r="J1259" s="28" t="n">
        <v>45681</v>
      </c>
      <c r="K1259" s="28" t="n">
        <v>45690</v>
      </c>
      <c r="L1259" t="inlineStr">
        <is>
          <t>No calificó para crédito</t>
        </is>
      </c>
    </row>
    <row r="1260">
      <c r="A1260" t="inlineStr">
        <is>
          <t>CLI-1258</t>
        </is>
      </c>
      <c r="B1260" t="inlineStr">
        <is>
          <t>Daniela Higuita Salcedo</t>
        </is>
      </c>
      <c r="C1260" t="inlineStr">
        <is>
          <t>3223244092</t>
        </is>
      </c>
      <c r="D1260" t="inlineStr">
        <is>
          <t>daniela.higuita32@outlook.com</t>
        </is>
      </c>
      <c r="E1260" t="inlineStr">
        <is>
          <t>Bello</t>
        </is>
      </c>
      <c r="F1260" t="inlineStr">
        <is>
          <t>PRY-003</t>
        </is>
      </c>
      <c r="G1260" t="inlineStr">
        <is>
          <t>Portal Web</t>
        </is>
      </c>
      <c r="H1260" t="inlineStr">
        <is>
          <t>Luis Bedoya</t>
        </is>
      </c>
      <c r="I1260" t="inlineStr">
        <is>
          <t>Ganado</t>
        </is>
      </c>
      <c r="J1260" s="28" t="n">
        <v>45682</v>
      </c>
      <c r="K1260" s="28" t="n">
        <v>45781</v>
      </c>
      <c r="L1260" t="inlineStr">
        <is>
          <t>Compró Apto 1601 en Conecta Laureles</t>
        </is>
      </c>
    </row>
    <row r="1261">
      <c r="A1261" t="inlineStr">
        <is>
          <t>CLI-1259</t>
        </is>
      </c>
      <c r="B1261" t="inlineStr">
        <is>
          <t>Gloria Franco Uribe</t>
        </is>
      </c>
      <c r="C1261" t="inlineStr">
        <is>
          <t>3241118770</t>
        </is>
      </c>
      <c r="D1261" t="inlineStr">
        <is>
          <t>gloria.franco41@outlook.com</t>
        </is>
      </c>
      <c r="E1261" t="inlineStr">
        <is>
          <t>Medellín</t>
        </is>
      </c>
      <c r="F1261" t="inlineStr">
        <is>
          <t>PRY-005</t>
        </is>
      </c>
      <c r="G1261" t="inlineStr">
        <is>
          <t>Referido</t>
        </is>
      </c>
      <c r="H1261" t="inlineStr">
        <is>
          <t>Juliana Vélez</t>
        </is>
      </c>
      <c r="I1261" t="inlineStr">
        <is>
          <t>Ganado</t>
        </is>
      </c>
      <c r="J1261" s="28" t="n">
        <v>45683</v>
      </c>
      <c r="K1261" s="28" t="n">
        <v>45807</v>
      </c>
      <c r="L1261" t="inlineStr">
        <is>
          <t>Compró Apto 703 en Ciudadela Rionegro</t>
        </is>
      </c>
    </row>
    <row r="1262">
      <c r="A1262" t="inlineStr">
        <is>
          <t>CLI-1260</t>
        </is>
      </c>
      <c r="B1262" t="inlineStr">
        <is>
          <t>Felipe Ramírez Duque</t>
        </is>
      </c>
      <c r="C1262" t="inlineStr">
        <is>
          <t>3142818885</t>
        </is>
      </c>
      <c r="D1262" t="inlineStr">
        <is>
          <t>felipe.ramirez21@hotmail.com</t>
        </is>
      </c>
      <c r="E1262" t="inlineStr">
        <is>
          <t>Medellín</t>
        </is>
      </c>
      <c r="F1262" t="inlineStr">
        <is>
          <t>PRY-004</t>
        </is>
      </c>
      <c r="G1262" t="inlineStr">
        <is>
          <t>Facebook</t>
        </is>
      </c>
      <c r="H1262" t="inlineStr">
        <is>
          <t>Santiago Muñoz</t>
        </is>
      </c>
      <c r="I1262" t="inlineStr">
        <is>
          <t>Perdido</t>
        </is>
      </c>
      <c r="J1262" s="28" t="n">
        <v>45683</v>
      </c>
      <c r="K1262" s="28" t="n">
        <v>45704</v>
      </c>
      <c r="L1262" t="inlineStr">
        <is>
          <t>Sin respuesta tras 3 contactos</t>
        </is>
      </c>
    </row>
    <row r="1263">
      <c r="A1263" t="inlineStr">
        <is>
          <t>CLI-1261</t>
        </is>
      </c>
      <c r="B1263" t="inlineStr">
        <is>
          <t>Wilson Espinosa Londoño</t>
        </is>
      </c>
      <c r="C1263" t="inlineStr">
        <is>
          <t>3108818587</t>
        </is>
      </c>
      <c r="D1263" t="inlineStr">
        <is>
          <t>wilson.espinosa65@yahoo.com</t>
        </is>
      </c>
      <c r="E1263" t="inlineStr">
        <is>
          <t>Envigado</t>
        </is>
      </c>
      <c r="F1263" t="inlineStr">
        <is>
          <t>PRY-003</t>
        </is>
      </c>
      <c r="G1263" t="inlineStr">
        <is>
          <t>Llamada directa</t>
        </is>
      </c>
      <c r="H1263" t="inlineStr">
        <is>
          <t>Ana Quintero</t>
        </is>
      </c>
      <c r="I1263" t="inlineStr">
        <is>
          <t>Perdido</t>
        </is>
      </c>
      <c r="J1263" s="28" t="n">
        <v>45683</v>
      </c>
      <c r="K1263" s="28" t="n">
        <v>45708</v>
      </c>
      <c r="L1263" t="inlineStr">
        <is>
          <t>No calificó para crédito</t>
        </is>
      </c>
    </row>
    <row r="1264">
      <c r="A1264" t="inlineStr">
        <is>
          <t>CLI-1262</t>
        </is>
      </c>
      <c r="B1264" t="inlineStr">
        <is>
          <t>Alejandra Mejía Zuluaga</t>
        </is>
      </c>
      <c r="C1264" t="inlineStr">
        <is>
          <t>3009226186</t>
        </is>
      </c>
      <c r="D1264" t="inlineStr">
        <is>
          <t>alejandra.mejia90@hotmail.com</t>
        </is>
      </c>
      <c r="E1264" t="inlineStr">
        <is>
          <t>Sabaneta</t>
        </is>
      </c>
      <c r="F1264" t="inlineStr">
        <is>
          <t>PRY-004</t>
        </is>
      </c>
      <c r="G1264" t="inlineStr">
        <is>
          <t>Instagram</t>
        </is>
      </c>
      <c r="H1264" t="inlineStr">
        <is>
          <t>Miguel Salazar</t>
        </is>
      </c>
      <c r="I1264" t="inlineStr">
        <is>
          <t>Perdido</t>
        </is>
      </c>
      <c r="J1264" s="28" t="n">
        <v>45684</v>
      </c>
      <c r="K1264" s="28" t="n">
        <v>45703</v>
      </c>
      <c r="L1264" t="inlineStr">
        <is>
          <t>No calificó para crédito</t>
        </is>
      </c>
    </row>
    <row r="1265">
      <c r="A1265" t="inlineStr">
        <is>
          <t>CLI-1263</t>
        </is>
      </c>
      <c r="B1265" t="inlineStr">
        <is>
          <t>Tomás Valencia López</t>
        </is>
      </c>
      <c r="C1265" t="inlineStr">
        <is>
          <t>3015636863</t>
        </is>
      </c>
      <c r="D1265" t="inlineStr">
        <is>
          <t>tomas.valencia20@hotmail.com</t>
        </is>
      </c>
      <c r="E1265" t="inlineStr">
        <is>
          <t>Medellín</t>
        </is>
      </c>
      <c r="F1265" t="inlineStr">
        <is>
          <t>PRY-001</t>
        </is>
      </c>
      <c r="G1265" t="inlineStr">
        <is>
          <t>Referido</t>
        </is>
      </c>
      <c r="H1265" t="inlineStr">
        <is>
          <t>Luis Bedoya</t>
        </is>
      </c>
      <c r="I1265" t="inlineStr">
        <is>
          <t>Perdido</t>
        </is>
      </c>
      <c r="J1265" s="28" t="n">
        <v>45685</v>
      </c>
      <c r="K1265" s="28" t="n">
        <v>45703</v>
      </c>
      <c r="L1265" t="inlineStr">
        <is>
          <t>No calificó para crédito</t>
        </is>
      </c>
    </row>
    <row r="1266">
      <c r="A1266" t="inlineStr">
        <is>
          <t>CLI-1264</t>
        </is>
      </c>
      <c r="B1266" t="inlineStr">
        <is>
          <t>Iván Ríos Restrepo</t>
        </is>
      </c>
      <c r="C1266" t="inlineStr">
        <is>
          <t>3043645548</t>
        </is>
      </c>
      <c r="D1266" t="inlineStr">
        <is>
          <t>ivan.rios33@outlook.com</t>
        </is>
      </c>
      <c r="E1266" t="inlineStr">
        <is>
          <t>Envigado</t>
        </is>
      </c>
      <c r="F1266" t="inlineStr">
        <is>
          <t>PRY-001</t>
        </is>
      </c>
      <c r="G1266" t="inlineStr">
        <is>
          <t>Portal Web</t>
        </is>
      </c>
      <c r="H1266" t="inlineStr">
        <is>
          <t>Paula Arenas</t>
        </is>
      </c>
      <c r="I1266" t="inlineStr">
        <is>
          <t>Perdido</t>
        </is>
      </c>
      <c r="J1266" s="28" t="n">
        <v>45685</v>
      </c>
      <c r="K1266" s="28" t="n">
        <v>45694</v>
      </c>
      <c r="L1266" t="inlineStr">
        <is>
          <t>No calificó para crédito</t>
        </is>
      </c>
    </row>
    <row r="1267">
      <c r="A1267" t="inlineStr">
        <is>
          <t>CLI-1265</t>
        </is>
      </c>
      <c r="B1267" t="inlineStr">
        <is>
          <t>Juan Pablo Londoño Rojas</t>
        </is>
      </c>
      <c r="C1267" t="inlineStr">
        <is>
          <t>3042440549</t>
        </is>
      </c>
      <c r="D1267" t="inlineStr">
        <is>
          <t>juan.londono77@hotmail.com</t>
        </is>
      </c>
      <c r="E1267" t="inlineStr">
        <is>
          <t>Rionegro</t>
        </is>
      </c>
      <c r="F1267" t="inlineStr">
        <is>
          <t>PRY-003</t>
        </is>
      </c>
      <c r="G1267" t="inlineStr">
        <is>
          <t>Facebook</t>
        </is>
      </c>
      <c r="H1267" t="inlineStr">
        <is>
          <t>Miguel Salazar</t>
        </is>
      </c>
      <c r="I1267" t="inlineStr">
        <is>
          <t>Perdido</t>
        </is>
      </c>
      <c r="J1267" s="28" t="n">
        <v>45685</v>
      </c>
      <c r="K1267" s="28" t="n">
        <v>45709</v>
      </c>
      <c r="L1267" t="inlineStr">
        <is>
          <t>No calificó para crédito</t>
        </is>
      </c>
    </row>
    <row r="1268">
      <c r="A1268" t="inlineStr">
        <is>
          <t>CLI-1266</t>
        </is>
      </c>
      <c r="B1268" t="inlineStr">
        <is>
          <t>Jhon Arango Giraldo</t>
        </is>
      </c>
      <c r="C1268" t="inlineStr">
        <is>
          <t>3173375134</t>
        </is>
      </c>
      <c r="D1268" t="inlineStr">
        <is>
          <t>jhon.arango36@outlook.com</t>
        </is>
      </c>
      <c r="E1268" t="inlineStr">
        <is>
          <t>La Estrella</t>
        </is>
      </c>
      <c r="F1268" t="inlineStr">
        <is>
          <t>PRY-005</t>
        </is>
      </c>
      <c r="G1268" t="inlineStr">
        <is>
          <t>Instagram</t>
        </is>
      </c>
      <c r="H1268" t="inlineStr">
        <is>
          <t>Santiago Muñoz</t>
        </is>
      </c>
      <c r="I1268" t="inlineStr">
        <is>
          <t>Ganado</t>
        </is>
      </c>
      <c r="J1268" s="28" t="n">
        <v>45686</v>
      </c>
      <c r="K1268" s="28" t="n">
        <v>45821</v>
      </c>
      <c r="L1268" t="inlineStr">
        <is>
          <t>Compró Apto 808 en Ciudadela Rionegro</t>
        </is>
      </c>
    </row>
    <row r="1269">
      <c r="A1269" t="inlineStr">
        <is>
          <t>CLI-1267</t>
        </is>
      </c>
      <c r="B1269" t="inlineStr">
        <is>
          <t>Sandra Toro López</t>
        </is>
      </c>
      <c r="C1269" t="inlineStr">
        <is>
          <t>3013468516</t>
        </is>
      </c>
      <c r="D1269" t="inlineStr">
        <is>
          <t>sandra.toro64@gmail.com</t>
        </is>
      </c>
      <c r="E1269" t="inlineStr">
        <is>
          <t>Medellín</t>
        </is>
      </c>
      <c r="F1269" t="inlineStr">
        <is>
          <t>PRY-003</t>
        </is>
      </c>
      <c r="G1269" t="inlineStr">
        <is>
          <t>Facebook</t>
        </is>
      </c>
      <c r="H1269" t="inlineStr">
        <is>
          <t>Andrés Torres</t>
        </is>
      </c>
      <c r="I1269" t="inlineStr">
        <is>
          <t>Perdido</t>
        </is>
      </c>
      <c r="J1269" s="28" t="n">
        <v>45686</v>
      </c>
      <c r="K1269" s="28" t="n">
        <v>45713</v>
      </c>
      <c r="L1269" t="inlineStr">
        <is>
          <t>Sin respuesta tras 3 contactos</t>
        </is>
      </c>
    </row>
    <row r="1270">
      <c r="A1270" t="inlineStr">
        <is>
          <t>CLI-1268</t>
        </is>
      </c>
      <c r="B1270" t="inlineStr">
        <is>
          <t>Verónica Zuluaga Arango</t>
        </is>
      </c>
      <c r="C1270" t="inlineStr">
        <is>
          <t>3206507692</t>
        </is>
      </c>
      <c r="D1270" t="inlineStr">
        <is>
          <t>veronica.zuluaga21@gmail.com</t>
        </is>
      </c>
      <c r="E1270" t="inlineStr">
        <is>
          <t>Medellín</t>
        </is>
      </c>
      <c r="F1270" t="inlineStr">
        <is>
          <t>PRY-001</t>
        </is>
      </c>
      <c r="G1270" t="inlineStr">
        <is>
          <t>Feria Inmobiliaria</t>
        </is>
      </c>
      <c r="H1270" t="inlineStr">
        <is>
          <t>Ana Quintero</t>
        </is>
      </c>
      <c r="I1270" t="inlineStr">
        <is>
          <t>Perdido</t>
        </is>
      </c>
      <c r="J1270" s="28" t="n">
        <v>45687</v>
      </c>
      <c r="K1270" s="28" t="n">
        <v>45706</v>
      </c>
      <c r="L1270" t="inlineStr">
        <is>
          <t>Presupuesto insuficiente</t>
        </is>
      </c>
    </row>
    <row r="1271">
      <c r="A1271" t="inlineStr">
        <is>
          <t>CLI-1269</t>
        </is>
      </c>
      <c r="B1271" t="inlineStr">
        <is>
          <t>Alejandro Cano Montoya</t>
        </is>
      </c>
      <c r="C1271" t="inlineStr">
        <is>
          <t>3004802521</t>
        </is>
      </c>
      <c r="D1271" t="inlineStr">
        <is>
          <t>alejandro.cano52@outlook.com</t>
        </is>
      </c>
      <c r="E1271" t="inlineStr">
        <is>
          <t>Itagüí</t>
        </is>
      </c>
      <c r="F1271" t="inlineStr">
        <is>
          <t>PRY-008</t>
        </is>
      </c>
      <c r="G1271" t="inlineStr">
        <is>
          <t>Portal Web</t>
        </is>
      </c>
      <c r="H1271" t="inlineStr">
        <is>
          <t>Ana Quintero</t>
        </is>
      </c>
      <c r="I1271" t="inlineStr">
        <is>
          <t>Perdido</t>
        </is>
      </c>
      <c r="J1271" s="28" t="n">
        <v>45687</v>
      </c>
      <c r="K1271" s="28" t="n">
        <v>45713</v>
      </c>
      <c r="L1271" t="inlineStr">
        <is>
          <t>Presupuesto insuficiente</t>
        </is>
      </c>
    </row>
    <row r="1272">
      <c r="A1272" t="inlineStr">
        <is>
          <t>CLI-1270</t>
        </is>
      </c>
      <c r="B1272" t="inlineStr">
        <is>
          <t>Sandra Jaramillo Agudelo</t>
        </is>
      </c>
      <c r="C1272" t="inlineStr">
        <is>
          <t>3151186539</t>
        </is>
      </c>
      <c r="D1272" t="inlineStr">
        <is>
          <t>sandra.jaramillo7@outlook.com</t>
        </is>
      </c>
      <c r="E1272" t="inlineStr">
        <is>
          <t>Envigado</t>
        </is>
      </c>
      <c r="F1272" t="inlineStr">
        <is>
          <t>PRY-007</t>
        </is>
      </c>
      <c r="G1272" t="inlineStr">
        <is>
          <t>Facebook</t>
        </is>
      </c>
      <c r="H1272" t="inlineStr">
        <is>
          <t>Juliana Vélez</t>
        </is>
      </c>
      <c r="I1272" t="inlineStr">
        <is>
          <t>Perdido</t>
        </is>
      </c>
      <c r="J1272" s="28" t="n">
        <v>45687</v>
      </c>
      <c r="K1272" s="28" t="n">
        <v>45715</v>
      </c>
      <c r="L1272" t="inlineStr">
        <is>
          <t>Presupuesto insuficiente</t>
        </is>
      </c>
    </row>
    <row r="1273">
      <c r="A1273" t="inlineStr">
        <is>
          <t>CLI-1271</t>
        </is>
      </c>
      <c r="B1273" t="inlineStr">
        <is>
          <t>Mauricio Salazar Osorio</t>
        </is>
      </c>
      <c r="C1273" t="inlineStr">
        <is>
          <t>3141281936</t>
        </is>
      </c>
      <c r="D1273" t="inlineStr">
        <is>
          <t>mauricio.salazar53@hotmail.com</t>
        </is>
      </c>
      <c r="E1273" t="inlineStr">
        <is>
          <t>Itagüí</t>
        </is>
      </c>
      <c r="F1273" t="inlineStr">
        <is>
          <t>PRY-008</t>
        </is>
      </c>
      <c r="G1273" t="inlineStr">
        <is>
          <t>Feria Inmobiliaria</t>
        </is>
      </c>
      <c r="H1273" t="inlineStr">
        <is>
          <t>Paula Arenas</t>
        </is>
      </c>
      <c r="I1273" t="inlineStr">
        <is>
          <t>Ganado</t>
        </is>
      </c>
      <c r="J1273" s="28" t="n">
        <v>45688</v>
      </c>
      <c r="K1273" s="28" t="n">
        <v>45763</v>
      </c>
      <c r="L1273" t="inlineStr">
        <is>
          <t>Compró Casa 16 en Valle Verde Itagüí</t>
        </is>
      </c>
    </row>
    <row r="1274">
      <c r="A1274" t="inlineStr">
        <is>
          <t>CLI-1272</t>
        </is>
      </c>
      <c r="B1274" t="inlineStr">
        <is>
          <t>Alejandro Cifuentes Cifuentes</t>
        </is>
      </c>
      <c r="C1274" t="inlineStr">
        <is>
          <t>3226139116</t>
        </is>
      </c>
      <c r="D1274" t="inlineStr">
        <is>
          <t>alejandro.cifuentes32@gmail.com</t>
        </is>
      </c>
      <c r="E1274" t="inlineStr">
        <is>
          <t>Medellín</t>
        </is>
      </c>
      <c r="F1274" t="inlineStr">
        <is>
          <t>PRY-001</t>
        </is>
      </c>
      <c r="G1274" t="inlineStr">
        <is>
          <t>Instagram</t>
        </is>
      </c>
      <c r="H1274" t="inlineStr">
        <is>
          <t>Miguel Salazar</t>
        </is>
      </c>
      <c r="I1274" t="inlineStr">
        <is>
          <t>Ganado</t>
        </is>
      </c>
      <c r="J1274" s="28" t="n">
        <v>45688</v>
      </c>
      <c r="K1274" s="28" t="n">
        <v>45787</v>
      </c>
      <c r="L1274" t="inlineStr">
        <is>
          <t>Compró Apto 2005 en Torres del Poblado</t>
        </is>
      </c>
    </row>
    <row r="1275">
      <c r="A1275" t="inlineStr">
        <is>
          <t>CLI-1273</t>
        </is>
      </c>
      <c r="B1275" t="inlineStr">
        <is>
          <t>Gabriel Jaramillo Vásquez</t>
        </is>
      </c>
      <c r="C1275" t="inlineStr">
        <is>
          <t>3041283369</t>
        </is>
      </c>
      <c r="D1275" t="inlineStr">
        <is>
          <t>gabriel.jaramillo69@hotmail.com</t>
        </is>
      </c>
      <c r="E1275" t="inlineStr">
        <is>
          <t>Medellín</t>
        </is>
      </c>
      <c r="F1275" t="inlineStr">
        <is>
          <t>PRY-002</t>
        </is>
      </c>
      <c r="G1275" t="inlineStr">
        <is>
          <t>Feria Inmobiliaria</t>
        </is>
      </c>
      <c r="H1275" t="inlineStr">
        <is>
          <t>Santiago Muñoz</t>
        </is>
      </c>
      <c r="I1275" t="inlineStr">
        <is>
          <t>Ganado</t>
        </is>
      </c>
      <c r="J1275" s="28" t="n">
        <v>45688</v>
      </c>
      <c r="K1275" s="28" t="n">
        <v>45819</v>
      </c>
      <c r="L1275" t="inlineStr">
        <is>
          <t>Compró Casa 41 en Reserva Santa Elena</t>
        </is>
      </c>
    </row>
    <row r="1276">
      <c r="A1276" t="inlineStr">
        <is>
          <t>CLI-1274</t>
        </is>
      </c>
      <c r="B1276" t="inlineStr">
        <is>
          <t>Rodrigo Mejía Toro</t>
        </is>
      </c>
      <c r="C1276" t="inlineStr">
        <is>
          <t>3048665820</t>
        </is>
      </c>
      <c r="D1276" t="inlineStr">
        <is>
          <t>rodrigo.mejia77@gmail.com</t>
        </is>
      </c>
      <c r="E1276" t="inlineStr">
        <is>
          <t>Medellín</t>
        </is>
      </c>
      <c r="F1276" t="inlineStr">
        <is>
          <t>PRY-003</t>
        </is>
      </c>
      <c r="G1276" t="inlineStr">
        <is>
          <t>Facebook</t>
        </is>
      </c>
      <c r="H1276" t="inlineStr">
        <is>
          <t>Paula Arenas</t>
        </is>
      </c>
      <c r="I1276" t="inlineStr">
        <is>
          <t>Perdido</t>
        </is>
      </c>
      <c r="J1276" s="28" t="n">
        <v>45688</v>
      </c>
      <c r="K1276" s="28" t="n">
        <v>45713</v>
      </c>
      <c r="L1276" t="inlineStr">
        <is>
          <t>Presupuesto insuficiente</t>
        </is>
      </c>
    </row>
    <row r="1277">
      <c r="A1277" t="inlineStr">
        <is>
          <t>CLI-1275</t>
        </is>
      </c>
      <c r="B1277" t="inlineStr">
        <is>
          <t>Carolina Rojas Duque</t>
        </is>
      </c>
      <c r="C1277" t="inlineStr">
        <is>
          <t>3159791427</t>
        </is>
      </c>
      <c r="D1277" t="inlineStr">
        <is>
          <t>carolina.rojas60@gmail.com</t>
        </is>
      </c>
      <c r="E1277" t="inlineStr">
        <is>
          <t>Medellín</t>
        </is>
      </c>
      <c r="F1277" t="inlineStr">
        <is>
          <t>PRY-003</t>
        </is>
      </c>
      <c r="G1277" t="inlineStr">
        <is>
          <t>Facebook</t>
        </is>
      </c>
      <c r="H1277" t="inlineStr">
        <is>
          <t>Paula Arenas</t>
        </is>
      </c>
      <c r="I1277" t="inlineStr">
        <is>
          <t>Ganado</t>
        </is>
      </c>
      <c r="J1277" s="28" t="n">
        <v>45689</v>
      </c>
      <c r="K1277" s="28" t="n">
        <v>45787</v>
      </c>
      <c r="L1277" t="inlineStr">
        <is>
          <t>Compró Apto 403 en Conecta Laureles</t>
        </is>
      </c>
    </row>
    <row r="1278">
      <c r="A1278" t="inlineStr">
        <is>
          <t>CLI-1276</t>
        </is>
      </c>
      <c r="B1278" t="inlineStr">
        <is>
          <t>Catalina Muñoz Hernández</t>
        </is>
      </c>
      <c r="C1278" t="inlineStr">
        <is>
          <t>3002784646</t>
        </is>
      </c>
      <c r="D1278" t="inlineStr">
        <is>
          <t>catalina.munoz50@yahoo.com</t>
        </is>
      </c>
      <c r="E1278" t="inlineStr">
        <is>
          <t>Medellín</t>
        </is>
      </c>
      <c r="F1278" t="inlineStr">
        <is>
          <t>PRY-003</t>
        </is>
      </c>
      <c r="G1278" t="inlineStr">
        <is>
          <t>Instagram</t>
        </is>
      </c>
      <c r="H1278" t="inlineStr">
        <is>
          <t>Ana Quintero</t>
        </is>
      </c>
      <c r="I1278" t="inlineStr">
        <is>
          <t>Ganado</t>
        </is>
      </c>
      <c r="J1278" s="28" t="n">
        <v>45689</v>
      </c>
      <c r="K1278" s="28" t="n">
        <v>45803</v>
      </c>
      <c r="L1278" t="inlineStr">
        <is>
          <t>Compró Apto 2105 en Conecta Laureles</t>
        </is>
      </c>
    </row>
    <row r="1279">
      <c r="A1279" t="inlineStr">
        <is>
          <t>CLI-1277</t>
        </is>
      </c>
      <c r="B1279" t="inlineStr">
        <is>
          <t>David Ramírez Osorio</t>
        </is>
      </c>
      <c r="C1279" t="inlineStr">
        <is>
          <t>3012464695</t>
        </is>
      </c>
      <c r="D1279" t="inlineStr">
        <is>
          <t>david.ramirez99@outlook.com</t>
        </is>
      </c>
      <c r="E1279" t="inlineStr">
        <is>
          <t>Medellín</t>
        </is>
      </c>
      <c r="F1279" t="inlineStr">
        <is>
          <t>PRY-002</t>
        </is>
      </c>
      <c r="G1279" t="inlineStr">
        <is>
          <t>Instagram</t>
        </is>
      </c>
      <c r="H1279" t="inlineStr">
        <is>
          <t>Sofía Prada</t>
        </is>
      </c>
      <c r="I1279" t="inlineStr">
        <is>
          <t>Perdido</t>
        </is>
      </c>
      <c r="J1279" s="28" t="n">
        <v>45689</v>
      </c>
      <c r="K1279" s="28" t="n">
        <v>45701</v>
      </c>
      <c r="L1279" t="inlineStr">
        <is>
          <t>No calificó para crédito</t>
        </is>
      </c>
    </row>
    <row r="1280">
      <c r="A1280" t="inlineStr">
        <is>
          <t>CLI-1278</t>
        </is>
      </c>
      <c r="B1280" t="inlineStr">
        <is>
          <t>Lorena Higuita Vélez</t>
        </is>
      </c>
      <c r="C1280" t="inlineStr">
        <is>
          <t>3158071849</t>
        </is>
      </c>
      <c r="D1280" t="inlineStr">
        <is>
          <t>lorena.higuita6@gmail.com</t>
        </is>
      </c>
      <c r="E1280" t="inlineStr">
        <is>
          <t>Envigado</t>
        </is>
      </c>
      <c r="F1280" t="inlineStr">
        <is>
          <t>PRY-005</t>
        </is>
      </c>
      <c r="G1280" t="inlineStr">
        <is>
          <t>Facebook</t>
        </is>
      </c>
      <c r="H1280" t="inlineStr">
        <is>
          <t>Miguel Salazar</t>
        </is>
      </c>
      <c r="I1280" t="inlineStr">
        <is>
          <t>Perdido</t>
        </is>
      </c>
      <c r="J1280" s="28" t="n">
        <v>45689</v>
      </c>
      <c r="K1280" s="28" t="n">
        <v>45716</v>
      </c>
      <c r="L1280" t="inlineStr">
        <is>
          <t>Sin respuesta tras 3 contactos</t>
        </is>
      </c>
    </row>
    <row r="1281">
      <c r="A1281" t="inlineStr">
        <is>
          <t>CLI-1279</t>
        </is>
      </c>
      <c r="B1281" t="inlineStr">
        <is>
          <t>José Londoño Sánchez</t>
        </is>
      </c>
      <c r="C1281" t="inlineStr">
        <is>
          <t>3047666337</t>
        </is>
      </c>
      <c r="D1281" t="inlineStr">
        <is>
          <t>jose.londono25@gmail.com</t>
        </is>
      </c>
      <c r="E1281" t="inlineStr">
        <is>
          <t>Bello</t>
        </is>
      </c>
      <c r="F1281" t="inlineStr">
        <is>
          <t>PRY-001</t>
        </is>
      </c>
      <c r="G1281" t="inlineStr">
        <is>
          <t>Portal Web</t>
        </is>
      </c>
      <c r="H1281" t="inlineStr">
        <is>
          <t>Sofía Prada</t>
        </is>
      </c>
      <c r="I1281" t="inlineStr">
        <is>
          <t>Perdido</t>
        </is>
      </c>
      <c r="J1281" s="28" t="n">
        <v>45689</v>
      </c>
      <c r="K1281" s="28" t="n">
        <v>45717</v>
      </c>
      <c r="L1281" t="inlineStr">
        <is>
          <t>Sin respuesta tras 3 contactos</t>
        </is>
      </c>
    </row>
    <row r="1282">
      <c r="A1282" t="inlineStr">
        <is>
          <t>CLI-1280</t>
        </is>
      </c>
      <c r="B1282" t="inlineStr">
        <is>
          <t>Juan Pablo Uribe Ochoa</t>
        </is>
      </c>
      <c r="C1282" t="inlineStr">
        <is>
          <t>3005518278</t>
        </is>
      </c>
      <c r="D1282" t="inlineStr">
        <is>
          <t>juan.uribe56@outlook.com</t>
        </is>
      </c>
      <c r="E1282" t="inlineStr">
        <is>
          <t>Medellín</t>
        </is>
      </c>
      <c r="F1282" t="inlineStr">
        <is>
          <t>PRY-004</t>
        </is>
      </c>
      <c r="G1282" t="inlineStr">
        <is>
          <t>Facebook</t>
        </is>
      </c>
      <c r="H1282" t="inlineStr">
        <is>
          <t>Ana Quintero</t>
        </is>
      </c>
      <c r="I1282" t="inlineStr">
        <is>
          <t>Perdido</t>
        </is>
      </c>
      <c r="J1282" s="28" t="n">
        <v>45689</v>
      </c>
      <c r="K1282" s="28" t="n">
        <v>45694</v>
      </c>
      <c r="L1282" t="inlineStr">
        <is>
          <t>No calificó para crédito</t>
        </is>
      </c>
    </row>
    <row r="1283">
      <c r="A1283" t="inlineStr">
        <is>
          <t>CLI-1281</t>
        </is>
      </c>
      <c r="B1283" t="inlineStr">
        <is>
          <t>Emilio Franco Cano</t>
        </is>
      </c>
      <c r="C1283" t="inlineStr">
        <is>
          <t>3008622683</t>
        </is>
      </c>
      <c r="D1283" t="inlineStr">
        <is>
          <t>emilio.franco98@outlook.com</t>
        </is>
      </c>
      <c r="E1283" t="inlineStr">
        <is>
          <t>Rionegro</t>
        </is>
      </c>
      <c r="F1283" t="inlineStr">
        <is>
          <t>PRY-007</t>
        </is>
      </c>
      <c r="G1283" t="inlineStr">
        <is>
          <t>Portal Web</t>
        </is>
      </c>
      <c r="H1283" t="inlineStr">
        <is>
          <t>Andrés Torres</t>
        </is>
      </c>
      <c r="I1283" t="inlineStr">
        <is>
          <t>Perdido</t>
        </is>
      </c>
      <c r="J1283" s="28" t="n">
        <v>45690</v>
      </c>
      <c r="K1283" s="28" t="n">
        <v>45700</v>
      </c>
      <c r="L1283" t="inlineStr">
        <is>
          <t>Presupuesto insuficiente</t>
        </is>
      </c>
    </row>
    <row r="1284">
      <c r="A1284" t="inlineStr">
        <is>
          <t>CLI-1282</t>
        </is>
      </c>
      <c r="B1284" t="inlineStr">
        <is>
          <t>Sandra Londoño Castaño</t>
        </is>
      </c>
      <c r="C1284" t="inlineStr">
        <is>
          <t>3132906963</t>
        </is>
      </c>
      <c r="D1284" t="inlineStr">
        <is>
          <t>sandra.londono54@outlook.com</t>
        </is>
      </c>
      <c r="E1284" t="inlineStr">
        <is>
          <t>Medellín</t>
        </is>
      </c>
      <c r="F1284" t="inlineStr">
        <is>
          <t>PRY-001</t>
        </is>
      </c>
      <c r="G1284" t="inlineStr">
        <is>
          <t>Instagram</t>
        </is>
      </c>
      <c r="H1284" t="inlineStr">
        <is>
          <t>Miguel Salazar</t>
        </is>
      </c>
      <c r="I1284" t="inlineStr">
        <is>
          <t>Perdido</t>
        </is>
      </c>
      <c r="J1284" s="28" t="n">
        <v>45690</v>
      </c>
      <c r="K1284" s="28" t="n">
        <v>45698</v>
      </c>
      <c r="L1284" t="inlineStr">
        <is>
          <t>Datos de contacto errados</t>
        </is>
      </c>
    </row>
    <row r="1285">
      <c r="A1285" t="inlineStr">
        <is>
          <t>CLI-1283</t>
        </is>
      </c>
      <c r="B1285" t="inlineStr">
        <is>
          <t>Valeria Salcedo Rojas</t>
        </is>
      </c>
      <c r="C1285" t="inlineStr">
        <is>
          <t>3008289254</t>
        </is>
      </c>
      <c r="D1285" t="inlineStr">
        <is>
          <t>valeria.salcedo91@yahoo.com</t>
        </is>
      </c>
      <c r="E1285" t="inlineStr">
        <is>
          <t>Itagüí</t>
        </is>
      </c>
      <c r="F1285" t="inlineStr">
        <is>
          <t>PRY-008</t>
        </is>
      </c>
      <c r="G1285" t="inlineStr">
        <is>
          <t>Portal Web</t>
        </is>
      </c>
      <c r="H1285" t="inlineStr">
        <is>
          <t>Santiago Muñoz</t>
        </is>
      </c>
      <c r="I1285" t="inlineStr">
        <is>
          <t>Perdido</t>
        </is>
      </c>
      <c r="J1285" s="28" t="n">
        <v>45690</v>
      </c>
      <c r="K1285" s="28" t="n">
        <v>45704</v>
      </c>
      <c r="L1285" t="inlineStr">
        <is>
          <t>Sin respuesta tras 3 contactos</t>
        </is>
      </c>
    </row>
    <row r="1286">
      <c r="A1286" t="inlineStr">
        <is>
          <t>CLI-1284</t>
        </is>
      </c>
      <c r="B1286" t="inlineStr">
        <is>
          <t>Carolina Higuita Ochoa</t>
        </is>
      </c>
      <c r="C1286" t="inlineStr">
        <is>
          <t>3132990533</t>
        </is>
      </c>
      <c r="D1286" t="inlineStr">
        <is>
          <t>carolina.higuita99@outlook.com</t>
        </is>
      </c>
      <c r="E1286" t="inlineStr">
        <is>
          <t>Envigado</t>
        </is>
      </c>
      <c r="F1286" t="inlineStr">
        <is>
          <t>PRY-001</t>
        </is>
      </c>
      <c r="G1286" t="inlineStr">
        <is>
          <t>Portal Web</t>
        </is>
      </c>
      <c r="H1286" t="inlineStr">
        <is>
          <t>Andrés Torres</t>
        </is>
      </c>
      <c r="I1286" t="inlineStr">
        <is>
          <t>Perdido</t>
        </is>
      </c>
      <c r="J1286" s="28" t="n">
        <v>45690</v>
      </c>
      <c r="K1286" s="28" t="n">
        <v>45697</v>
      </c>
      <c r="L1286" t="inlineStr">
        <is>
          <t>Datos de contacto errados</t>
        </is>
      </c>
    </row>
    <row r="1287">
      <c r="A1287" t="inlineStr">
        <is>
          <t>CLI-1285</t>
        </is>
      </c>
      <c r="B1287" t="inlineStr">
        <is>
          <t>Óscar Franco Álvarez</t>
        </is>
      </c>
      <c r="C1287" t="inlineStr">
        <is>
          <t>3148495273</t>
        </is>
      </c>
      <c r="D1287" t="inlineStr">
        <is>
          <t>oscar.franco32@hotmail.com</t>
        </is>
      </c>
      <c r="E1287" t="inlineStr">
        <is>
          <t>Itagüí</t>
        </is>
      </c>
      <c r="F1287" t="inlineStr">
        <is>
          <t>PRY-008</t>
        </is>
      </c>
      <c r="G1287" t="inlineStr">
        <is>
          <t>Referido</t>
        </is>
      </c>
      <c r="H1287" t="inlineStr">
        <is>
          <t>Miguel Salazar</t>
        </is>
      </c>
      <c r="I1287" t="inlineStr">
        <is>
          <t>Perdido</t>
        </is>
      </c>
      <c r="J1287" s="28" t="n">
        <v>45690</v>
      </c>
      <c r="K1287" s="28" t="n">
        <v>45710</v>
      </c>
      <c r="L1287" t="inlineStr">
        <is>
          <t>No calificó para crédito</t>
        </is>
      </c>
    </row>
    <row r="1288">
      <c r="A1288" t="inlineStr">
        <is>
          <t>CLI-1286</t>
        </is>
      </c>
      <c r="B1288" t="inlineStr">
        <is>
          <t>Catalina Escobar Valencia</t>
        </is>
      </c>
      <c r="C1288" t="inlineStr">
        <is>
          <t>3133426134</t>
        </is>
      </c>
      <c r="D1288" t="inlineStr">
        <is>
          <t>catalina.escobar42@outlook.com</t>
        </is>
      </c>
      <c r="E1288" t="inlineStr">
        <is>
          <t>Envigado</t>
        </is>
      </c>
      <c r="F1288" t="inlineStr">
        <is>
          <t>PRY-008</t>
        </is>
      </c>
      <c r="G1288" t="inlineStr">
        <is>
          <t>Portal Web</t>
        </is>
      </c>
      <c r="H1288" t="inlineStr">
        <is>
          <t>Paula Arenas</t>
        </is>
      </c>
      <c r="I1288" t="inlineStr">
        <is>
          <t>Perdido</t>
        </is>
      </c>
      <c r="J1288" s="28" t="n">
        <v>45690</v>
      </c>
      <c r="K1288" s="28" t="n">
        <v>45703</v>
      </c>
      <c r="L1288" t="inlineStr">
        <is>
          <t>Presupuesto insuficiente</t>
        </is>
      </c>
    </row>
    <row r="1289">
      <c r="A1289" t="inlineStr">
        <is>
          <t>CLI-1287</t>
        </is>
      </c>
      <c r="B1289" t="inlineStr">
        <is>
          <t>Manuela Escobar Castaño</t>
        </is>
      </c>
      <c r="C1289" t="inlineStr">
        <is>
          <t>3012668905</t>
        </is>
      </c>
      <c r="D1289" t="inlineStr">
        <is>
          <t>manuela.escobar39@yahoo.com</t>
        </is>
      </c>
      <c r="E1289" t="inlineStr">
        <is>
          <t>Bello</t>
        </is>
      </c>
      <c r="F1289" t="inlineStr">
        <is>
          <t>PRY-001</t>
        </is>
      </c>
      <c r="G1289" t="inlineStr">
        <is>
          <t>Portal Web</t>
        </is>
      </c>
      <c r="H1289" t="inlineStr">
        <is>
          <t>Luis Bedoya</t>
        </is>
      </c>
      <c r="I1289" t="inlineStr">
        <is>
          <t>Ganado</t>
        </is>
      </c>
      <c r="J1289" s="28" t="n">
        <v>45691</v>
      </c>
      <c r="K1289" s="28" t="n">
        <v>45794</v>
      </c>
      <c r="L1289" t="inlineStr">
        <is>
          <t>Compró Apto 901 en Torres del Poblado</t>
        </is>
      </c>
    </row>
    <row r="1290">
      <c r="A1290" t="inlineStr">
        <is>
          <t>CLI-1288</t>
        </is>
      </c>
      <c r="B1290" t="inlineStr">
        <is>
          <t>Diego Ochoa Cano</t>
        </is>
      </c>
      <c r="C1290" t="inlineStr">
        <is>
          <t>3045961226</t>
        </is>
      </c>
      <c r="D1290" t="inlineStr">
        <is>
          <t>diego.ochoa44@yahoo.com</t>
        </is>
      </c>
      <c r="E1290" t="inlineStr">
        <is>
          <t>La Estrella</t>
        </is>
      </c>
      <c r="F1290" t="inlineStr">
        <is>
          <t>PRY-007</t>
        </is>
      </c>
      <c r="G1290" t="inlineStr">
        <is>
          <t>Facebook</t>
        </is>
      </c>
      <c r="H1290" t="inlineStr">
        <is>
          <t>Luis Bedoya</t>
        </is>
      </c>
      <c r="I1290" t="inlineStr">
        <is>
          <t>Perdido</t>
        </is>
      </c>
      <c r="J1290" s="28" t="n">
        <v>45691</v>
      </c>
      <c r="K1290" s="28" t="n">
        <v>45699</v>
      </c>
      <c r="L1290" t="inlineStr">
        <is>
          <t>Sin respuesta tras 3 contactos</t>
        </is>
      </c>
    </row>
    <row r="1291">
      <c r="A1291" t="inlineStr">
        <is>
          <t>CLI-1289</t>
        </is>
      </c>
      <c r="B1291" t="inlineStr">
        <is>
          <t>Lorena Zapata Restrepo</t>
        </is>
      </c>
      <c r="C1291" t="inlineStr">
        <is>
          <t>3001218348</t>
        </is>
      </c>
      <c r="D1291" t="inlineStr">
        <is>
          <t>lorena.zapata71@yahoo.com</t>
        </is>
      </c>
      <c r="E1291" t="inlineStr">
        <is>
          <t>Medellín</t>
        </is>
      </c>
      <c r="F1291" t="inlineStr">
        <is>
          <t>PRY-004</t>
        </is>
      </c>
      <c r="G1291" t="inlineStr">
        <is>
          <t>Portal Web</t>
        </is>
      </c>
      <c r="H1291" t="inlineStr">
        <is>
          <t>Ana Quintero</t>
        </is>
      </c>
      <c r="I1291" t="inlineStr">
        <is>
          <t>Perdido</t>
        </is>
      </c>
      <c r="J1291" s="28" t="n">
        <v>45691</v>
      </c>
      <c r="K1291" s="28" t="n">
        <v>45708</v>
      </c>
      <c r="L1291" t="inlineStr">
        <is>
          <t>Sin respuesta tras 3 contactos</t>
        </is>
      </c>
    </row>
    <row r="1292">
      <c r="A1292" t="inlineStr">
        <is>
          <t>CLI-1290</t>
        </is>
      </c>
      <c r="B1292" t="inlineStr">
        <is>
          <t>Jhon Álvarez Ríos</t>
        </is>
      </c>
      <c r="C1292" t="inlineStr">
        <is>
          <t>3042299283</t>
        </is>
      </c>
      <c r="D1292" t="inlineStr">
        <is>
          <t>jhon.alvarez57@outlook.com</t>
        </is>
      </c>
      <c r="E1292" t="inlineStr">
        <is>
          <t>Medellín</t>
        </is>
      </c>
      <c r="F1292" t="inlineStr">
        <is>
          <t>PRY-001</t>
        </is>
      </c>
      <c r="G1292" t="inlineStr">
        <is>
          <t>Instagram</t>
        </is>
      </c>
      <c r="H1292" t="inlineStr">
        <is>
          <t>Daniela Ríos</t>
        </is>
      </c>
      <c r="I1292" t="inlineStr">
        <is>
          <t>Perdido</t>
        </is>
      </c>
      <c r="J1292" s="28" t="n">
        <v>45691</v>
      </c>
      <c r="K1292" s="28" t="n">
        <v>45720</v>
      </c>
      <c r="L1292" t="inlineStr">
        <is>
          <t>No calificó para crédito</t>
        </is>
      </c>
    </row>
    <row r="1293">
      <c r="A1293" t="inlineStr">
        <is>
          <t>CLI-1291</t>
        </is>
      </c>
      <c r="B1293" t="inlineStr">
        <is>
          <t>Cristian Salcedo Rojas</t>
        </is>
      </c>
      <c r="C1293" t="inlineStr">
        <is>
          <t>3132850061</t>
        </is>
      </c>
      <c r="D1293" t="inlineStr">
        <is>
          <t>cristian.salcedo40@yahoo.com</t>
        </is>
      </c>
      <c r="E1293" t="inlineStr">
        <is>
          <t>Itagüí</t>
        </is>
      </c>
      <c r="F1293" t="inlineStr">
        <is>
          <t>PRY-005</t>
        </is>
      </c>
      <c r="G1293" t="inlineStr">
        <is>
          <t>Portal Web</t>
        </is>
      </c>
      <c r="H1293" t="inlineStr">
        <is>
          <t>Andrés Torres</t>
        </is>
      </c>
      <c r="I1293" t="inlineStr">
        <is>
          <t>Perdido</t>
        </is>
      </c>
      <c r="J1293" s="28" t="n">
        <v>45693</v>
      </c>
      <c r="K1293" s="28" t="n">
        <v>45718</v>
      </c>
      <c r="L1293" t="inlineStr">
        <is>
          <t>Presupuesto insuficiente</t>
        </is>
      </c>
    </row>
    <row r="1294">
      <c r="A1294" t="inlineStr">
        <is>
          <t>CLI-1292</t>
        </is>
      </c>
      <c r="B1294" t="inlineStr">
        <is>
          <t>Rodrigo Jaramillo Zuluaga</t>
        </is>
      </c>
      <c r="C1294" t="inlineStr">
        <is>
          <t>3139306573</t>
        </is>
      </c>
      <c r="D1294" t="inlineStr">
        <is>
          <t>rodrigo.jaramillo74@gmail.com</t>
        </is>
      </c>
      <c r="E1294" t="inlineStr">
        <is>
          <t>Itagüí</t>
        </is>
      </c>
      <c r="F1294" t="inlineStr">
        <is>
          <t>PRY-008</t>
        </is>
      </c>
      <c r="G1294" t="inlineStr">
        <is>
          <t>Llamada directa</t>
        </is>
      </c>
      <c r="H1294" t="inlineStr">
        <is>
          <t>Andrés Torres</t>
        </is>
      </c>
      <c r="I1294" t="inlineStr">
        <is>
          <t>Ganado</t>
        </is>
      </c>
      <c r="J1294" s="28" t="n">
        <v>45694</v>
      </c>
      <c r="K1294" s="28" t="n">
        <v>45776</v>
      </c>
      <c r="L1294" t="inlineStr">
        <is>
          <t>Compró Casa 40 en Valle Verde Itagüí</t>
        </is>
      </c>
    </row>
    <row r="1295">
      <c r="A1295" t="inlineStr">
        <is>
          <t>CLI-1293</t>
        </is>
      </c>
      <c r="B1295" t="inlineStr">
        <is>
          <t>María Hernández Vásquez</t>
        </is>
      </c>
      <c r="C1295" t="inlineStr">
        <is>
          <t>3152246639</t>
        </is>
      </c>
      <c r="D1295" t="inlineStr">
        <is>
          <t>maria.hernandez61@outlook.com</t>
        </is>
      </c>
      <c r="E1295" t="inlineStr">
        <is>
          <t>Medellín</t>
        </is>
      </c>
      <c r="F1295" t="inlineStr">
        <is>
          <t>PRY-001</t>
        </is>
      </c>
      <c r="G1295" t="inlineStr">
        <is>
          <t>Portal Web</t>
        </is>
      </c>
      <c r="H1295" t="inlineStr">
        <is>
          <t>Ana Quintero</t>
        </is>
      </c>
      <c r="I1295" t="inlineStr">
        <is>
          <t>Ganado</t>
        </is>
      </c>
      <c r="J1295" s="28" t="n">
        <v>45695</v>
      </c>
      <c r="K1295" s="28" t="n">
        <v>45839</v>
      </c>
      <c r="L1295" t="inlineStr">
        <is>
          <t>Compró Apto 1401 en Torres del Poblado</t>
        </is>
      </c>
    </row>
    <row r="1296">
      <c r="A1296" t="inlineStr">
        <is>
          <t>CLI-1294</t>
        </is>
      </c>
      <c r="B1296" t="inlineStr">
        <is>
          <t>Diego Peláez Vásquez</t>
        </is>
      </c>
      <c r="C1296" t="inlineStr">
        <is>
          <t>3147839310</t>
        </is>
      </c>
      <c r="D1296" t="inlineStr">
        <is>
          <t>diego.pelaez4@outlook.com</t>
        </is>
      </c>
      <c r="E1296" t="inlineStr">
        <is>
          <t>Bello</t>
        </is>
      </c>
      <c r="F1296" t="inlineStr">
        <is>
          <t>PRY-001</t>
        </is>
      </c>
      <c r="G1296" t="inlineStr">
        <is>
          <t>Facebook</t>
        </is>
      </c>
      <c r="H1296" t="inlineStr">
        <is>
          <t>Luis Bedoya</t>
        </is>
      </c>
      <c r="I1296" t="inlineStr">
        <is>
          <t>Ganado</t>
        </is>
      </c>
      <c r="J1296" s="28" t="n">
        <v>45695</v>
      </c>
      <c r="K1296" s="28" t="n">
        <v>45838</v>
      </c>
      <c r="L1296" t="inlineStr">
        <is>
          <t>Compró Apto 1605 en Torres del Poblado</t>
        </is>
      </c>
    </row>
    <row r="1297">
      <c r="A1297" t="inlineStr">
        <is>
          <t>CLI-1295</t>
        </is>
      </c>
      <c r="B1297" t="inlineStr">
        <is>
          <t>Sebastián Montoya Bedoya</t>
        </is>
      </c>
      <c r="C1297" t="inlineStr">
        <is>
          <t>3171541916</t>
        </is>
      </c>
      <c r="D1297" t="inlineStr">
        <is>
          <t>sebastian.montoya81@yahoo.com</t>
        </is>
      </c>
      <c r="E1297" t="inlineStr">
        <is>
          <t>Rionegro</t>
        </is>
      </c>
      <c r="F1297" t="inlineStr">
        <is>
          <t>PRY-005</t>
        </is>
      </c>
      <c r="G1297" t="inlineStr">
        <is>
          <t>Instagram</t>
        </is>
      </c>
      <c r="H1297" t="inlineStr">
        <is>
          <t>Sofía Prada</t>
        </is>
      </c>
      <c r="I1297" t="inlineStr">
        <is>
          <t>Perdido</t>
        </is>
      </c>
      <c r="J1297" s="28" t="n">
        <v>45695</v>
      </c>
      <c r="K1297" s="28" t="n">
        <v>45715</v>
      </c>
      <c r="L1297" t="inlineStr">
        <is>
          <t>Sin respuesta tras 3 contactos</t>
        </is>
      </c>
    </row>
    <row r="1298">
      <c r="A1298" t="inlineStr">
        <is>
          <t>CLI-1296</t>
        </is>
      </c>
      <c r="B1298" t="inlineStr">
        <is>
          <t>Mateo Muñoz Vargas</t>
        </is>
      </c>
      <c r="C1298" t="inlineStr">
        <is>
          <t>3002571560</t>
        </is>
      </c>
      <c r="D1298" t="inlineStr">
        <is>
          <t>mateo.munoz41@yahoo.com</t>
        </is>
      </c>
      <c r="E1298" t="inlineStr">
        <is>
          <t>Sabaneta</t>
        </is>
      </c>
      <c r="F1298" t="inlineStr">
        <is>
          <t>PRY-001</t>
        </is>
      </c>
      <c r="G1298" t="inlineStr">
        <is>
          <t>Portal Web</t>
        </is>
      </c>
      <c r="H1298" t="inlineStr">
        <is>
          <t>Andrés Torres</t>
        </is>
      </c>
      <c r="I1298" t="inlineStr">
        <is>
          <t>Perdido</t>
        </is>
      </c>
      <c r="J1298" s="28" t="n">
        <v>45695</v>
      </c>
      <c r="K1298" s="28" t="n">
        <v>45700</v>
      </c>
      <c r="L1298" t="inlineStr">
        <is>
          <t>Buscaba arriendo, no compra</t>
        </is>
      </c>
    </row>
    <row r="1299">
      <c r="A1299" t="inlineStr">
        <is>
          <t>CLI-1297</t>
        </is>
      </c>
      <c r="B1299" t="inlineStr">
        <is>
          <t>Santiago Londoño Peláez</t>
        </is>
      </c>
      <c r="C1299" t="inlineStr">
        <is>
          <t>3004018660</t>
        </is>
      </c>
      <c r="D1299" t="inlineStr">
        <is>
          <t>santiago.londono48@hotmail.com</t>
        </is>
      </c>
      <c r="E1299" t="inlineStr">
        <is>
          <t>Bello</t>
        </is>
      </c>
      <c r="F1299" t="inlineStr">
        <is>
          <t>PRY-006</t>
        </is>
      </c>
      <c r="G1299" t="inlineStr">
        <is>
          <t>Llamada directa</t>
        </is>
      </c>
      <c r="H1299" t="inlineStr">
        <is>
          <t>Andrés Torres</t>
        </is>
      </c>
      <c r="I1299" t="inlineStr">
        <is>
          <t>Ganado</t>
        </is>
      </c>
      <c r="J1299" s="28" t="n">
        <v>45696</v>
      </c>
      <c r="K1299" s="28" t="n">
        <v>45849</v>
      </c>
      <c r="L1299" t="inlineStr">
        <is>
          <t>Compró Local 11 en Plaza Bello</t>
        </is>
      </c>
    </row>
    <row r="1300">
      <c r="A1300" t="inlineStr">
        <is>
          <t>CLI-1298</t>
        </is>
      </c>
      <c r="B1300" t="inlineStr">
        <is>
          <t>Valeria Ríos Espinosa</t>
        </is>
      </c>
      <c r="C1300" t="inlineStr">
        <is>
          <t>3156187597</t>
        </is>
      </c>
      <c r="D1300" t="inlineStr">
        <is>
          <t>valeria.rios73@yahoo.com</t>
        </is>
      </c>
      <c r="E1300" t="inlineStr">
        <is>
          <t>Medellín</t>
        </is>
      </c>
      <c r="F1300" t="inlineStr">
        <is>
          <t>PRY-002</t>
        </is>
      </c>
      <c r="G1300" t="inlineStr">
        <is>
          <t>Referido</t>
        </is>
      </c>
      <c r="H1300" t="inlineStr">
        <is>
          <t>Juliana Vélez</t>
        </is>
      </c>
      <c r="I1300" t="inlineStr">
        <is>
          <t>Ganado</t>
        </is>
      </c>
      <c r="J1300" s="28" t="n">
        <v>45696</v>
      </c>
      <c r="K1300" s="28" t="n">
        <v>45869</v>
      </c>
      <c r="L1300" t="inlineStr">
        <is>
          <t>Compró Casa 5 en Reserva Santa Elena</t>
        </is>
      </c>
    </row>
    <row r="1301">
      <c r="A1301" t="inlineStr">
        <is>
          <t>CLI-1299</t>
        </is>
      </c>
      <c r="B1301" t="inlineStr">
        <is>
          <t>Lorena Zuluaga Marín</t>
        </is>
      </c>
      <c r="C1301" t="inlineStr">
        <is>
          <t>3041999433</t>
        </is>
      </c>
      <c r="D1301" t="inlineStr">
        <is>
          <t>lorena.zuluaga62@gmail.com</t>
        </is>
      </c>
      <c r="E1301" t="inlineStr">
        <is>
          <t>Itagüí</t>
        </is>
      </c>
      <c r="F1301" t="inlineStr">
        <is>
          <t>PRY-007</t>
        </is>
      </c>
      <c r="G1301" t="inlineStr">
        <is>
          <t>Portal Web</t>
        </is>
      </c>
      <c r="H1301" t="inlineStr">
        <is>
          <t>Luis Bedoya</t>
        </is>
      </c>
      <c r="I1301" t="inlineStr">
        <is>
          <t>Perdido</t>
        </is>
      </c>
      <c r="J1301" s="28" t="n">
        <v>45696</v>
      </c>
      <c r="K1301" s="28" t="n">
        <v>45705</v>
      </c>
      <c r="L1301" t="inlineStr">
        <is>
          <t>Sin respuesta tras 3 contactos</t>
        </is>
      </c>
    </row>
    <row r="1302">
      <c r="A1302" t="inlineStr">
        <is>
          <t>CLI-1300</t>
        </is>
      </c>
      <c r="B1302" t="inlineStr">
        <is>
          <t>Gabriel Marín Pérez</t>
        </is>
      </c>
      <c r="C1302" t="inlineStr">
        <is>
          <t>3172356112</t>
        </is>
      </c>
      <c r="D1302" t="inlineStr">
        <is>
          <t>gabriel.marin38@outlook.com</t>
        </is>
      </c>
      <c r="E1302" t="inlineStr">
        <is>
          <t>Rionegro</t>
        </is>
      </c>
      <c r="F1302" t="inlineStr">
        <is>
          <t>PRY-005</t>
        </is>
      </c>
      <c r="G1302" t="inlineStr">
        <is>
          <t>Referido</t>
        </is>
      </c>
      <c r="H1302" t="inlineStr">
        <is>
          <t>Ana Quintero</t>
        </is>
      </c>
      <c r="I1302" t="inlineStr">
        <is>
          <t>Perdido</t>
        </is>
      </c>
      <c r="J1302" s="28" t="n">
        <v>45696</v>
      </c>
      <c r="K1302" s="28" t="n">
        <v>45704</v>
      </c>
      <c r="L1302" t="inlineStr">
        <is>
          <t>No calificó para crédito</t>
        </is>
      </c>
    </row>
    <row r="1303">
      <c r="A1303" t="inlineStr">
        <is>
          <t>CLI-1301</t>
        </is>
      </c>
      <c r="B1303" t="inlineStr">
        <is>
          <t>Julián Toro Montes</t>
        </is>
      </c>
      <c r="C1303" t="inlineStr">
        <is>
          <t>3131043926</t>
        </is>
      </c>
      <c r="D1303" t="inlineStr">
        <is>
          <t>julian.toro71@yahoo.com</t>
        </is>
      </c>
      <c r="E1303" t="inlineStr">
        <is>
          <t>Rionegro</t>
        </is>
      </c>
      <c r="F1303" t="inlineStr">
        <is>
          <t>PRY-005</t>
        </is>
      </c>
      <c r="G1303" t="inlineStr">
        <is>
          <t>Facebook</t>
        </is>
      </c>
      <c r="H1303" t="inlineStr">
        <is>
          <t>Luis Bedoya</t>
        </is>
      </c>
      <c r="I1303" t="inlineStr">
        <is>
          <t>Perdido</t>
        </is>
      </c>
      <c r="J1303" s="28" t="n">
        <v>45697</v>
      </c>
      <c r="K1303" s="28" t="n">
        <v>45708</v>
      </c>
      <c r="L1303" t="inlineStr">
        <is>
          <t>No calificó para crédito</t>
        </is>
      </c>
    </row>
    <row r="1304">
      <c r="A1304" t="inlineStr">
        <is>
          <t>CLI-1302</t>
        </is>
      </c>
      <c r="B1304" t="inlineStr">
        <is>
          <t>David Sánchez Giraldo</t>
        </is>
      </c>
      <c r="C1304" t="inlineStr">
        <is>
          <t>3224115420</t>
        </is>
      </c>
      <c r="D1304" t="inlineStr">
        <is>
          <t>david.sanchez29@yahoo.com</t>
        </is>
      </c>
      <c r="E1304" t="inlineStr">
        <is>
          <t>Sabaneta</t>
        </is>
      </c>
      <c r="F1304" t="inlineStr">
        <is>
          <t>PRY-001</t>
        </is>
      </c>
      <c r="G1304" t="inlineStr">
        <is>
          <t>Instagram</t>
        </is>
      </c>
      <c r="H1304" t="inlineStr">
        <is>
          <t>Andrés Torres</t>
        </is>
      </c>
      <c r="I1304" t="inlineStr">
        <is>
          <t>Perdido</t>
        </is>
      </c>
      <c r="J1304" s="28" t="n">
        <v>45697</v>
      </c>
      <c r="K1304" s="28" t="n">
        <v>45720</v>
      </c>
      <c r="L1304" t="inlineStr">
        <is>
          <t>Buscaba arriendo, no compra</t>
        </is>
      </c>
    </row>
    <row r="1305">
      <c r="A1305" t="inlineStr">
        <is>
          <t>CLI-1303</t>
        </is>
      </c>
      <c r="B1305" t="inlineStr">
        <is>
          <t>Julián Salazar Cardona</t>
        </is>
      </c>
      <c r="C1305" t="inlineStr">
        <is>
          <t>3174523526</t>
        </is>
      </c>
      <c r="D1305" t="inlineStr">
        <is>
          <t>julian.salazar49@yahoo.com</t>
        </is>
      </c>
      <c r="E1305" t="inlineStr">
        <is>
          <t>Envigado</t>
        </is>
      </c>
      <c r="F1305" t="inlineStr">
        <is>
          <t>PRY-004</t>
        </is>
      </c>
      <c r="G1305" t="inlineStr">
        <is>
          <t>Facebook</t>
        </is>
      </c>
      <c r="H1305" t="inlineStr">
        <is>
          <t>Sofía Prada</t>
        </is>
      </c>
      <c r="I1305" t="inlineStr">
        <is>
          <t>Perdido</t>
        </is>
      </c>
      <c r="J1305" s="28" t="n">
        <v>45697</v>
      </c>
      <c r="K1305" s="28" t="n">
        <v>45721</v>
      </c>
      <c r="L1305" t="inlineStr">
        <is>
          <t>Datos de contacto errados</t>
        </is>
      </c>
    </row>
    <row r="1306">
      <c r="A1306" t="inlineStr">
        <is>
          <t>CLI-1304</t>
        </is>
      </c>
      <c r="B1306" t="inlineStr">
        <is>
          <t>Laura Zuluaga Vargas</t>
        </is>
      </c>
      <c r="C1306" t="inlineStr">
        <is>
          <t>3244898516</t>
        </is>
      </c>
      <c r="D1306" t="inlineStr">
        <is>
          <t>laura.zuluaga11@gmail.com</t>
        </is>
      </c>
      <c r="E1306" t="inlineStr">
        <is>
          <t>La Estrella</t>
        </is>
      </c>
      <c r="F1306" t="inlineStr">
        <is>
          <t>PRY-001</t>
        </is>
      </c>
      <c r="G1306" t="inlineStr">
        <is>
          <t>Feria Inmobiliaria</t>
        </is>
      </c>
      <c r="H1306" t="inlineStr">
        <is>
          <t>Sofía Prada</t>
        </is>
      </c>
      <c r="I1306" t="inlineStr">
        <is>
          <t>Perdido</t>
        </is>
      </c>
      <c r="J1306" s="28" t="n">
        <v>45697</v>
      </c>
      <c r="K1306" s="28" t="n">
        <v>45703</v>
      </c>
      <c r="L1306" t="inlineStr">
        <is>
          <t>No calificó para crédito</t>
        </is>
      </c>
    </row>
    <row r="1307">
      <c r="A1307" t="inlineStr">
        <is>
          <t>CLI-1305</t>
        </is>
      </c>
      <c r="B1307" t="inlineStr">
        <is>
          <t>Alejandra Ríos Betancur</t>
        </is>
      </c>
      <c r="C1307" t="inlineStr">
        <is>
          <t>3223072948</t>
        </is>
      </c>
      <c r="D1307" t="inlineStr">
        <is>
          <t>alejandra.rios22@hotmail.com</t>
        </is>
      </c>
      <c r="E1307" t="inlineStr">
        <is>
          <t>Medellín</t>
        </is>
      </c>
      <c r="F1307" t="inlineStr">
        <is>
          <t>PRY-001</t>
        </is>
      </c>
      <c r="G1307" t="inlineStr">
        <is>
          <t>Portal Web</t>
        </is>
      </c>
      <c r="H1307" t="inlineStr">
        <is>
          <t>Sofía Prada</t>
        </is>
      </c>
      <c r="I1307" t="inlineStr">
        <is>
          <t>Perdido</t>
        </is>
      </c>
      <c r="J1307" s="28" t="n">
        <v>45697</v>
      </c>
      <c r="K1307" s="28" t="n">
        <v>45724</v>
      </c>
      <c r="L1307" t="inlineStr">
        <is>
          <t>Sin respuesta tras 3 contactos</t>
        </is>
      </c>
    </row>
    <row r="1308">
      <c r="A1308" t="inlineStr">
        <is>
          <t>CLI-1306</t>
        </is>
      </c>
      <c r="B1308" t="inlineStr">
        <is>
          <t>Óscar Zuluaga Duque</t>
        </is>
      </c>
      <c r="C1308" t="inlineStr">
        <is>
          <t>3236055274</t>
        </is>
      </c>
      <c r="D1308" t="inlineStr">
        <is>
          <t>oscar.zuluaga18@hotmail.com</t>
        </is>
      </c>
      <c r="E1308" t="inlineStr">
        <is>
          <t>Envigado</t>
        </is>
      </c>
      <c r="F1308" t="inlineStr">
        <is>
          <t>PRY-007</t>
        </is>
      </c>
      <c r="G1308" t="inlineStr">
        <is>
          <t>Portal Web</t>
        </is>
      </c>
      <c r="H1308" t="inlineStr">
        <is>
          <t>Ana Quintero</t>
        </is>
      </c>
      <c r="I1308" t="inlineStr">
        <is>
          <t>Ganado</t>
        </is>
      </c>
      <c r="J1308" s="28" t="n">
        <v>45698</v>
      </c>
      <c r="K1308" s="28" t="n">
        <v>45775</v>
      </c>
      <c r="L1308" t="inlineStr">
        <is>
          <t>Compró Apto 604 en Mirador de Envigado</t>
        </is>
      </c>
    </row>
    <row r="1309">
      <c r="A1309" t="inlineStr">
        <is>
          <t>CLI-1307</t>
        </is>
      </c>
      <c r="B1309" t="inlineStr">
        <is>
          <t>Esteban Correa Restrepo</t>
        </is>
      </c>
      <c r="C1309" t="inlineStr">
        <is>
          <t>3133234448</t>
        </is>
      </c>
      <c r="D1309" t="inlineStr">
        <is>
          <t>esteban.correa27@hotmail.com</t>
        </is>
      </c>
      <c r="E1309" t="inlineStr">
        <is>
          <t>Rionegro</t>
        </is>
      </c>
      <c r="F1309" t="inlineStr">
        <is>
          <t>PRY-002</t>
        </is>
      </c>
      <c r="G1309" t="inlineStr">
        <is>
          <t>Referido</t>
        </is>
      </c>
      <c r="H1309" t="inlineStr">
        <is>
          <t>Santiago Muñoz</t>
        </is>
      </c>
      <c r="I1309" t="inlineStr">
        <is>
          <t>Perdido</t>
        </is>
      </c>
      <c r="J1309" s="28" t="n">
        <v>45698</v>
      </c>
      <c r="K1309" s="28" t="n">
        <v>45723</v>
      </c>
      <c r="L1309" t="inlineStr">
        <is>
          <t>Sin respuesta tras 3 contactos</t>
        </is>
      </c>
    </row>
    <row r="1310">
      <c r="A1310" t="inlineStr">
        <is>
          <t>CLI-1308</t>
        </is>
      </c>
      <c r="B1310" t="inlineStr">
        <is>
          <t>José Espinosa Restrepo</t>
        </is>
      </c>
      <c r="C1310" t="inlineStr">
        <is>
          <t>3146498176</t>
        </is>
      </c>
      <c r="D1310" t="inlineStr">
        <is>
          <t>jose.espinosa74@outlook.com</t>
        </is>
      </c>
      <c r="E1310" t="inlineStr">
        <is>
          <t>Rionegro</t>
        </is>
      </c>
      <c r="F1310" t="inlineStr">
        <is>
          <t>PRY-005</t>
        </is>
      </c>
      <c r="G1310" t="inlineStr">
        <is>
          <t>Portal Web</t>
        </is>
      </c>
      <c r="H1310" t="inlineStr">
        <is>
          <t>Miguel Salazar</t>
        </is>
      </c>
      <c r="I1310" t="inlineStr">
        <is>
          <t>Perdido</t>
        </is>
      </c>
      <c r="J1310" s="28" t="n">
        <v>45698</v>
      </c>
      <c r="K1310" s="28" t="n">
        <v>45721</v>
      </c>
      <c r="L1310" t="inlineStr">
        <is>
          <t>Sin respuesta tras 3 contactos</t>
        </is>
      </c>
    </row>
    <row r="1311">
      <c r="A1311" t="inlineStr">
        <is>
          <t>CLI-1309</t>
        </is>
      </c>
      <c r="B1311" t="inlineStr">
        <is>
          <t>Daniela Muñoz Peláez</t>
        </is>
      </c>
      <c r="C1311" t="inlineStr">
        <is>
          <t>3249798925</t>
        </is>
      </c>
      <c r="D1311" t="inlineStr">
        <is>
          <t>daniela.munoz48@outlook.com</t>
        </is>
      </c>
      <c r="E1311" t="inlineStr">
        <is>
          <t>Medellín</t>
        </is>
      </c>
      <c r="F1311" t="inlineStr">
        <is>
          <t>PRY-002</t>
        </is>
      </c>
      <c r="G1311" t="inlineStr">
        <is>
          <t>Instagram</t>
        </is>
      </c>
      <c r="H1311" t="inlineStr">
        <is>
          <t>Ana Quintero</t>
        </is>
      </c>
      <c r="I1311" t="inlineStr">
        <is>
          <t>Perdido</t>
        </is>
      </c>
      <c r="J1311" s="28" t="n">
        <v>45698</v>
      </c>
      <c r="K1311" s="28" t="n">
        <v>45725</v>
      </c>
      <c r="L1311" t="inlineStr">
        <is>
          <t>No calificó para crédito</t>
        </is>
      </c>
    </row>
    <row r="1312">
      <c r="A1312" t="inlineStr">
        <is>
          <t>CLI-1310</t>
        </is>
      </c>
      <c r="B1312" t="inlineStr">
        <is>
          <t>Óscar Palacio Uribe</t>
        </is>
      </c>
      <c r="C1312" t="inlineStr">
        <is>
          <t>3134252221</t>
        </is>
      </c>
      <c r="D1312" t="inlineStr">
        <is>
          <t>oscar.palacio73@hotmail.com</t>
        </is>
      </c>
      <c r="E1312" t="inlineStr">
        <is>
          <t>Sabaneta</t>
        </is>
      </c>
      <c r="F1312" t="inlineStr">
        <is>
          <t>PRY-008</t>
        </is>
      </c>
      <c r="G1312" t="inlineStr">
        <is>
          <t>Instagram</t>
        </is>
      </c>
      <c r="H1312" t="inlineStr">
        <is>
          <t>Luis Bedoya</t>
        </is>
      </c>
      <c r="I1312" t="inlineStr">
        <is>
          <t>Perdido</t>
        </is>
      </c>
      <c r="J1312" s="28" t="n">
        <v>45699</v>
      </c>
      <c r="K1312" s="28" t="n">
        <v>45772</v>
      </c>
      <c r="L1312" t="inlineStr">
        <is>
          <t>Desistió de la compra</t>
        </is>
      </c>
    </row>
    <row r="1313">
      <c r="A1313" t="inlineStr">
        <is>
          <t>CLI-1311</t>
        </is>
      </c>
      <c r="B1313" t="inlineStr">
        <is>
          <t>Alejandra Peláez Bedoya</t>
        </is>
      </c>
      <c r="C1313" t="inlineStr">
        <is>
          <t>3179419848</t>
        </is>
      </c>
      <c r="D1313" t="inlineStr">
        <is>
          <t>alejandra.pelaez85@outlook.com</t>
        </is>
      </c>
      <c r="E1313" t="inlineStr">
        <is>
          <t>Envigado</t>
        </is>
      </c>
      <c r="F1313" t="inlineStr">
        <is>
          <t>PRY-007</t>
        </is>
      </c>
      <c r="G1313" t="inlineStr">
        <is>
          <t>Instagram</t>
        </is>
      </c>
      <c r="H1313" t="inlineStr">
        <is>
          <t>Ana Quintero</t>
        </is>
      </c>
      <c r="I1313" t="inlineStr">
        <is>
          <t>Ganado</t>
        </is>
      </c>
      <c r="J1313" s="28" t="n">
        <v>45699</v>
      </c>
      <c r="K1313" s="28" t="n">
        <v>45851</v>
      </c>
      <c r="L1313" t="inlineStr">
        <is>
          <t>Compró Apto 903 en Mirador de Envigado</t>
        </is>
      </c>
    </row>
    <row r="1314">
      <c r="A1314" t="inlineStr">
        <is>
          <t>CLI-1312</t>
        </is>
      </c>
      <c r="B1314" t="inlineStr">
        <is>
          <t>Julián Uribe Sánchez</t>
        </is>
      </c>
      <c r="C1314" t="inlineStr">
        <is>
          <t>3004663714</t>
        </is>
      </c>
      <c r="D1314" t="inlineStr">
        <is>
          <t>julian.uribe61@hotmail.com</t>
        </is>
      </c>
      <c r="E1314" t="inlineStr">
        <is>
          <t>Bello</t>
        </is>
      </c>
      <c r="F1314" t="inlineStr">
        <is>
          <t>PRY-003</t>
        </is>
      </c>
      <c r="G1314" t="inlineStr">
        <is>
          <t>Instagram</t>
        </is>
      </c>
      <c r="H1314" t="inlineStr">
        <is>
          <t>Andrés Torres</t>
        </is>
      </c>
      <c r="I1314" t="inlineStr">
        <is>
          <t>Perdido</t>
        </is>
      </c>
      <c r="J1314" s="28" t="n">
        <v>45699</v>
      </c>
      <c r="K1314" s="28" t="n">
        <v>45784</v>
      </c>
      <c r="L1314" t="inlineStr">
        <is>
          <t>No volvió a responder</t>
        </is>
      </c>
    </row>
    <row r="1315">
      <c r="A1315" t="inlineStr">
        <is>
          <t>CLI-1313</t>
        </is>
      </c>
      <c r="B1315" t="inlineStr">
        <is>
          <t>Camila Gómez Betancur</t>
        </is>
      </c>
      <c r="C1315" t="inlineStr">
        <is>
          <t>3153321257</t>
        </is>
      </c>
      <c r="D1315" t="inlineStr">
        <is>
          <t>camila.gomez8@gmail.com</t>
        </is>
      </c>
      <c r="E1315" t="inlineStr">
        <is>
          <t>Medellín</t>
        </is>
      </c>
      <c r="F1315" t="inlineStr">
        <is>
          <t>PRY-004</t>
        </is>
      </c>
      <c r="G1315" t="inlineStr">
        <is>
          <t>Referido</t>
        </is>
      </c>
      <c r="H1315" t="inlineStr">
        <is>
          <t>Ana Quintero</t>
        </is>
      </c>
      <c r="I1315" t="inlineStr">
        <is>
          <t>Perdido</t>
        </is>
      </c>
      <c r="J1315" s="28" t="n">
        <v>45700</v>
      </c>
      <c r="K1315" s="28" t="n">
        <v>45728</v>
      </c>
      <c r="L1315" t="inlineStr">
        <is>
          <t>No calificó para crédito</t>
        </is>
      </c>
    </row>
    <row r="1316">
      <c r="A1316" t="inlineStr">
        <is>
          <t>CLI-1314</t>
        </is>
      </c>
      <c r="B1316" t="inlineStr">
        <is>
          <t>Sofía Castaño Peláez</t>
        </is>
      </c>
      <c r="C1316" t="inlineStr">
        <is>
          <t>3155444686</t>
        </is>
      </c>
      <c r="D1316" t="inlineStr">
        <is>
          <t>sofia.castano37@gmail.com</t>
        </is>
      </c>
      <c r="E1316" t="inlineStr">
        <is>
          <t>Envigado</t>
        </is>
      </c>
      <c r="F1316" t="inlineStr">
        <is>
          <t>PRY-004</t>
        </is>
      </c>
      <c r="G1316" t="inlineStr">
        <is>
          <t>Portal Web</t>
        </is>
      </c>
      <c r="H1316" t="inlineStr">
        <is>
          <t>Andrés Torres</t>
        </is>
      </c>
      <c r="I1316" t="inlineStr">
        <is>
          <t>Perdido</t>
        </is>
      </c>
      <c r="J1316" s="28" t="n">
        <v>45700</v>
      </c>
      <c r="K1316" s="28" t="n">
        <v>45725</v>
      </c>
      <c r="L1316" t="inlineStr">
        <is>
          <t>Sin respuesta tras 3 contactos</t>
        </is>
      </c>
    </row>
    <row r="1317">
      <c r="A1317" t="inlineStr">
        <is>
          <t>CLI-1315</t>
        </is>
      </c>
      <c r="B1317" t="inlineStr">
        <is>
          <t>José Vélez Peláez</t>
        </is>
      </c>
      <c r="C1317" t="inlineStr">
        <is>
          <t>3019688335</t>
        </is>
      </c>
      <c r="D1317" t="inlineStr">
        <is>
          <t>jose.velez55@outlook.com</t>
        </is>
      </c>
      <c r="E1317" t="inlineStr">
        <is>
          <t>Envigado</t>
        </is>
      </c>
      <c r="F1317" t="inlineStr">
        <is>
          <t>PRY-007</t>
        </is>
      </c>
      <c r="G1317" t="inlineStr">
        <is>
          <t>Facebook</t>
        </is>
      </c>
      <c r="H1317" t="inlineStr">
        <is>
          <t>Luis Bedoya</t>
        </is>
      </c>
      <c r="I1317" t="inlineStr">
        <is>
          <t>Perdido</t>
        </is>
      </c>
      <c r="J1317" s="28" t="n">
        <v>45700</v>
      </c>
      <c r="K1317" s="28" t="n">
        <v>45715</v>
      </c>
      <c r="L1317" t="inlineStr">
        <is>
          <t>Sin respuesta tras 3 contactos</t>
        </is>
      </c>
    </row>
    <row r="1318">
      <c r="A1318" t="inlineStr">
        <is>
          <t>CLI-1316</t>
        </is>
      </c>
      <c r="B1318" t="inlineStr">
        <is>
          <t>Valeria Gómez Rojas</t>
        </is>
      </c>
      <c r="C1318" t="inlineStr">
        <is>
          <t>3236938632</t>
        </is>
      </c>
      <c r="D1318" t="inlineStr">
        <is>
          <t>valeria.gomez50@outlook.com</t>
        </is>
      </c>
      <c r="E1318" t="inlineStr">
        <is>
          <t>Medellín</t>
        </is>
      </c>
      <c r="F1318" t="inlineStr">
        <is>
          <t>PRY-006</t>
        </is>
      </c>
      <c r="G1318" t="inlineStr">
        <is>
          <t>Portal Web</t>
        </is>
      </c>
      <c r="H1318" t="inlineStr">
        <is>
          <t>Luis Bedoya</t>
        </is>
      </c>
      <c r="I1318" t="inlineStr">
        <is>
          <t>Perdido</t>
        </is>
      </c>
      <c r="J1318" s="28" t="n">
        <v>45701</v>
      </c>
      <c r="K1318" s="28" t="n">
        <v>45865</v>
      </c>
      <c r="L1318" t="inlineStr">
        <is>
          <t>Crédito no aprobado</t>
        </is>
      </c>
    </row>
    <row r="1319">
      <c r="A1319" t="inlineStr">
        <is>
          <t>CLI-1317</t>
        </is>
      </c>
      <c r="B1319" t="inlineStr">
        <is>
          <t>Santiago Montoya Vásquez</t>
        </is>
      </c>
      <c r="C1319" t="inlineStr">
        <is>
          <t>3138705994</t>
        </is>
      </c>
      <c r="D1319" t="inlineStr">
        <is>
          <t>santiago.montoya92@gmail.com</t>
        </is>
      </c>
      <c r="E1319" t="inlineStr">
        <is>
          <t>Rionegro</t>
        </is>
      </c>
      <c r="F1319" t="inlineStr">
        <is>
          <t>PRY-005</t>
        </is>
      </c>
      <c r="G1319" t="inlineStr">
        <is>
          <t>Feria Inmobiliaria</t>
        </is>
      </c>
      <c r="H1319" t="inlineStr">
        <is>
          <t>Ana Quintero</t>
        </is>
      </c>
      <c r="I1319" t="inlineStr">
        <is>
          <t>Ganado</t>
        </is>
      </c>
      <c r="J1319" s="28" t="n">
        <v>45702</v>
      </c>
      <c r="K1319" s="28" t="n">
        <v>45856</v>
      </c>
      <c r="L1319" t="inlineStr">
        <is>
          <t>Compró Casa 26 en Ciudadela Rionegro</t>
        </is>
      </c>
    </row>
    <row r="1320">
      <c r="A1320" t="inlineStr">
        <is>
          <t>CLI-1318</t>
        </is>
      </c>
      <c r="B1320" t="inlineStr">
        <is>
          <t>María Higuita Londoño</t>
        </is>
      </c>
      <c r="C1320" t="inlineStr">
        <is>
          <t>3009479310</t>
        </is>
      </c>
      <c r="D1320" t="inlineStr">
        <is>
          <t>maria.higuita97@gmail.com</t>
        </is>
      </c>
      <c r="E1320" t="inlineStr">
        <is>
          <t>Rionegro</t>
        </is>
      </c>
      <c r="F1320" t="inlineStr">
        <is>
          <t>PRY-005</t>
        </is>
      </c>
      <c r="G1320" t="inlineStr">
        <is>
          <t>Facebook</t>
        </is>
      </c>
      <c r="H1320" t="inlineStr">
        <is>
          <t>Sofía Prada</t>
        </is>
      </c>
      <c r="I1320" t="inlineStr">
        <is>
          <t>Ganado</t>
        </is>
      </c>
      <c r="J1320" s="28" t="n">
        <v>45702</v>
      </c>
      <c r="K1320" s="28" t="n">
        <v>45826</v>
      </c>
      <c r="L1320" t="inlineStr">
        <is>
          <t>Compró Casa 37 en Ciudadela Rionegro</t>
        </is>
      </c>
    </row>
    <row r="1321">
      <c r="A1321" t="inlineStr">
        <is>
          <t>CLI-1319</t>
        </is>
      </c>
      <c r="B1321" t="inlineStr">
        <is>
          <t>Valeria Ríos Álvarez</t>
        </is>
      </c>
      <c r="C1321" t="inlineStr">
        <is>
          <t>3245997684</t>
        </is>
      </c>
      <c r="D1321" t="inlineStr">
        <is>
          <t>valeria.rios99@outlook.com</t>
        </is>
      </c>
      <c r="E1321" t="inlineStr">
        <is>
          <t>Medellín</t>
        </is>
      </c>
      <c r="F1321" t="inlineStr">
        <is>
          <t>PRY-002</t>
        </is>
      </c>
      <c r="G1321" t="inlineStr">
        <is>
          <t>Instagram</t>
        </is>
      </c>
      <c r="H1321" t="inlineStr">
        <is>
          <t>Miguel Salazar</t>
        </is>
      </c>
      <c r="I1321" t="inlineStr">
        <is>
          <t>Perdido</t>
        </is>
      </c>
      <c r="J1321" s="28" t="n">
        <v>45703</v>
      </c>
      <c r="K1321" s="28" t="n">
        <v>45838</v>
      </c>
      <c r="L1321" t="inlineStr">
        <is>
          <t>Desistió de la compra</t>
        </is>
      </c>
    </row>
    <row r="1322">
      <c r="A1322" t="inlineStr">
        <is>
          <t>CLI-1320</t>
        </is>
      </c>
      <c r="B1322" t="inlineStr">
        <is>
          <t>Fernando Álvarez Zuluaga</t>
        </is>
      </c>
      <c r="C1322" t="inlineStr">
        <is>
          <t>3241714285</t>
        </is>
      </c>
      <c r="D1322" t="inlineStr">
        <is>
          <t>fernando.alvarez76@outlook.com</t>
        </is>
      </c>
      <c r="E1322" t="inlineStr">
        <is>
          <t>Envigado</t>
        </is>
      </c>
      <c r="F1322" t="inlineStr">
        <is>
          <t>PRY-007</t>
        </is>
      </c>
      <c r="G1322" t="inlineStr">
        <is>
          <t>Referido</t>
        </is>
      </c>
      <c r="H1322" t="inlineStr">
        <is>
          <t>Ana Quintero</t>
        </is>
      </c>
      <c r="I1322" t="inlineStr">
        <is>
          <t>Ganado</t>
        </is>
      </c>
      <c r="J1322" s="28" t="n">
        <v>45703</v>
      </c>
      <c r="K1322" s="28" t="n">
        <v>45826</v>
      </c>
      <c r="L1322" t="inlineStr">
        <is>
          <t>Compró Apto 802 en Mirador de Envigado</t>
        </is>
      </c>
    </row>
    <row r="1323">
      <c r="A1323" t="inlineStr">
        <is>
          <t>CLI-1321</t>
        </is>
      </c>
      <c r="B1323" t="inlineStr">
        <is>
          <t>Paula Ramírez Marín</t>
        </is>
      </c>
      <c r="C1323" t="inlineStr">
        <is>
          <t>3012175647</t>
        </is>
      </c>
      <c r="D1323" t="inlineStr">
        <is>
          <t>paula.ramirez85@hotmail.com</t>
        </is>
      </c>
      <c r="E1323" t="inlineStr">
        <is>
          <t>Medellín</t>
        </is>
      </c>
      <c r="F1323" t="inlineStr">
        <is>
          <t>PRY-001</t>
        </is>
      </c>
      <c r="G1323" t="inlineStr">
        <is>
          <t>Llamada directa</t>
        </is>
      </c>
      <c r="H1323" t="inlineStr">
        <is>
          <t>Daniela Ríos</t>
        </is>
      </c>
      <c r="I1323" t="inlineStr">
        <is>
          <t>Perdido</t>
        </is>
      </c>
      <c r="J1323" s="28" t="n">
        <v>45703</v>
      </c>
      <c r="K1323" s="28" t="n">
        <v>45717</v>
      </c>
      <c r="L1323" t="inlineStr">
        <is>
          <t>Datos de contacto errados</t>
        </is>
      </c>
    </row>
    <row r="1324">
      <c r="A1324" t="inlineStr">
        <is>
          <t>CLI-1322</t>
        </is>
      </c>
      <c r="B1324" t="inlineStr">
        <is>
          <t>Natalia López Duque</t>
        </is>
      </c>
      <c r="C1324" t="inlineStr">
        <is>
          <t>3175945569</t>
        </is>
      </c>
      <c r="D1324" t="inlineStr">
        <is>
          <t>natalia.lopez95@yahoo.com</t>
        </is>
      </c>
      <c r="E1324" t="inlineStr">
        <is>
          <t>Medellín</t>
        </is>
      </c>
      <c r="F1324" t="inlineStr">
        <is>
          <t>PRY-004</t>
        </is>
      </c>
      <c r="G1324" t="inlineStr">
        <is>
          <t>Portal Web</t>
        </is>
      </c>
      <c r="H1324" t="inlineStr">
        <is>
          <t>Paula Arenas</t>
        </is>
      </c>
      <c r="I1324" t="inlineStr">
        <is>
          <t>Perdido</t>
        </is>
      </c>
      <c r="J1324" s="28" t="n">
        <v>45703</v>
      </c>
      <c r="K1324" s="28" t="n">
        <v>45712</v>
      </c>
      <c r="L1324" t="inlineStr">
        <is>
          <t>Presupuesto insuficiente</t>
        </is>
      </c>
    </row>
    <row r="1325">
      <c r="A1325" t="inlineStr">
        <is>
          <t>CLI-1323</t>
        </is>
      </c>
      <c r="B1325" t="inlineStr">
        <is>
          <t>Andrés Higuita Rojas</t>
        </is>
      </c>
      <c r="C1325" t="inlineStr">
        <is>
          <t>3234279009</t>
        </is>
      </c>
      <c r="D1325" t="inlineStr">
        <is>
          <t>andres.higuita90@yahoo.com</t>
        </is>
      </c>
      <c r="E1325" t="inlineStr">
        <is>
          <t>Medellín</t>
        </is>
      </c>
      <c r="F1325" t="inlineStr">
        <is>
          <t>PRY-001</t>
        </is>
      </c>
      <c r="G1325" t="inlineStr">
        <is>
          <t>Facebook</t>
        </is>
      </c>
      <c r="H1325" t="inlineStr">
        <is>
          <t>Miguel Salazar</t>
        </is>
      </c>
      <c r="I1325" t="inlineStr">
        <is>
          <t>Perdido</t>
        </is>
      </c>
      <c r="J1325" s="28" t="n">
        <v>45703</v>
      </c>
      <c r="K1325" s="28" t="n">
        <v>45708</v>
      </c>
      <c r="L1325" t="inlineStr">
        <is>
          <t>Presupuesto insuficiente</t>
        </is>
      </c>
    </row>
    <row r="1326">
      <c r="A1326" t="inlineStr">
        <is>
          <t>CLI-1324</t>
        </is>
      </c>
      <c r="B1326" t="inlineStr">
        <is>
          <t>Diana Uribe Zuluaga</t>
        </is>
      </c>
      <c r="C1326" t="inlineStr">
        <is>
          <t>3149043499</t>
        </is>
      </c>
      <c r="D1326" t="inlineStr">
        <is>
          <t>diana.uribe24@outlook.com</t>
        </is>
      </c>
      <c r="E1326" t="inlineStr">
        <is>
          <t>Envigado</t>
        </is>
      </c>
      <c r="F1326" t="inlineStr">
        <is>
          <t>PRY-007</t>
        </is>
      </c>
      <c r="G1326" t="inlineStr">
        <is>
          <t>Feria Inmobiliaria</t>
        </is>
      </c>
      <c r="H1326" t="inlineStr">
        <is>
          <t>Sofía Prada</t>
        </is>
      </c>
      <c r="I1326" t="inlineStr">
        <is>
          <t>Ganado</t>
        </is>
      </c>
      <c r="J1326" s="28" t="n">
        <v>45704</v>
      </c>
      <c r="K1326" s="28" t="n">
        <v>45786</v>
      </c>
      <c r="L1326" t="inlineStr">
        <is>
          <t>Compró Apto 904 en Mirador de Envigado</t>
        </is>
      </c>
    </row>
    <row r="1327">
      <c r="A1327" t="inlineStr">
        <is>
          <t>CLI-1325</t>
        </is>
      </c>
      <c r="B1327" t="inlineStr">
        <is>
          <t>Jorge Henao Sánchez</t>
        </is>
      </c>
      <c r="C1327" t="inlineStr">
        <is>
          <t>3201170839</t>
        </is>
      </c>
      <c r="D1327" t="inlineStr">
        <is>
          <t>jorge.henao33@outlook.com</t>
        </is>
      </c>
      <c r="E1327" t="inlineStr">
        <is>
          <t>Itagüí</t>
        </is>
      </c>
      <c r="F1327" t="inlineStr">
        <is>
          <t>PRY-003</t>
        </is>
      </c>
      <c r="G1327" t="inlineStr">
        <is>
          <t>Referido</t>
        </is>
      </c>
      <c r="H1327" t="inlineStr">
        <is>
          <t>Miguel Salazar</t>
        </is>
      </c>
      <c r="I1327" t="inlineStr">
        <is>
          <t>Ganado</t>
        </is>
      </c>
      <c r="J1327" s="28" t="n">
        <v>45704</v>
      </c>
      <c r="K1327" s="28" t="n">
        <v>45819</v>
      </c>
      <c r="L1327" t="inlineStr">
        <is>
          <t>Compró Apto 2101 en Conecta Laureles</t>
        </is>
      </c>
    </row>
    <row r="1328">
      <c r="A1328" t="inlineStr">
        <is>
          <t>CLI-1326</t>
        </is>
      </c>
      <c r="B1328" t="inlineStr">
        <is>
          <t>Gloria Álvarez Valencia</t>
        </is>
      </c>
      <c r="C1328" t="inlineStr">
        <is>
          <t>3221400506</t>
        </is>
      </c>
      <c r="D1328" t="inlineStr">
        <is>
          <t>gloria.alvarez42@hotmail.com</t>
        </is>
      </c>
      <c r="E1328" t="inlineStr">
        <is>
          <t>La Estrella</t>
        </is>
      </c>
      <c r="F1328" t="inlineStr">
        <is>
          <t>PRY-001</t>
        </is>
      </c>
      <c r="G1328" t="inlineStr">
        <is>
          <t>Portal Web</t>
        </is>
      </c>
      <c r="H1328" t="inlineStr">
        <is>
          <t>Miguel Salazar</t>
        </is>
      </c>
      <c r="I1328" t="inlineStr">
        <is>
          <t>Perdido</t>
        </is>
      </c>
      <c r="J1328" s="28" t="n">
        <v>45704</v>
      </c>
      <c r="K1328" s="28" t="n">
        <v>45710</v>
      </c>
      <c r="L1328" t="inlineStr">
        <is>
          <t>Buscaba arriendo, no compra</t>
        </is>
      </c>
    </row>
    <row r="1329">
      <c r="A1329" t="inlineStr">
        <is>
          <t>CLI-1327</t>
        </is>
      </c>
      <c r="B1329" t="inlineStr">
        <is>
          <t>Lorena Cardona Valencia</t>
        </is>
      </c>
      <c r="C1329" t="inlineStr">
        <is>
          <t>3228177391</t>
        </is>
      </c>
      <c r="D1329" t="inlineStr">
        <is>
          <t>lorena.cardona39@outlook.com</t>
        </is>
      </c>
      <c r="E1329" t="inlineStr">
        <is>
          <t>Medellín</t>
        </is>
      </c>
      <c r="F1329" t="inlineStr">
        <is>
          <t>PRY-003</t>
        </is>
      </c>
      <c r="G1329" t="inlineStr">
        <is>
          <t>Portal Web</t>
        </is>
      </c>
      <c r="H1329" t="inlineStr">
        <is>
          <t>Juliana Vélez</t>
        </is>
      </c>
      <c r="I1329" t="inlineStr">
        <is>
          <t>Perdido</t>
        </is>
      </c>
      <c r="J1329" s="28" t="n">
        <v>45704</v>
      </c>
      <c r="K1329" s="28" t="n">
        <v>45734</v>
      </c>
      <c r="L1329" t="inlineStr">
        <is>
          <t>No calificó para crédito</t>
        </is>
      </c>
    </row>
    <row r="1330">
      <c r="A1330" t="inlineStr">
        <is>
          <t>CLI-1328</t>
        </is>
      </c>
      <c r="B1330" t="inlineStr">
        <is>
          <t>Sara Valencia Echeverri</t>
        </is>
      </c>
      <c r="C1330" t="inlineStr">
        <is>
          <t>3004654656</t>
        </is>
      </c>
      <c r="D1330" t="inlineStr">
        <is>
          <t>sara.valencia29@hotmail.com</t>
        </is>
      </c>
      <c r="E1330" t="inlineStr">
        <is>
          <t>Medellín</t>
        </is>
      </c>
      <c r="F1330" t="inlineStr">
        <is>
          <t>PRY-001</t>
        </is>
      </c>
      <c r="G1330" t="inlineStr">
        <is>
          <t>Referido</t>
        </is>
      </c>
      <c r="H1330" t="inlineStr">
        <is>
          <t>Andrés Torres</t>
        </is>
      </c>
      <c r="I1330" t="inlineStr">
        <is>
          <t>Perdido</t>
        </is>
      </c>
      <c r="J1330" s="28" t="n">
        <v>45704</v>
      </c>
      <c r="K1330" s="28" t="n">
        <v>45727</v>
      </c>
      <c r="L1330" t="inlineStr">
        <is>
          <t>Buscaba arriendo, no compra</t>
        </is>
      </c>
    </row>
    <row r="1331">
      <c r="A1331" t="inlineStr">
        <is>
          <t>CLI-1329</t>
        </is>
      </c>
      <c r="B1331" t="inlineStr">
        <is>
          <t>Valeria Ochoa Giraldo</t>
        </is>
      </c>
      <c r="C1331" t="inlineStr">
        <is>
          <t>3221968405</t>
        </is>
      </c>
      <c r="D1331" t="inlineStr">
        <is>
          <t>valeria.ochoa26@gmail.com</t>
        </is>
      </c>
      <c r="E1331" t="inlineStr">
        <is>
          <t>Rionegro</t>
        </is>
      </c>
      <c r="F1331" t="inlineStr">
        <is>
          <t>PRY-002</t>
        </is>
      </c>
      <c r="G1331" t="inlineStr">
        <is>
          <t>Facebook</t>
        </is>
      </c>
      <c r="H1331" t="inlineStr">
        <is>
          <t>Paula Arenas</t>
        </is>
      </c>
      <c r="I1331" t="inlineStr">
        <is>
          <t>Perdido</t>
        </is>
      </c>
      <c r="J1331" s="28" t="n">
        <v>45704</v>
      </c>
      <c r="K1331" s="28" t="n">
        <v>45712</v>
      </c>
      <c r="L1331" t="inlineStr">
        <is>
          <t>Sin respuesta tras 3 contactos</t>
        </is>
      </c>
    </row>
    <row r="1332">
      <c r="A1332" t="inlineStr">
        <is>
          <t>CLI-1330</t>
        </is>
      </c>
      <c r="B1332" t="inlineStr">
        <is>
          <t>David Henao Cardona</t>
        </is>
      </c>
      <c r="C1332" t="inlineStr">
        <is>
          <t>3006522340</t>
        </is>
      </c>
      <c r="D1332" t="inlineStr">
        <is>
          <t>david.henao64@gmail.com</t>
        </is>
      </c>
      <c r="E1332" t="inlineStr">
        <is>
          <t>La Estrella</t>
        </is>
      </c>
      <c r="F1332" t="inlineStr">
        <is>
          <t>PRY-005</t>
        </is>
      </c>
      <c r="G1332" t="inlineStr">
        <is>
          <t>Portal Web</t>
        </is>
      </c>
      <c r="H1332" t="inlineStr">
        <is>
          <t>Luis Bedoya</t>
        </is>
      </c>
      <c r="I1332" t="inlineStr">
        <is>
          <t>Perdido</t>
        </is>
      </c>
      <c r="J1332" s="28" t="n">
        <v>45705</v>
      </c>
      <c r="K1332" s="28" t="n">
        <v>45813</v>
      </c>
      <c r="L1332" t="inlineStr">
        <is>
          <t>Eligió otro proyecto</t>
        </is>
      </c>
    </row>
    <row r="1333">
      <c r="A1333" t="inlineStr">
        <is>
          <t>CLI-1331</t>
        </is>
      </c>
      <c r="B1333" t="inlineStr">
        <is>
          <t>David Zapata Espinosa</t>
        </is>
      </c>
      <c r="C1333" t="inlineStr">
        <is>
          <t>3134862131</t>
        </is>
      </c>
      <c r="D1333" t="inlineStr">
        <is>
          <t>david.zapata69@hotmail.com</t>
        </is>
      </c>
      <c r="E1333" t="inlineStr">
        <is>
          <t>Envigado</t>
        </is>
      </c>
      <c r="F1333" t="inlineStr">
        <is>
          <t>PRY-007</t>
        </is>
      </c>
      <c r="G1333" t="inlineStr">
        <is>
          <t>Portal Web</t>
        </is>
      </c>
      <c r="H1333" t="inlineStr">
        <is>
          <t>Sofía Prada</t>
        </is>
      </c>
      <c r="I1333" t="inlineStr">
        <is>
          <t>Perdido</t>
        </is>
      </c>
      <c r="J1333" s="28" t="n">
        <v>45705</v>
      </c>
      <c r="K1333" s="28" t="n">
        <v>45710</v>
      </c>
      <c r="L1333" t="inlineStr">
        <is>
          <t>Presupuesto insuficiente</t>
        </is>
      </c>
    </row>
    <row r="1334">
      <c r="A1334" t="inlineStr">
        <is>
          <t>CLI-1332</t>
        </is>
      </c>
      <c r="B1334" t="inlineStr">
        <is>
          <t>Camila Castaño Henao</t>
        </is>
      </c>
      <c r="C1334" t="inlineStr">
        <is>
          <t>3202769195</t>
        </is>
      </c>
      <c r="D1334" t="inlineStr">
        <is>
          <t>camila.castano16@outlook.com</t>
        </is>
      </c>
      <c r="E1334" t="inlineStr">
        <is>
          <t>Itagüí</t>
        </is>
      </c>
      <c r="F1334" t="inlineStr">
        <is>
          <t>PRY-008</t>
        </is>
      </c>
      <c r="G1334" t="inlineStr">
        <is>
          <t>Instagram</t>
        </is>
      </c>
      <c r="H1334" t="inlineStr">
        <is>
          <t>Sofía Prada</t>
        </is>
      </c>
      <c r="I1334" t="inlineStr">
        <is>
          <t>Ganado</t>
        </is>
      </c>
      <c r="J1334" s="28" t="n">
        <v>45706</v>
      </c>
      <c r="K1334" s="28" t="n">
        <v>45805</v>
      </c>
      <c r="L1334" t="inlineStr">
        <is>
          <t>Compró Casa 89 en Valle Verde Itagüí</t>
        </is>
      </c>
    </row>
    <row r="1335">
      <c r="A1335" t="inlineStr">
        <is>
          <t>CLI-1333</t>
        </is>
      </c>
      <c r="B1335" t="inlineStr">
        <is>
          <t>Alejandra López Londoño</t>
        </is>
      </c>
      <c r="C1335" t="inlineStr">
        <is>
          <t>3015541543</t>
        </is>
      </c>
      <c r="D1335" t="inlineStr">
        <is>
          <t>alejandra.lopez82@outlook.com</t>
        </is>
      </c>
      <c r="E1335" t="inlineStr">
        <is>
          <t>La Estrella</t>
        </is>
      </c>
      <c r="F1335" t="inlineStr">
        <is>
          <t>PRY-007</t>
        </is>
      </c>
      <c r="G1335" t="inlineStr">
        <is>
          <t>Instagram</t>
        </is>
      </c>
      <c r="H1335" t="inlineStr">
        <is>
          <t>Sofía Prada</t>
        </is>
      </c>
      <c r="I1335" t="inlineStr">
        <is>
          <t>Perdido</t>
        </is>
      </c>
      <c r="J1335" s="28" t="n">
        <v>45706</v>
      </c>
      <c r="K1335" s="28" t="n">
        <v>45723</v>
      </c>
      <c r="L1335" t="inlineStr">
        <is>
          <t>Sin respuesta tras 3 contactos</t>
        </is>
      </c>
    </row>
    <row r="1336">
      <c r="A1336" t="inlineStr">
        <is>
          <t>CLI-1334</t>
        </is>
      </c>
      <c r="B1336" t="inlineStr">
        <is>
          <t>Ximena Betancur Mejía</t>
        </is>
      </c>
      <c r="C1336" t="inlineStr">
        <is>
          <t>3239654892</t>
        </is>
      </c>
      <c r="D1336" t="inlineStr">
        <is>
          <t>ximena.betancur33@outlook.com</t>
        </is>
      </c>
      <c r="E1336" t="inlineStr">
        <is>
          <t>Itagüí</t>
        </is>
      </c>
      <c r="F1336" t="inlineStr">
        <is>
          <t>PRY-008</t>
        </is>
      </c>
      <c r="G1336" t="inlineStr">
        <is>
          <t>Instagram</t>
        </is>
      </c>
      <c r="H1336" t="inlineStr">
        <is>
          <t>Luis Bedoya</t>
        </is>
      </c>
      <c r="I1336" t="inlineStr">
        <is>
          <t>Perdido</t>
        </is>
      </c>
      <c r="J1336" s="28" t="n">
        <v>45707</v>
      </c>
      <c r="K1336" s="28" t="n">
        <v>45783</v>
      </c>
      <c r="L1336" t="inlineStr">
        <is>
          <t>Precio fuera de presupuesto</t>
        </is>
      </c>
    </row>
    <row r="1337">
      <c r="A1337" t="inlineStr">
        <is>
          <t>CLI-1335</t>
        </is>
      </c>
      <c r="B1337" t="inlineStr">
        <is>
          <t>David Correa Toro</t>
        </is>
      </c>
      <c r="C1337" t="inlineStr">
        <is>
          <t>3146450892</t>
        </is>
      </c>
      <c r="D1337" t="inlineStr">
        <is>
          <t>david.correa92@outlook.com</t>
        </is>
      </c>
      <c r="E1337" t="inlineStr">
        <is>
          <t>Medellín</t>
        </is>
      </c>
      <c r="F1337" t="inlineStr">
        <is>
          <t>PRY-001</t>
        </is>
      </c>
      <c r="G1337" t="inlineStr">
        <is>
          <t>Portal Web</t>
        </is>
      </c>
      <c r="H1337" t="inlineStr">
        <is>
          <t>Sofía Prada</t>
        </is>
      </c>
      <c r="I1337" t="inlineStr">
        <is>
          <t>Ganado</t>
        </is>
      </c>
      <c r="J1337" s="28" t="n">
        <v>45707</v>
      </c>
      <c r="K1337" s="28" t="n">
        <v>45826</v>
      </c>
      <c r="L1337" t="inlineStr">
        <is>
          <t>Compró Apto 1704 en Torres del Poblado</t>
        </is>
      </c>
    </row>
    <row r="1338">
      <c r="A1338" t="inlineStr">
        <is>
          <t>CLI-1336</t>
        </is>
      </c>
      <c r="B1338" t="inlineStr">
        <is>
          <t>Mauricio Cardona Higuita</t>
        </is>
      </c>
      <c r="C1338" t="inlineStr">
        <is>
          <t>3006278507</t>
        </is>
      </c>
      <c r="D1338" t="inlineStr">
        <is>
          <t>mauricio.cardona18@gmail.com</t>
        </is>
      </c>
      <c r="E1338" t="inlineStr">
        <is>
          <t>Itagüí</t>
        </is>
      </c>
      <c r="F1338" t="inlineStr">
        <is>
          <t>PRY-007</t>
        </is>
      </c>
      <c r="G1338" t="inlineStr">
        <is>
          <t>Referido</t>
        </is>
      </c>
      <c r="H1338" t="inlineStr">
        <is>
          <t>Juliana Vélez</t>
        </is>
      </c>
      <c r="I1338" t="inlineStr">
        <is>
          <t>Ganado</t>
        </is>
      </c>
      <c r="J1338" s="28" t="n">
        <v>45707</v>
      </c>
      <c r="K1338" s="28" t="n">
        <v>45854</v>
      </c>
      <c r="L1338" t="inlineStr">
        <is>
          <t>Compró Apto 805 en Mirador de Envigado</t>
        </is>
      </c>
    </row>
    <row r="1339">
      <c r="A1339" t="inlineStr">
        <is>
          <t>CLI-1337</t>
        </is>
      </c>
      <c r="B1339" t="inlineStr">
        <is>
          <t>Alejandro Sánchez Uribe</t>
        </is>
      </c>
      <c r="C1339" t="inlineStr">
        <is>
          <t>3234825654</t>
        </is>
      </c>
      <c r="D1339" t="inlineStr">
        <is>
          <t>alejandro.sanchez73@outlook.com</t>
        </is>
      </c>
      <c r="E1339" t="inlineStr">
        <is>
          <t>La Estrella</t>
        </is>
      </c>
      <c r="F1339" t="inlineStr">
        <is>
          <t>PRY-001</t>
        </is>
      </c>
      <c r="G1339" t="inlineStr">
        <is>
          <t>Portal Web</t>
        </is>
      </c>
      <c r="H1339" t="inlineStr">
        <is>
          <t>Luis Bedoya</t>
        </is>
      </c>
      <c r="I1339" t="inlineStr">
        <is>
          <t>Ganado</t>
        </is>
      </c>
      <c r="J1339" s="28" t="n">
        <v>45707</v>
      </c>
      <c r="K1339" s="28" t="n">
        <v>45846</v>
      </c>
      <c r="L1339" t="inlineStr">
        <is>
          <t>Compró Apto 202 en Torres del Poblado</t>
        </is>
      </c>
    </row>
    <row r="1340">
      <c r="A1340" t="inlineStr">
        <is>
          <t>CLI-1338</t>
        </is>
      </c>
      <c r="B1340" t="inlineStr">
        <is>
          <t>Alejandra Ríos Duque</t>
        </is>
      </c>
      <c r="C1340" t="inlineStr">
        <is>
          <t>3006567796</t>
        </is>
      </c>
      <c r="D1340" t="inlineStr">
        <is>
          <t>alejandra.rios18@hotmail.com</t>
        </is>
      </c>
      <c r="E1340" t="inlineStr">
        <is>
          <t>Medellín</t>
        </is>
      </c>
      <c r="F1340" t="inlineStr">
        <is>
          <t>PRY-003</t>
        </is>
      </c>
      <c r="G1340" t="inlineStr">
        <is>
          <t>Llamada directa</t>
        </is>
      </c>
      <c r="H1340" t="inlineStr">
        <is>
          <t>Paula Arenas</t>
        </is>
      </c>
      <c r="I1340" t="inlineStr">
        <is>
          <t>Perdido</t>
        </is>
      </c>
      <c r="J1340" s="28" t="n">
        <v>45707</v>
      </c>
      <c r="K1340" s="28" t="n">
        <v>45729</v>
      </c>
      <c r="L1340" t="inlineStr">
        <is>
          <t>Sin respuesta tras 3 contactos</t>
        </is>
      </c>
    </row>
    <row r="1341">
      <c r="A1341" t="inlineStr">
        <is>
          <t>CLI-1339</t>
        </is>
      </c>
      <c r="B1341" t="inlineStr">
        <is>
          <t>Katherine Henao Zapata</t>
        </is>
      </c>
      <c r="C1341" t="inlineStr">
        <is>
          <t>3042505368</t>
        </is>
      </c>
      <c r="D1341" t="inlineStr">
        <is>
          <t>katherine.henao46@hotmail.com</t>
        </is>
      </c>
      <c r="E1341" t="inlineStr">
        <is>
          <t>Rionegro</t>
        </is>
      </c>
      <c r="F1341" t="inlineStr">
        <is>
          <t>PRY-005</t>
        </is>
      </c>
      <c r="G1341" t="inlineStr">
        <is>
          <t>Instagram</t>
        </is>
      </c>
      <c r="H1341" t="inlineStr">
        <is>
          <t>Daniela Ríos</t>
        </is>
      </c>
      <c r="I1341" t="inlineStr">
        <is>
          <t>Perdido</t>
        </is>
      </c>
      <c r="J1341" s="28" t="n">
        <v>45707</v>
      </c>
      <c r="K1341" s="28" t="n">
        <v>45730</v>
      </c>
      <c r="L1341" t="inlineStr">
        <is>
          <t>Sin respuesta tras 3 contactos</t>
        </is>
      </c>
    </row>
    <row r="1342">
      <c r="A1342" t="inlineStr">
        <is>
          <t>CLI-1340</t>
        </is>
      </c>
      <c r="B1342" t="inlineStr">
        <is>
          <t>Simón Zapata Cardona</t>
        </is>
      </c>
      <c r="C1342" t="inlineStr">
        <is>
          <t>3178769592</t>
        </is>
      </c>
      <c r="D1342" t="inlineStr">
        <is>
          <t>simon.zapata65@gmail.com</t>
        </is>
      </c>
      <c r="E1342" t="inlineStr">
        <is>
          <t>Itagüí</t>
        </is>
      </c>
      <c r="F1342" t="inlineStr">
        <is>
          <t>PRY-008</t>
        </is>
      </c>
      <c r="G1342" t="inlineStr">
        <is>
          <t>Referido</t>
        </is>
      </c>
      <c r="H1342" t="inlineStr">
        <is>
          <t>Ana Quintero</t>
        </is>
      </c>
      <c r="I1342" t="inlineStr">
        <is>
          <t>Ganado</t>
        </is>
      </c>
      <c r="J1342" s="28" t="n">
        <v>45708</v>
      </c>
      <c r="K1342" s="28" t="n">
        <v>45783</v>
      </c>
      <c r="L1342" t="inlineStr">
        <is>
          <t>Compró Casa 83 en Valle Verde Itagüí</t>
        </is>
      </c>
    </row>
    <row r="1343">
      <c r="A1343" t="inlineStr">
        <is>
          <t>CLI-1341</t>
        </is>
      </c>
      <c r="B1343" t="inlineStr">
        <is>
          <t>Daniela Montes Zapata</t>
        </is>
      </c>
      <c r="C1343" t="inlineStr">
        <is>
          <t>3245900230</t>
        </is>
      </c>
      <c r="D1343" t="inlineStr">
        <is>
          <t>daniela.montes29@outlook.com</t>
        </is>
      </c>
      <c r="E1343" t="inlineStr">
        <is>
          <t>Envigado</t>
        </is>
      </c>
      <c r="F1343" t="inlineStr">
        <is>
          <t>PRY-007</t>
        </is>
      </c>
      <c r="G1343" t="inlineStr">
        <is>
          <t>Instagram</t>
        </is>
      </c>
      <c r="H1343" t="inlineStr">
        <is>
          <t>Daniela Ríos</t>
        </is>
      </c>
      <c r="I1343" t="inlineStr">
        <is>
          <t>Perdido</t>
        </is>
      </c>
      <c r="J1343" s="28" t="n">
        <v>45708</v>
      </c>
      <c r="K1343" s="28" t="n">
        <v>45729</v>
      </c>
      <c r="L1343" t="inlineStr">
        <is>
          <t>Sin respuesta tras 3 contactos</t>
        </is>
      </c>
    </row>
    <row r="1344">
      <c r="A1344" t="inlineStr">
        <is>
          <t>CLI-1342</t>
        </is>
      </c>
      <c r="B1344" t="inlineStr">
        <is>
          <t>Katherine Montoya Ochoa</t>
        </is>
      </c>
      <c r="C1344" t="inlineStr">
        <is>
          <t>3014700479</t>
        </is>
      </c>
      <c r="D1344" t="inlineStr">
        <is>
          <t>katherine.montoya15@outlook.com</t>
        </is>
      </c>
      <c r="E1344" t="inlineStr">
        <is>
          <t>Medellín</t>
        </is>
      </c>
      <c r="F1344" t="inlineStr">
        <is>
          <t>PRY-004</t>
        </is>
      </c>
      <c r="G1344" t="inlineStr">
        <is>
          <t>Facebook</t>
        </is>
      </c>
      <c r="H1344" t="inlineStr">
        <is>
          <t>Luis Bedoya</t>
        </is>
      </c>
      <c r="I1344" t="inlineStr">
        <is>
          <t>Perdido</t>
        </is>
      </c>
      <c r="J1344" s="28" t="n">
        <v>45708</v>
      </c>
      <c r="K1344" s="28" t="n">
        <v>45720</v>
      </c>
      <c r="L1344" t="inlineStr">
        <is>
          <t>No calificó para crédito</t>
        </is>
      </c>
    </row>
    <row r="1345">
      <c r="A1345" t="inlineStr">
        <is>
          <t>CLI-1343</t>
        </is>
      </c>
      <c r="B1345" t="inlineStr">
        <is>
          <t>Rodrigo Cifuentes Montoya</t>
        </is>
      </c>
      <c r="C1345" t="inlineStr">
        <is>
          <t>3016332198</t>
        </is>
      </c>
      <c r="D1345" t="inlineStr">
        <is>
          <t>rodrigo.cifuentes81@outlook.com</t>
        </is>
      </c>
      <c r="E1345" t="inlineStr">
        <is>
          <t>Medellín</t>
        </is>
      </c>
      <c r="F1345" t="inlineStr">
        <is>
          <t>PRY-007</t>
        </is>
      </c>
      <c r="G1345" t="inlineStr">
        <is>
          <t>Portal Web</t>
        </is>
      </c>
      <c r="H1345" t="inlineStr">
        <is>
          <t>Luis Bedoya</t>
        </is>
      </c>
      <c r="I1345" t="inlineStr">
        <is>
          <t>Perdido</t>
        </is>
      </c>
      <c r="J1345" s="28" t="n">
        <v>45708</v>
      </c>
      <c r="K1345" s="28" t="n">
        <v>45726</v>
      </c>
      <c r="L1345" t="inlineStr">
        <is>
          <t>Buscaba arriendo, no compra</t>
        </is>
      </c>
    </row>
    <row r="1346">
      <c r="A1346" t="inlineStr">
        <is>
          <t>CLI-1344</t>
        </is>
      </c>
      <c r="B1346" t="inlineStr">
        <is>
          <t>Tomás Zapata Salcedo</t>
        </is>
      </c>
      <c r="C1346" t="inlineStr">
        <is>
          <t>3206977279</t>
        </is>
      </c>
      <c r="D1346" t="inlineStr">
        <is>
          <t>tomas.zapata45@hotmail.com</t>
        </is>
      </c>
      <c r="E1346" t="inlineStr">
        <is>
          <t>Rionegro</t>
        </is>
      </c>
      <c r="F1346" t="inlineStr">
        <is>
          <t>PRY-008</t>
        </is>
      </c>
      <c r="G1346" t="inlineStr">
        <is>
          <t>Referido</t>
        </is>
      </c>
      <c r="H1346" t="inlineStr">
        <is>
          <t>Juliana Vélez</t>
        </is>
      </c>
      <c r="I1346" t="inlineStr">
        <is>
          <t>Ganado</t>
        </is>
      </c>
      <c r="J1346" s="28" t="n">
        <v>45709</v>
      </c>
      <c r="K1346" s="28" t="n">
        <v>45796</v>
      </c>
      <c r="L1346" t="inlineStr">
        <is>
          <t>Compró Casa 10 en Valle Verde Itagüí</t>
        </is>
      </c>
    </row>
    <row r="1347">
      <c r="A1347" t="inlineStr">
        <is>
          <t>CLI-1345</t>
        </is>
      </c>
      <c r="B1347" t="inlineStr">
        <is>
          <t>Patricia Bedoya Castaño</t>
        </is>
      </c>
      <c r="C1347" t="inlineStr">
        <is>
          <t>3157114130</t>
        </is>
      </c>
      <c r="D1347" t="inlineStr">
        <is>
          <t>patricia.bedoya43@gmail.com</t>
        </is>
      </c>
      <c r="E1347" t="inlineStr">
        <is>
          <t>Sabaneta</t>
        </is>
      </c>
      <c r="F1347" t="inlineStr">
        <is>
          <t>PRY-002</t>
        </is>
      </c>
      <c r="G1347" t="inlineStr">
        <is>
          <t>Feria Inmobiliaria</t>
        </is>
      </c>
      <c r="H1347" t="inlineStr">
        <is>
          <t>Andrés Torres</t>
        </is>
      </c>
      <c r="I1347" t="inlineStr">
        <is>
          <t>Perdido</t>
        </is>
      </c>
      <c r="J1347" s="28" t="n">
        <v>45709</v>
      </c>
      <c r="K1347" s="28" t="n">
        <v>45732</v>
      </c>
      <c r="L1347" t="inlineStr">
        <is>
          <t>Buscaba arriendo, no compra</t>
        </is>
      </c>
    </row>
    <row r="1348">
      <c r="A1348" t="inlineStr">
        <is>
          <t>CLI-1346</t>
        </is>
      </c>
      <c r="B1348" t="inlineStr">
        <is>
          <t>Diego Gómez Salcedo</t>
        </is>
      </c>
      <c r="C1348" t="inlineStr">
        <is>
          <t>3049267508</t>
        </is>
      </c>
      <c r="D1348" t="inlineStr">
        <is>
          <t>diego.gomez9@gmail.com</t>
        </is>
      </c>
      <c r="E1348" t="inlineStr">
        <is>
          <t>Medellín</t>
        </is>
      </c>
      <c r="F1348" t="inlineStr">
        <is>
          <t>PRY-003</t>
        </is>
      </c>
      <c r="G1348" t="inlineStr">
        <is>
          <t>Portal Web</t>
        </is>
      </c>
      <c r="H1348" t="inlineStr">
        <is>
          <t>Paula Arenas</t>
        </is>
      </c>
      <c r="I1348" t="inlineStr">
        <is>
          <t>Ganado</t>
        </is>
      </c>
      <c r="J1348" s="28" t="n">
        <v>45710</v>
      </c>
      <c r="K1348" s="28" t="n">
        <v>45782</v>
      </c>
      <c r="L1348" t="inlineStr">
        <is>
          <t>Compró Apto 1008 en Conecta Laureles</t>
        </is>
      </c>
    </row>
    <row r="1349">
      <c r="A1349" t="inlineStr">
        <is>
          <t>CLI-1347</t>
        </is>
      </c>
      <c r="B1349" t="inlineStr">
        <is>
          <t>Isabel Jaramillo López</t>
        </is>
      </c>
      <c r="C1349" t="inlineStr">
        <is>
          <t>3234089941</t>
        </is>
      </c>
      <c r="D1349" t="inlineStr">
        <is>
          <t>isabel.jaramillo15@gmail.com</t>
        </is>
      </c>
      <c r="E1349" t="inlineStr">
        <is>
          <t>Medellín</t>
        </is>
      </c>
      <c r="F1349" t="inlineStr">
        <is>
          <t>PRY-003</t>
        </is>
      </c>
      <c r="G1349" t="inlineStr">
        <is>
          <t>Feria Inmobiliaria</t>
        </is>
      </c>
      <c r="H1349" t="inlineStr">
        <is>
          <t>Andrés Torres</t>
        </is>
      </c>
      <c r="I1349" t="inlineStr">
        <is>
          <t>Perdido</t>
        </is>
      </c>
      <c r="J1349" s="28" t="n">
        <v>45710</v>
      </c>
      <c r="K1349" s="28" t="n">
        <v>45772</v>
      </c>
      <c r="L1349" t="inlineStr">
        <is>
          <t>Eligió otro proyecto</t>
        </is>
      </c>
    </row>
    <row r="1350">
      <c r="A1350" t="inlineStr">
        <is>
          <t>CLI-1348</t>
        </is>
      </c>
      <c r="B1350" t="inlineStr">
        <is>
          <t>Mónica Ríos Mejía</t>
        </is>
      </c>
      <c r="C1350" t="inlineStr">
        <is>
          <t>3223494462</t>
        </is>
      </c>
      <c r="D1350" t="inlineStr">
        <is>
          <t>monica.rios22@outlook.com</t>
        </is>
      </c>
      <c r="E1350" t="inlineStr">
        <is>
          <t>Envigado</t>
        </is>
      </c>
      <c r="F1350" t="inlineStr">
        <is>
          <t>PRY-005</t>
        </is>
      </c>
      <c r="G1350" t="inlineStr">
        <is>
          <t>Portal Web</t>
        </is>
      </c>
      <c r="H1350" t="inlineStr">
        <is>
          <t>Andrés Torres</t>
        </is>
      </c>
      <c r="I1350" t="inlineStr">
        <is>
          <t>Perdido</t>
        </is>
      </c>
      <c r="J1350" s="28" t="n">
        <v>45710</v>
      </c>
      <c r="K1350" s="28" t="n">
        <v>45738</v>
      </c>
      <c r="L1350" t="inlineStr">
        <is>
          <t>Buscaba arriendo, no compra</t>
        </is>
      </c>
    </row>
    <row r="1351">
      <c r="A1351" t="inlineStr">
        <is>
          <t>CLI-1349</t>
        </is>
      </c>
      <c r="B1351" t="inlineStr">
        <is>
          <t>Isabel Osorio Muñoz</t>
        </is>
      </c>
      <c r="C1351" t="inlineStr">
        <is>
          <t>3153838191</t>
        </is>
      </c>
      <c r="D1351" t="inlineStr">
        <is>
          <t>isabel.osorio43@yahoo.com</t>
        </is>
      </c>
      <c r="E1351" t="inlineStr">
        <is>
          <t>Medellín</t>
        </is>
      </c>
      <c r="F1351" t="inlineStr">
        <is>
          <t>PRY-004</t>
        </is>
      </c>
      <c r="G1351" t="inlineStr">
        <is>
          <t>Feria Inmobiliaria</t>
        </is>
      </c>
      <c r="H1351" t="inlineStr">
        <is>
          <t>Paula Arenas</t>
        </is>
      </c>
      <c r="I1351" t="inlineStr">
        <is>
          <t>Perdido</t>
        </is>
      </c>
      <c r="J1351" s="28" t="n">
        <v>45710</v>
      </c>
      <c r="K1351" s="28" t="n">
        <v>45726</v>
      </c>
      <c r="L1351" t="inlineStr">
        <is>
          <t>Sin respuesta tras 3 contactos</t>
        </is>
      </c>
    </row>
    <row r="1352">
      <c r="A1352" t="inlineStr">
        <is>
          <t>CLI-1350</t>
        </is>
      </c>
      <c r="B1352" t="inlineStr">
        <is>
          <t>Juan Pablo Escobar Zuluaga</t>
        </is>
      </c>
      <c r="C1352" t="inlineStr">
        <is>
          <t>3141251873</t>
        </is>
      </c>
      <c r="D1352" t="inlineStr">
        <is>
          <t>juan.escobar45@yahoo.com</t>
        </is>
      </c>
      <c r="E1352" t="inlineStr">
        <is>
          <t>Envigado</t>
        </is>
      </c>
      <c r="F1352" t="inlineStr">
        <is>
          <t>PRY-007</t>
        </is>
      </c>
      <c r="G1352" t="inlineStr">
        <is>
          <t>Portal Web</t>
        </is>
      </c>
      <c r="H1352" t="inlineStr">
        <is>
          <t>Daniela Ríos</t>
        </is>
      </c>
      <c r="I1352" t="inlineStr">
        <is>
          <t>Perdido</t>
        </is>
      </c>
      <c r="J1352" s="28" t="n">
        <v>45710</v>
      </c>
      <c r="K1352" s="28" t="n">
        <v>45720</v>
      </c>
      <c r="L1352" t="inlineStr">
        <is>
          <t>Datos de contacto errados</t>
        </is>
      </c>
    </row>
    <row r="1353">
      <c r="A1353" t="inlineStr">
        <is>
          <t>CLI-1351</t>
        </is>
      </c>
      <c r="B1353" t="inlineStr">
        <is>
          <t>Daniel Hernández Hernández</t>
        </is>
      </c>
      <c r="C1353" t="inlineStr">
        <is>
          <t>3133957232</t>
        </is>
      </c>
      <c r="D1353" t="inlineStr">
        <is>
          <t>daniel.hernandez11@gmail.com</t>
        </is>
      </c>
      <c r="E1353" t="inlineStr">
        <is>
          <t>Medellín</t>
        </is>
      </c>
      <c r="F1353" t="inlineStr">
        <is>
          <t>PRY-001</t>
        </is>
      </c>
      <c r="G1353" t="inlineStr">
        <is>
          <t>Referido</t>
        </is>
      </c>
      <c r="H1353" t="inlineStr">
        <is>
          <t>Daniela Ríos</t>
        </is>
      </c>
      <c r="I1353" t="inlineStr">
        <is>
          <t>Perdido</t>
        </is>
      </c>
      <c r="J1353" s="28" t="n">
        <v>45712</v>
      </c>
      <c r="K1353" s="28" t="n">
        <v>45737</v>
      </c>
      <c r="L1353" t="inlineStr">
        <is>
          <t>Sin respuesta tras 3 contactos</t>
        </is>
      </c>
    </row>
    <row r="1354">
      <c r="A1354" t="inlineStr">
        <is>
          <t>CLI-1352</t>
        </is>
      </c>
      <c r="B1354" t="inlineStr">
        <is>
          <t>Ricardo Gómez Ramírez</t>
        </is>
      </c>
      <c r="C1354" t="inlineStr">
        <is>
          <t>3131535411</t>
        </is>
      </c>
      <c r="D1354" t="inlineStr">
        <is>
          <t>ricardo.gomez71@outlook.com</t>
        </is>
      </c>
      <c r="E1354" t="inlineStr">
        <is>
          <t>Medellín</t>
        </is>
      </c>
      <c r="F1354" t="inlineStr">
        <is>
          <t>PRY-001</t>
        </is>
      </c>
      <c r="G1354" t="inlineStr">
        <is>
          <t>Facebook</t>
        </is>
      </c>
      <c r="H1354" t="inlineStr">
        <is>
          <t>Sofía Prada</t>
        </is>
      </c>
      <c r="I1354" t="inlineStr">
        <is>
          <t>Perdido</t>
        </is>
      </c>
      <c r="J1354" s="28" t="n">
        <v>45712</v>
      </c>
      <c r="K1354" s="28" t="n">
        <v>45741</v>
      </c>
      <c r="L1354" t="inlineStr">
        <is>
          <t>Sin respuesta tras 3 contactos</t>
        </is>
      </c>
    </row>
    <row r="1355">
      <c r="A1355" t="inlineStr">
        <is>
          <t>CLI-1353</t>
        </is>
      </c>
      <c r="B1355" t="inlineStr">
        <is>
          <t>Verónica Betancur Londoño</t>
        </is>
      </c>
      <c r="C1355" t="inlineStr">
        <is>
          <t>3108622366</t>
        </is>
      </c>
      <c r="D1355" t="inlineStr">
        <is>
          <t>veronica.betancur73@outlook.com</t>
        </is>
      </c>
      <c r="E1355" t="inlineStr">
        <is>
          <t>Medellín</t>
        </is>
      </c>
      <c r="F1355" t="inlineStr">
        <is>
          <t>PRY-001</t>
        </is>
      </c>
      <c r="G1355" t="inlineStr">
        <is>
          <t>Portal Web</t>
        </is>
      </c>
      <c r="H1355" t="inlineStr">
        <is>
          <t>Ana Quintero</t>
        </is>
      </c>
      <c r="I1355" t="inlineStr">
        <is>
          <t>Perdido</t>
        </is>
      </c>
      <c r="J1355" s="28" t="n">
        <v>45712</v>
      </c>
      <c r="K1355" s="28" t="n">
        <v>45737</v>
      </c>
      <c r="L1355" t="inlineStr">
        <is>
          <t>Presupuesto insuficiente</t>
        </is>
      </c>
    </row>
    <row r="1356">
      <c r="A1356" t="inlineStr">
        <is>
          <t>CLI-1354</t>
        </is>
      </c>
      <c r="B1356" t="inlineStr">
        <is>
          <t>María Londoño Salazar</t>
        </is>
      </c>
      <c r="C1356" t="inlineStr">
        <is>
          <t>3157743260</t>
        </is>
      </c>
      <c r="D1356" t="inlineStr">
        <is>
          <t>maria.londono37@yahoo.com</t>
        </is>
      </c>
      <c r="E1356" t="inlineStr">
        <is>
          <t>Medellín</t>
        </is>
      </c>
      <c r="F1356" t="inlineStr">
        <is>
          <t>PRY-001</t>
        </is>
      </c>
      <c r="G1356" t="inlineStr">
        <is>
          <t>Feria Inmobiliaria</t>
        </is>
      </c>
      <c r="H1356" t="inlineStr">
        <is>
          <t>Juliana Vélez</t>
        </is>
      </c>
      <c r="I1356" t="inlineStr">
        <is>
          <t>Perdido</t>
        </is>
      </c>
      <c r="J1356" s="28" t="n">
        <v>45712</v>
      </c>
      <c r="K1356" s="28" t="n">
        <v>45722</v>
      </c>
      <c r="L1356" t="inlineStr">
        <is>
          <t>Buscaba arriendo, no compra</t>
        </is>
      </c>
    </row>
    <row r="1357">
      <c r="A1357" t="inlineStr">
        <is>
          <t>CLI-1355</t>
        </is>
      </c>
      <c r="B1357" t="inlineStr">
        <is>
          <t>Mauricio Quintero Montoya</t>
        </is>
      </c>
      <c r="C1357" t="inlineStr">
        <is>
          <t>3047780224</t>
        </is>
      </c>
      <c r="D1357" t="inlineStr">
        <is>
          <t>mauricio.quintero94@gmail.com</t>
        </is>
      </c>
      <c r="E1357" t="inlineStr">
        <is>
          <t>Envigado</t>
        </is>
      </c>
      <c r="F1357" t="inlineStr">
        <is>
          <t>PRY-003</t>
        </is>
      </c>
      <c r="G1357" t="inlineStr">
        <is>
          <t>Facebook</t>
        </is>
      </c>
      <c r="H1357" t="inlineStr">
        <is>
          <t>Andrés Torres</t>
        </is>
      </c>
      <c r="I1357" t="inlineStr">
        <is>
          <t>Perdido</t>
        </is>
      </c>
      <c r="J1357" s="28" t="n">
        <v>45712</v>
      </c>
      <c r="K1357" s="28" t="n">
        <v>45719</v>
      </c>
      <c r="L1357" t="inlineStr">
        <is>
          <t>Buscaba arriendo, no compra</t>
        </is>
      </c>
    </row>
    <row r="1358">
      <c r="A1358" t="inlineStr">
        <is>
          <t>CLI-1356</t>
        </is>
      </c>
      <c r="B1358" t="inlineStr">
        <is>
          <t>José Betancur Vélez</t>
        </is>
      </c>
      <c r="C1358" t="inlineStr">
        <is>
          <t>3134356816</t>
        </is>
      </c>
      <c r="D1358" t="inlineStr">
        <is>
          <t>jose.betancur56@outlook.com</t>
        </is>
      </c>
      <c r="E1358" t="inlineStr">
        <is>
          <t>Rionegro</t>
        </is>
      </c>
      <c r="F1358" t="inlineStr">
        <is>
          <t>PRY-005</t>
        </is>
      </c>
      <c r="G1358" t="inlineStr">
        <is>
          <t>Portal Web</t>
        </is>
      </c>
      <c r="H1358" t="inlineStr">
        <is>
          <t>Paula Arenas</t>
        </is>
      </c>
      <c r="I1358" t="inlineStr">
        <is>
          <t>Perdido</t>
        </is>
      </c>
      <c r="J1358" s="28" t="n">
        <v>45712</v>
      </c>
      <c r="K1358" s="28" t="n">
        <v>45742</v>
      </c>
      <c r="L1358" t="inlineStr">
        <is>
          <t>No calificó para crédito</t>
        </is>
      </c>
    </row>
    <row r="1359">
      <c r="A1359" t="inlineStr">
        <is>
          <t>CLI-1357</t>
        </is>
      </c>
      <c r="B1359" t="inlineStr">
        <is>
          <t>Carolina Escobar Valencia</t>
        </is>
      </c>
      <c r="C1359" t="inlineStr">
        <is>
          <t>3102629778</t>
        </is>
      </c>
      <c r="D1359" t="inlineStr">
        <is>
          <t>carolina.escobar10@gmail.com</t>
        </is>
      </c>
      <c r="E1359" t="inlineStr">
        <is>
          <t>La Estrella</t>
        </is>
      </c>
      <c r="F1359" t="inlineStr">
        <is>
          <t>PRY-005</t>
        </is>
      </c>
      <c r="G1359" t="inlineStr">
        <is>
          <t>Portal Web</t>
        </is>
      </c>
      <c r="H1359" t="inlineStr">
        <is>
          <t>Daniela Ríos</t>
        </is>
      </c>
      <c r="I1359" t="inlineStr">
        <is>
          <t>Perdido</t>
        </is>
      </c>
      <c r="J1359" s="28" t="n">
        <v>45712</v>
      </c>
      <c r="K1359" s="28" t="n">
        <v>45728</v>
      </c>
      <c r="L1359" t="inlineStr">
        <is>
          <t>Sin respuesta tras 3 contactos</t>
        </is>
      </c>
    </row>
    <row r="1360">
      <c r="A1360" t="inlineStr">
        <is>
          <t>CLI-1358</t>
        </is>
      </c>
      <c r="B1360" t="inlineStr">
        <is>
          <t>Sara Restrepo Marín</t>
        </is>
      </c>
      <c r="C1360" t="inlineStr">
        <is>
          <t>3147125533</t>
        </is>
      </c>
      <c r="D1360" t="inlineStr">
        <is>
          <t>sara.restrepo19@hotmail.com</t>
        </is>
      </c>
      <c r="E1360" t="inlineStr">
        <is>
          <t>La Estrella</t>
        </is>
      </c>
      <c r="F1360" t="inlineStr">
        <is>
          <t>PRY-007</t>
        </is>
      </c>
      <c r="G1360" t="inlineStr">
        <is>
          <t>Facebook</t>
        </is>
      </c>
      <c r="H1360" t="inlineStr">
        <is>
          <t>Daniela Ríos</t>
        </is>
      </c>
      <c r="I1360" t="inlineStr">
        <is>
          <t>Perdido</t>
        </is>
      </c>
      <c r="J1360" s="28" t="n">
        <v>45713</v>
      </c>
      <c r="K1360" s="28" t="n">
        <v>45734</v>
      </c>
      <c r="L1360" t="inlineStr">
        <is>
          <t>Datos de contacto errados</t>
        </is>
      </c>
    </row>
    <row r="1361">
      <c r="A1361" t="inlineStr">
        <is>
          <t>CLI-1359</t>
        </is>
      </c>
      <c r="B1361" t="inlineStr">
        <is>
          <t>Gloria Montes Cifuentes</t>
        </is>
      </c>
      <c r="C1361" t="inlineStr">
        <is>
          <t>3012317513</t>
        </is>
      </c>
      <c r="D1361" t="inlineStr">
        <is>
          <t>gloria.montes70@hotmail.com</t>
        </is>
      </c>
      <c r="E1361" t="inlineStr">
        <is>
          <t>Envigado</t>
        </is>
      </c>
      <c r="F1361" t="inlineStr">
        <is>
          <t>PRY-003</t>
        </is>
      </c>
      <c r="G1361" t="inlineStr">
        <is>
          <t>Feria Inmobiliaria</t>
        </is>
      </c>
      <c r="H1361" t="inlineStr">
        <is>
          <t>Miguel Salazar</t>
        </is>
      </c>
      <c r="I1361" t="inlineStr">
        <is>
          <t>Ganado</t>
        </is>
      </c>
      <c r="J1361" s="28" t="n">
        <v>45714</v>
      </c>
      <c r="K1361" s="28" t="n">
        <v>45832</v>
      </c>
      <c r="L1361" t="inlineStr">
        <is>
          <t>Compró Apto 308 en Conecta Laureles</t>
        </is>
      </c>
    </row>
    <row r="1362">
      <c r="A1362" t="inlineStr">
        <is>
          <t>CLI-1360</t>
        </is>
      </c>
      <c r="B1362" t="inlineStr">
        <is>
          <t>Emilio Rojas Montes</t>
        </is>
      </c>
      <c r="C1362" t="inlineStr">
        <is>
          <t>3234920696</t>
        </is>
      </c>
      <c r="D1362" t="inlineStr">
        <is>
          <t>emilio.rojas26@hotmail.com</t>
        </is>
      </c>
      <c r="E1362" t="inlineStr">
        <is>
          <t>Medellín</t>
        </is>
      </c>
      <c r="F1362" t="inlineStr">
        <is>
          <t>PRY-002</t>
        </is>
      </c>
      <c r="G1362" t="inlineStr">
        <is>
          <t>Facebook</t>
        </is>
      </c>
      <c r="H1362" t="inlineStr">
        <is>
          <t>Santiago Muñoz</t>
        </is>
      </c>
      <c r="I1362" t="inlineStr">
        <is>
          <t>Perdido</t>
        </is>
      </c>
      <c r="J1362" s="28" t="n">
        <v>45714</v>
      </c>
      <c r="K1362" s="28" t="n">
        <v>45735</v>
      </c>
      <c r="L1362" t="inlineStr">
        <is>
          <t>Buscaba arriendo, no compra</t>
        </is>
      </c>
    </row>
    <row r="1363">
      <c r="A1363" t="inlineStr">
        <is>
          <t>CLI-1361</t>
        </is>
      </c>
      <c r="B1363" t="inlineStr">
        <is>
          <t>Gloria Higuita Pérez</t>
        </is>
      </c>
      <c r="C1363" t="inlineStr">
        <is>
          <t>3159382181</t>
        </is>
      </c>
      <c r="D1363" t="inlineStr">
        <is>
          <t>gloria.higuita60@yahoo.com</t>
        </is>
      </c>
      <c r="E1363" t="inlineStr">
        <is>
          <t>Itagüí</t>
        </is>
      </c>
      <c r="F1363" t="inlineStr">
        <is>
          <t>PRY-008</t>
        </is>
      </c>
      <c r="G1363" t="inlineStr">
        <is>
          <t>Facebook</t>
        </is>
      </c>
      <c r="H1363" t="inlineStr">
        <is>
          <t>Miguel Salazar</t>
        </is>
      </c>
      <c r="I1363" t="inlineStr">
        <is>
          <t>Perdido</t>
        </is>
      </c>
      <c r="J1363" s="28" t="n">
        <v>45714</v>
      </c>
      <c r="K1363" s="28" t="n">
        <v>45722</v>
      </c>
      <c r="L1363" t="inlineStr">
        <is>
          <t>No calificó para crédito</t>
        </is>
      </c>
    </row>
    <row r="1364">
      <c r="A1364" t="inlineStr">
        <is>
          <t>CLI-1362</t>
        </is>
      </c>
      <c r="B1364" t="inlineStr">
        <is>
          <t>Patricia Escobar Cardona</t>
        </is>
      </c>
      <c r="C1364" t="inlineStr">
        <is>
          <t>3155805307</t>
        </is>
      </c>
      <c r="D1364" t="inlineStr">
        <is>
          <t>patricia.escobar55@yahoo.com</t>
        </is>
      </c>
      <c r="E1364" t="inlineStr">
        <is>
          <t>Envigado</t>
        </is>
      </c>
      <c r="F1364" t="inlineStr">
        <is>
          <t>PRY-007</t>
        </is>
      </c>
      <c r="G1364" t="inlineStr">
        <is>
          <t>Instagram</t>
        </is>
      </c>
      <c r="H1364" t="inlineStr">
        <is>
          <t>Paula Arenas</t>
        </is>
      </c>
      <c r="I1364" t="inlineStr">
        <is>
          <t>Perdido</t>
        </is>
      </c>
      <c r="J1364" s="28" t="n">
        <v>45714</v>
      </c>
      <c r="K1364" s="28" t="n">
        <v>45733</v>
      </c>
      <c r="L1364" t="inlineStr">
        <is>
          <t>Sin respuesta tras 3 contactos</t>
        </is>
      </c>
    </row>
    <row r="1365">
      <c r="A1365" t="inlineStr">
        <is>
          <t>CLI-1363</t>
        </is>
      </c>
      <c r="B1365" t="inlineStr">
        <is>
          <t>Sebastián Hernández Vargas</t>
        </is>
      </c>
      <c r="C1365" t="inlineStr">
        <is>
          <t>3227484435</t>
        </is>
      </c>
      <c r="D1365" t="inlineStr">
        <is>
          <t>sebastian.hernandez3@hotmail.com</t>
        </is>
      </c>
      <c r="E1365" t="inlineStr">
        <is>
          <t>Medellín</t>
        </is>
      </c>
      <c r="F1365" t="inlineStr">
        <is>
          <t>PRY-001</t>
        </is>
      </c>
      <c r="G1365" t="inlineStr">
        <is>
          <t>Facebook</t>
        </is>
      </c>
      <c r="H1365" t="inlineStr">
        <is>
          <t>Daniela Ríos</t>
        </is>
      </c>
      <c r="I1365" t="inlineStr">
        <is>
          <t>Perdido</t>
        </is>
      </c>
      <c r="J1365" s="28" t="n">
        <v>45714</v>
      </c>
      <c r="K1365" s="28" t="n">
        <v>45737</v>
      </c>
      <c r="L1365" t="inlineStr">
        <is>
          <t>Datos de contacto errados</t>
        </is>
      </c>
    </row>
    <row r="1366">
      <c r="A1366" t="inlineStr">
        <is>
          <t>CLI-1364</t>
        </is>
      </c>
      <c r="B1366" t="inlineStr">
        <is>
          <t>Isabel Duque Restrepo</t>
        </is>
      </c>
      <c r="C1366" t="inlineStr">
        <is>
          <t>3143633575</t>
        </is>
      </c>
      <c r="D1366" t="inlineStr">
        <is>
          <t>isabel.duque17@hotmail.com</t>
        </is>
      </c>
      <c r="E1366" t="inlineStr">
        <is>
          <t>Rionegro</t>
        </is>
      </c>
      <c r="F1366" t="inlineStr">
        <is>
          <t>PRY-005</t>
        </is>
      </c>
      <c r="G1366" t="inlineStr">
        <is>
          <t>Referido</t>
        </is>
      </c>
      <c r="H1366" t="inlineStr">
        <is>
          <t>Miguel Salazar</t>
        </is>
      </c>
      <c r="I1366" t="inlineStr">
        <is>
          <t>Perdido</t>
        </is>
      </c>
      <c r="J1366" s="28" t="n">
        <v>45714</v>
      </c>
      <c r="K1366" s="28" t="n">
        <v>45719</v>
      </c>
      <c r="L1366" t="inlineStr">
        <is>
          <t>Datos de contacto errados</t>
        </is>
      </c>
    </row>
    <row r="1367">
      <c r="A1367" t="inlineStr">
        <is>
          <t>CLI-1365</t>
        </is>
      </c>
      <c r="B1367" t="inlineStr">
        <is>
          <t>Santiago Valencia Toro</t>
        </is>
      </c>
      <c r="C1367" t="inlineStr">
        <is>
          <t>3141261315</t>
        </is>
      </c>
      <c r="D1367" t="inlineStr">
        <is>
          <t>santiago.valencia78@gmail.com</t>
        </is>
      </c>
      <c r="E1367" t="inlineStr">
        <is>
          <t>Itagüí</t>
        </is>
      </c>
      <c r="F1367" t="inlineStr">
        <is>
          <t>PRY-006</t>
        </is>
      </c>
      <c r="G1367" t="inlineStr">
        <is>
          <t>Instagram</t>
        </is>
      </c>
      <c r="H1367" t="inlineStr">
        <is>
          <t>Luis Bedoya</t>
        </is>
      </c>
      <c r="I1367" t="inlineStr">
        <is>
          <t>Perdido</t>
        </is>
      </c>
      <c r="J1367" s="28" t="n">
        <v>45715</v>
      </c>
      <c r="K1367" s="28" t="n">
        <v>45836</v>
      </c>
      <c r="L1367" t="inlineStr">
        <is>
          <t>Eligió otro proyecto</t>
        </is>
      </c>
    </row>
    <row r="1368">
      <c r="A1368" t="inlineStr">
        <is>
          <t>CLI-1366</t>
        </is>
      </c>
      <c r="B1368" t="inlineStr">
        <is>
          <t>Daniela Montoya Correa</t>
        </is>
      </c>
      <c r="C1368" t="inlineStr">
        <is>
          <t>3009861316</t>
        </is>
      </c>
      <c r="D1368" t="inlineStr">
        <is>
          <t>daniela.montoya9@gmail.com</t>
        </is>
      </c>
      <c r="E1368" t="inlineStr">
        <is>
          <t>Bello</t>
        </is>
      </c>
      <c r="F1368" t="inlineStr">
        <is>
          <t>PRY-007</t>
        </is>
      </c>
      <c r="G1368" t="inlineStr">
        <is>
          <t>Instagram</t>
        </is>
      </c>
      <c r="H1368" t="inlineStr">
        <is>
          <t>Luis Bedoya</t>
        </is>
      </c>
      <c r="I1368" t="inlineStr">
        <is>
          <t>Perdido</t>
        </is>
      </c>
      <c r="J1368" s="28" t="n">
        <v>45715</v>
      </c>
      <c r="K1368" s="28" t="n">
        <v>45739</v>
      </c>
      <c r="L1368" t="inlineStr">
        <is>
          <t>Sin respuesta tras 3 contactos</t>
        </is>
      </c>
    </row>
    <row r="1369">
      <c r="A1369" t="inlineStr">
        <is>
          <t>CLI-1367</t>
        </is>
      </c>
      <c r="B1369" t="inlineStr">
        <is>
          <t>Manuela López Vásquez</t>
        </is>
      </c>
      <c r="C1369" t="inlineStr">
        <is>
          <t>3143539242</t>
        </is>
      </c>
      <c r="D1369" t="inlineStr">
        <is>
          <t>manuela.lopez4@hotmail.com</t>
        </is>
      </c>
      <c r="E1369" t="inlineStr">
        <is>
          <t>Medellín</t>
        </is>
      </c>
      <c r="F1369" t="inlineStr">
        <is>
          <t>PRY-003</t>
        </is>
      </c>
      <c r="G1369" t="inlineStr">
        <is>
          <t>Facebook</t>
        </is>
      </c>
      <c r="H1369" t="inlineStr">
        <is>
          <t>Sofía Prada</t>
        </is>
      </c>
      <c r="I1369" t="inlineStr">
        <is>
          <t>Perdido</t>
        </is>
      </c>
      <c r="J1369" s="28" t="n">
        <v>45716</v>
      </c>
      <c r="K1369" s="28" t="n">
        <v>45741</v>
      </c>
      <c r="L1369" t="inlineStr">
        <is>
          <t>Buscaba arriendo, no compra</t>
        </is>
      </c>
    </row>
    <row r="1370">
      <c r="A1370" t="inlineStr">
        <is>
          <t>CLI-1368</t>
        </is>
      </c>
      <c r="B1370" t="inlineStr">
        <is>
          <t>Rodrigo Arango Espinosa</t>
        </is>
      </c>
      <c r="C1370" t="inlineStr">
        <is>
          <t>3176837258</t>
        </is>
      </c>
      <c r="D1370" t="inlineStr">
        <is>
          <t>rodrigo.arango66@outlook.com</t>
        </is>
      </c>
      <c r="E1370" t="inlineStr">
        <is>
          <t>Rionegro</t>
        </is>
      </c>
      <c r="F1370" t="inlineStr">
        <is>
          <t>PRY-005</t>
        </is>
      </c>
      <c r="G1370" t="inlineStr">
        <is>
          <t>Instagram</t>
        </is>
      </c>
      <c r="H1370" t="inlineStr">
        <is>
          <t>Paula Arenas</t>
        </is>
      </c>
      <c r="I1370" t="inlineStr">
        <is>
          <t>Perdido</t>
        </is>
      </c>
      <c r="J1370" s="28" t="n">
        <v>45716</v>
      </c>
      <c r="K1370" s="28" t="n">
        <v>45739</v>
      </c>
      <c r="L1370" t="inlineStr">
        <is>
          <t>Buscaba arriendo, no compra</t>
        </is>
      </c>
    </row>
    <row r="1371">
      <c r="A1371" t="inlineStr">
        <is>
          <t>CLI-1369</t>
        </is>
      </c>
      <c r="B1371" t="inlineStr">
        <is>
          <t>Luisa Valencia Rojas</t>
        </is>
      </c>
      <c r="C1371" t="inlineStr">
        <is>
          <t>3139181081</t>
        </is>
      </c>
      <c r="D1371" t="inlineStr">
        <is>
          <t>luisa.valencia31@outlook.com</t>
        </is>
      </c>
      <c r="E1371" t="inlineStr">
        <is>
          <t>Medellín</t>
        </is>
      </c>
      <c r="F1371" t="inlineStr">
        <is>
          <t>PRY-001</t>
        </is>
      </c>
      <c r="G1371" t="inlineStr">
        <is>
          <t>Portal Web</t>
        </is>
      </c>
      <c r="H1371" t="inlineStr">
        <is>
          <t>Juliana Vélez</t>
        </is>
      </c>
      <c r="I1371" t="inlineStr">
        <is>
          <t>Perdido</t>
        </is>
      </c>
      <c r="J1371" s="28" t="n">
        <v>45717</v>
      </c>
      <c r="K1371" s="28" t="n">
        <v>45736</v>
      </c>
      <c r="L1371" t="inlineStr">
        <is>
          <t>Presupuesto insuficiente</t>
        </is>
      </c>
    </row>
    <row r="1372">
      <c r="A1372" t="inlineStr">
        <is>
          <t>CLI-1370</t>
        </is>
      </c>
      <c r="B1372" t="inlineStr">
        <is>
          <t>Valentina Londoño Duque</t>
        </is>
      </c>
      <c r="C1372" t="inlineStr">
        <is>
          <t>3012512905</t>
        </is>
      </c>
      <c r="D1372" t="inlineStr">
        <is>
          <t>valentina.londono11@hotmail.com</t>
        </is>
      </c>
      <c r="E1372" t="inlineStr">
        <is>
          <t>Medellín</t>
        </is>
      </c>
      <c r="F1372" t="inlineStr">
        <is>
          <t>PRY-001</t>
        </is>
      </c>
      <c r="G1372" t="inlineStr">
        <is>
          <t>Referido</t>
        </is>
      </c>
      <c r="H1372" t="inlineStr">
        <is>
          <t>Santiago Muñoz</t>
        </is>
      </c>
      <c r="I1372" t="inlineStr">
        <is>
          <t>Perdido</t>
        </is>
      </c>
      <c r="J1372" s="28" t="n">
        <v>45718</v>
      </c>
      <c r="K1372" s="28" t="n">
        <v>45778</v>
      </c>
      <c r="L1372" t="inlineStr">
        <is>
          <t>Precio fuera de presupuesto</t>
        </is>
      </c>
    </row>
    <row r="1373">
      <c r="A1373" t="inlineStr">
        <is>
          <t>CLI-1371</t>
        </is>
      </c>
      <c r="B1373" t="inlineStr">
        <is>
          <t>Ximena Franco Rojas</t>
        </is>
      </c>
      <c r="C1373" t="inlineStr">
        <is>
          <t>3101758882</t>
        </is>
      </c>
      <c r="D1373" t="inlineStr">
        <is>
          <t>ximena.franco71@outlook.com</t>
        </is>
      </c>
      <c r="E1373" t="inlineStr">
        <is>
          <t>La Estrella</t>
        </is>
      </c>
      <c r="F1373" t="inlineStr">
        <is>
          <t>PRY-001</t>
        </is>
      </c>
      <c r="G1373" t="inlineStr">
        <is>
          <t>Feria Inmobiliaria</t>
        </is>
      </c>
      <c r="H1373" t="inlineStr">
        <is>
          <t>Paula Arenas</t>
        </is>
      </c>
      <c r="I1373" t="inlineStr">
        <is>
          <t>Perdido</t>
        </is>
      </c>
      <c r="J1373" s="28" t="n">
        <v>45718</v>
      </c>
      <c r="K1373" s="28" t="n">
        <v>45738</v>
      </c>
      <c r="L1373" t="inlineStr">
        <is>
          <t>Presupuesto insuficiente</t>
        </is>
      </c>
    </row>
    <row r="1374">
      <c r="A1374" t="inlineStr">
        <is>
          <t>CLI-1372</t>
        </is>
      </c>
      <c r="B1374" t="inlineStr">
        <is>
          <t>Lorena Gómez Cifuentes</t>
        </is>
      </c>
      <c r="C1374" t="inlineStr">
        <is>
          <t>3204711784</t>
        </is>
      </c>
      <c r="D1374" t="inlineStr">
        <is>
          <t>lorena.gomez61@yahoo.com</t>
        </is>
      </c>
      <c r="E1374" t="inlineStr">
        <is>
          <t>Itagüí</t>
        </is>
      </c>
      <c r="F1374" t="inlineStr">
        <is>
          <t>PRY-005</t>
        </is>
      </c>
      <c r="G1374" t="inlineStr">
        <is>
          <t>Portal Web</t>
        </is>
      </c>
      <c r="H1374" t="inlineStr">
        <is>
          <t>Paula Arenas</t>
        </is>
      </c>
      <c r="I1374" t="inlineStr">
        <is>
          <t>Perdido</t>
        </is>
      </c>
      <c r="J1374" s="28" t="n">
        <v>45718</v>
      </c>
      <c r="K1374" s="28" t="n">
        <v>45742</v>
      </c>
      <c r="L1374" t="inlineStr">
        <is>
          <t>No calificó para crédito</t>
        </is>
      </c>
    </row>
    <row r="1375">
      <c r="A1375" t="inlineStr">
        <is>
          <t>CLI-1373</t>
        </is>
      </c>
      <c r="B1375" t="inlineStr">
        <is>
          <t>Fernando Salazar Betancur</t>
        </is>
      </c>
      <c r="C1375" t="inlineStr">
        <is>
          <t>3243857732</t>
        </is>
      </c>
      <c r="D1375" t="inlineStr">
        <is>
          <t>fernando.salazar41@yahoo.com</t>
        </is>
      </c>
      <c r="E1375" t="inlineStr">
        <is>
          <t>Itagüí</t>
        </is>
      </c>
      <c r="F1375" t="inlineStr">
        <is>
          <t>PRY-008</t>
        </is>
      </c>
      <c r="G1375" t="inlineStr">
        <is>
          <t>Facebook</t>
        </is>
      </c>
      <c r="H1375" t="inlineStr">
        <is>
          <t>Santiago Muñoz</t>
        </is>
      </c>
      <c r="I1375" t="inlineStr">
        <is>
          <t>Perdido</t>
        </is>
      </c>
      <c r="J1375" s="28" t="n">
        <v>45718</v>
      </c>
      <c r="K1375" s="28" t="n">
        <v>45739</v>
      </c>
      <c r="L1375" t="inlineStr">
        <is>
          <t>No calificó para crédito</t>
        </is>
      </c>
    </row>
    <row r="1376">
      <c r="A1376" t="inlineStr">
        <is>
          <t>CLI-1374</t>
        </is>
      </c>
      <c r="B1376" t="inlineStr">
        <is>
          <t>Juan Pablo Ochoa Castaño</t>
        </is>
      </c>
      <c r="C1376" t="inlineStr">
        <is>
          <t>3233848803</t>
        </is>
      </c>
      <c r="D1376" t="inlineStr">
        <is>
          <t>juan.ochoa92@gmail.com</t>
        </is>
      </c>
      <c r="E1376" t="inlineStr">
        <is>
          <t>Envigado</t>
        </is>
      </c>
      <c r="F1376" t="inlineStr">
        <is>
          <t>PRY-007</t>
        </is>
      </c>
      <c r="G1376" t="inlineStr">
        <is>
          <t>Facebook</t>
        </is>
      </c>
      <c r="H1376" t="inlineStr">
        <is>
          <t>Sofía Prada</t>
        </is>
      </c>
      <c r="I1376" t="inlineStr">
        <is>
          <t>Perdido</t>
        </is>
      </c>
      <c r="J1376" s="28" t="n">
        <v>45718</v>
      </c>
      <c r="K1376" s="28" t="n">
        <v>45728</v>
      </c>
      <c r="L1376" t="inlineStr">
        <is>
          <t>Sin respuesta tras 3 contactos</t>
        </is>
      </c>
    </row>
    <row r="1377">
      <c r="A1377" t="inlineStr">
        <is>
          <t>CLI-1375</t>
        </is>
      </c>
      <c r="B1377" t="inlineStr">
        <is>
          <t>Gabriel Vásquez Salcedo</t>
        </is>
      </c>
      <c r="C1377" t="inlineStr">
        <is>
          <t>3244562587</t>
        </is>
      </c>
      <c r="D1377" t="inlineStr">
        <is>
          <t>gabriel.vasquez5@outlook.com</t>
        </is>
      </c>
      <c r="E1377" t="inlineStr">
        <is>
          <t>Medellín</t>
        </is>
      </c>
      <c r="F1377" t="inlineStr">
        <is>
          <t>PRY-002</t>
        </is>
      </c>
      <c r="G1377" t="inlineStr">
        <is>
          <t>Facebook</t>
        </is>
      </c>
      <c r="H1377" t="inlineStr">
        <is>
          <t>Ana Quintero</t>
        </is>
      </c>
      <c r="I1377" t="inlineStr">
        <is>
          <t>Perdido</t>
        </is>
      </c>
      <c r="J1377" s="28" t="n">
        <v>45719</v>
      </c>
      <c r="K1377" s="28" t="n">
        <v>45847</v>
      </c>
      <c r="L1377" t="inlineStr">
        <is>
          <t>Precio fuera de presupuesto</t>
        </is>
      </c>
    </row>
    <row r="1378">
      <c r="A1378" t="inlineStr">
        <is>
          <t>CLI-1376</t>
        </is>
      </c>
      <c r="B1378" t="inlineStr">
        <is>
          <t>Jorge Londoño Arango</t>
        </is>
      </c>
      <c r="C1378" t="inlineStr">
        <is>
          <t>3134593393</t>
        </is>
      </c>
      <c r="D1378" t="inlineStr">
        <is>
          <t>jorge.londono40@hotmail.com</t>
        </is>
      </c>
      <c r="E1378" t="inlineStr">
        <is>
          <t>Medellín</t>
        </is>
      </c>
      <c r="F1378" t="inlineStr">
        <is>
          <t>PRY-001</t>
        </is>
      </c>
      <c r="G1378" t="inlineStr">
        <is>
          <t>Portal Web</t>
        </is>
      </c>
      <c r="H1378" t="inlineStr">
        <is>
          <t>Ana Quintero</t>
        </is>
      </c>
      <c r="I1378" t="inlineStr">
        <is>
          <t>Perdido</t>
        </is>
      </c>
      <c r="J1378" s="28" t="n">
        <v>45719</v>
      </c>
      <c r="K1378" s="28" t="n">
        <v>45788</v>
      </c>
      <c r="L1378" t="inlineStr">
        <is>
          <t>Crédito no aprobado</t>
        </is>
      </c>
    </row>
    <row r="1379">
      <c r="A1379" t="inlineStr">
        <is>
          <t>CLI-1377</t>
        </is>
      </c>
      <c r="B1379" t="inlineStr">
        <is>
          <t>María Ríos Duque</t>
        </is>
      </c>
      <c r="C1379" t="inlineStr">
        <is>
          <t>3201157726</t>
        </is>
      </c>
      <c r="D1379" t="inlineStr">
        <is>
          <t>maria.rios10@yahoo.com</t>
        </is>
      </c>
      <c r="E1379" t="inlineStr">
        <is>
          <t>Medellín</t>
        </is>
      </c>
      <c r="F1379" t="inlineStr">
        <is>
          <t>PRY-002</t>
        </is>
      </c>
      <c r="G1379" t="inlineStr">
        <is>
          <t>Facebook</t>
        </is>
      </c>
      <c r="H1379" t="inlineStr">
        <is>
          <t>Andrés Torres</t>
        </is>
      </c>
      <c r="I1379" t="inlineStr">
        <is>
          <t>Perdido</t>
        </is>
      </c>
      <c r="J1379" s="28" t="n">
        <v>45719</v>
      </c>
      <c r="K1379" s="28" t="n">
        <v>45727</v>
      </c>
      <c r="L1379" t="inlineStr">
        <is>
          <t>Datos de contacto errados</t>
        </is>
      </c>
    </row>
    <row r="1380">
      <c r="A1380" t="inlineStr">
        <is>
          <t>CLI-1378</t>
        </is>
      </c>
      <c r="B1380" t="inlineStr">
        <is>
          <t>Daniela Cardona Ochoa</t>
        </is>
      </c>
      <c r="C1380" t="inlineStr">
        <is>
          <t>3207302481</t>
        </is>
      </c>
      <c r="D1380" t="inlineStr">
        <is>
          <t>daniela.cardona79@gmail.com</t>
        </is>
      </c>
      <c r="E1380" t="inlineStr">
        <is>
          <t>Rionegro</t>
        </is>
      </c>
      <c r="F1380" t="inlineStr">
        <is>
          <t>PRY-005</t>
        </is>
      </c>
      <c r="G1380" t="inlineStr">
        <is>
          <t>Referido</t>
        </is>
      </c>
      <c r="H1380" t="inlineStr">
        <is>
          <t>Luis Bedoya</t>
        </is>
      </c>
      <c r="I1380" t="inlineStr">
        <is>
          <t>Perdido</t>
        </is>
      </c>
      <c r="J1380" s="28" t="n">
        <v>45719</v>
      </c>
      <c r="K1380" s="28" t="n">
        <v>45743</v>
      </c>
      <c r="L1380" t="inlineStr">
        <is>
          <t>Presupuesto insuficiente</t>
        </is>
      </c>
    </row>
    <row r="1381">
      <c r="A1381" t="inlineStr">
        <is>
          <t>CLI-1379</t>
        </is>
      </c>
      <c r="B1381" t="inlineStr">
        <is>
          <t>Rodrigo Toro Montes</t>
        </is>
      </c>
      <c r="C1381" t="inlineStr">
        <is>
          <t>3234533697</t>
        </is>
      </c>
      <c r="D1381" t="inlineStr">
        <is>
          <t>rodrigo.toro31@gmail.com</t>
        </is>
      </c>
      <c r="E1381" t="inlineStr">
        <is>
          <t>Itagüí</t>
        </is>
      </c>
      <c r="F1381" t="inlineStr">
        <is>
          <t>PRY-008</t>
        </is>
      </c>
      <c r="G1381" t="inlineStr">
        <is>
          <t>Instagram</t>
        </is>
      </c>
      <c r="H1381" t="inlineStr">
        <is>
          <t>Miguel Salazar</t>
        </is>
      </c>
      <c r="I1381" t="inlineStr">
        <is>
          <t>Ganado</t>
        </is>
      </c>
      <c r="J1381" s="28" t="n">
        <v>45720</v>
      </c>
      <c r="K1381" s="28" t="n">
        <v>45823</v>
      </c>
      <c r="L1381" t="inlineStr">
        <is>
          <t>Compró Casa 97 en Valle Verde Itagüí</t>
        </is>
      </c>
    </row>
    <row r="1382">
      <c r="A1382" t="inlineStr">
        <is>
          <t>CLI-1380</t>
        </is>
      </c>
      <c r="B1382" t="inlineStr">
        <is>
          <t>Esteban Vargas Pérez</t>
        </is>
      </c>
      <c r="C1382" t="inlineStr">
        <is>
          <t>3018629343</t>
        </is>
      </c>
      <c r="D1382" t="inlineStr">
        <is>
          <t>esteban.vargas33@outlook.com</t>
        </is>
      </c>
      <c r="E1382" t="inlineStr">
        <is>
          <t>Itagüí</t>
        </is>
      </c>
      <c r="F1382" t="inlineStr">
        <is>
          <t>PRY-008</t>
        </is>
      </c>
      <c r="G1382" t="inlineStr">
        <is>
          <t>Facebook</t>
        </is>
      </c>
      <c r="H1382" t="inlineStr">
        <is>
          <t>Sofía Prada</t>
        </is>
      </c>
      <c r="I1382" t="inlineStr">
        <is>
          <t>Perdido</t>
        </is>
      </c>
      <c r="J1382" s="28" t="n">
        <v>45720</v>
      </c>
      <c r="K1382" s="28" t="n">
        <v>45742</v>
      </c>
      <c r="L1382" t="inlineStr">
        <is>
          <t>Buscaba arriendo, no compra</t>
        </is>
      </c>
    </row>
    <row r="1383">
      <c r="A1383" t="inlineStr">
        <is>
          <t>CLI-1381</t>
        </is>
      </c>
      <c r="B1383" t="inlineStr">
        <is>
          <t>Sandra Jaramillo Escobar</t>
        </is>
      </c>
      <c r="C1383" t="inlineStr">
        <is>
          <t>3221652137</t>
        </is>
      </c>
      <c r="D1383" t="inlineStr">
        <is>
          <t>sandra.jaramillo8@gmail.com</t>
        </is>
      </c>
      <c r="E1383" t="inlineStr">
        <is>
          <t>Medellín</t>
        </is>
      </c>
      <c r="F1383" t="inlineStr">
        <is>
          <t>PRY-002</t>
        </is>
      </c>
      <c r="G1383" t="inlineStr">
        <is>
          <t>Feria Inmobiliaria</t>
        </is>
      </c>
      <c r="H1383" t="inlineStr">
        <is>
          <t>Ana Quintero</t>
        </is>
      </c>
      <c r="I1383" t="inlineStr">
        <is>
          <t>Perdido</t>
        </is>
      </c>
      <c r="J1383" s="28" t="n">
        <v>45720</v>
      </c>
      <c r="K1383" s="28" t="n">
        <v>45726</v>
      </c>
      <c r="L1383" t="inlineStr">
        <is>
          <t>Presupuesto insuficiente</t>
        </is>
      </c>
    </row>
    <row r="1384">
      <c r="A1384" t="inlineStr">
        <is>
          <t>CLI-1382</t>
        </is>
      </c>
      <c r="B1384" t="inlineStr">
        <is>
          <t>Alejandro Espinosa Osorio</t>
        </is>
      </c>
      <c r="C1384" t="inlineStr">
        <is>
          <t>3245051648</t>
        </is>
      </c>
      <c r="D1384" t="inlineStr">
        <is>
          <t>alejandro.espinosa82@hotmail.com</t>
        </is>
      </c>
      <c r="E1384" t="inlineStr">
        <is>
          <t>Medellín</t>
        </is>
      </c>
      <c r="F1384" t="inlineStr">
        <is>
          <t>PRY-003</t>
        </is>
      </c>
      <c r="G1384" t="inlineStr">
        <is>
          <t>Facebook</t>
        </is>
      </c>
      <c r="H1384" t="inlineStr">
        <is>
          <t>Sofía Prada</t>
        </is>
      </c>
      <c r="I1384" t="inlineStr">
        <is>
          <t>Perdido</t>
        </is>
      </c>
      <c r="J1384" s="28" t="n">
        <v>45720</v>
      </c>
      <c r="K1384" s="28" t="n">
        <v>45742</v>
      </c>
      <c r="L1384" t="inlineStr">
        <is>
          <t>Buscaba arriendo, no compra</t>
        </is>
      </c>
    </row>
    <row r="1385">
      <c r="A1385" t="inlineStr">
        <is>
          <t>CLI-1383</t>
        </is>
      </c>
      <c r="B1385" t="inlineStr">
        <is>
          <t>Gabriel Palacio Salcedo</t>
        </is>
      </c>
      <c r="C1385" t="inlineStr">
        <is>
          <t>3015131178</t>
        </is>
      </c>
      <c r="D1385" t="inlineStr">
        <is>
          <t>gabriel.palacio73@hotmail.com</t>
        </is>
      </c>
      <c r="E1385" t="inlineStr">
        <is>
          <t>Itagüí</t>
        </is>
      </c>
      <c r="F1385" t="inlineStr">
        <is>
          <t>PRY-008</t>
        </is>
      </c>
      <c r="G1385" t="inlineStr">
        <is>
          <t>Llamada directa</t>
        </is>
      </c>
      <c r="H1385" t="inlineStr">
        <is>
          <t>Juliana Vélez</t>
        </is>
      </c>
      <c r="I1385" t="inlineStr">
        <is>
          <t>Perdido</t>
        </is>
      </c>
      <c r="J1385" s="28" t="n">
        <v>45721</v>
      </c>
      <c r="K1385" s="28" t="n">
        <v>45742</v>
      </c>
      <c r="L1385" t="inlineStr">
        <is>
          <t>Datos de contacto errados</t>
        </is>
      </c>
    </row>
    <row r="1386">
      <c r="A1386" t="inlineStr">
        <is>
          <t>CLI-1384</t>
        </is>
      </c>
      <c r="B1386" t="inlineStr">
        <is>
          <t>Mateo Osorio Londoño</t>
        </is>
      </c>
      <c r="C1386" t="inlineStr">
        <is>
          <t>3138438464</t>
        </is>
      </c>
      <c r="D1386" t="inlineStr">
        <is>
          <t>mateo.osorio61@yahoo.com</t>
        </is>
      </c>
      <c r="E1386" t="inlineStr">
        <is>
          <t>Medellín</t>
        </is>
      </c>
      <c r="F1386" t="inlineStr">
        <is>
          <t>PRY-004</t>
        </is>
      </c>
      <c r="G1386" t="inlineStr">
        <is>
          <t>Facebook</t>
        </is>
      </c>
      <c r="H1386" t="inlineStr">
        <is>
          <t>Miguel Salazar</t>
        </is>
      </c>
      <c r="I1386" t="inlineStr">
        <is>
          <t>Perdido</t>
        </is>
      </c>
      <c r="J1386" s="28" t="n">
        <v>45721</v>
      </c>
      <c r="K1386" s="28" t="n">
        <v>45739</v>
      </c>
      <c r="L1386" t="inlineStr">
        <is>
          <t>No calificó para crédito</t>
        </is>
      </c>
    </row>
    <row r="1387">
      <c r="A1387" t="inlineStr">
        <is>
          <t>CLI-1385</t>
        </is>
      </c>
      <c r="B1387" t="inlineStr">
        <is>
          <t>Gabriel Ríos Arango</t>
        </is>
      </c>
      <c r="C1387" t="inlineStr">
        <is>
          <t>3178136766</t>
        </is>
      </c>
      <c r="D1387" t="inlineStr">
        <is>
          <t>gabriel.rios47@hotmail.com</t>
        </is>
      </c>
      <c r="E1387" t="inlineStr">
        <is>
          <t>Rionegro</t>
        </is>
      </c>
      <c r="F1387" t="inlineStr">
        <is>
          <t>PRY-005</t>
        </is>
      </c>
      <c r="G1387" t="inlineStr">
        <is>
          <t>Llamada directa</t>
        </is>
      </c>
      <c r="H1387" t="inlineStr">
        <is>
          <t>Andrés Torres</t>
        </is>
      </c>
      <c r="I1387" t="inlineStr">
        <is>
          <t>Perdido</t>
        </is>
      </c>
      <c r="J1387" s="28" t="n">
        <v>45721</v>
      </c>
      <c r="K1387" s="28" t="n">
        <v>45744</v>
      </c>
      <c r="L1387" t="inlineStr">
        <is>
          <t>Datos de contacto errados</t>
        </is>
      </c>
    </row>
    <row r="1388">
      <c r="A1388" t="inlineStr">
        <is>
          <t>CLI-1386</t>
        </is>
      </c>
      <c r="B1388" t="inlineStr">
        <is>
          <t>Luisa Peláez Restrepo</t>
        </is>
      </c>
      <c r="C1388" t="inlineStr">
        <is>
          <t>3106388985</t>
        </is>
      </c>
      <c r="D1388" t="inlineStr">
        <is>
          <t>luisa.pelaez60@outlook.com</t>
        </is>
      </c>
      <c r="E1388" t="inlineStr">
        <is>
          <t>Envigado</t>
        </is>
      </c>
      <c r="F1388" t="inlineStr">
        <is>
          <t>PRY-005</t>
        </is>
      </c>
      <c r="G1388" t="inlineStr">
        <is>
          <t>Portal Web</t>
        </is>
      </c>
      <c r="H1388" t="inlineStr">
        <is>
          <t>Sofía Prada</t>
        </is>
      </c>
      <c r="I1388" t="inlineStr">
        <is>
          <t>Perdido</t>
        </is>
      </c>
      <c r="J1388" s="28" t="n">
        <v>45721</v>
      </c>
      <c r="K1388" s="28" t="n">
        <v>45741</v>
      </c>
      <c r="L1388" t="inlineStr">
        <is>
          <t>No calificó para crédito</t>
        </is>
      </c>
    </row>
    <row r="1389">
      <c r="A1389" t="inlineStr">
        <is>
          <t>CLI-1387</t>
        </is>
      </c>
      <c r="B1389" t="inlineStr">
        <is>
          <t>Manuela Zapata Ramírez</t>
        </is>
      </c>
      <c r="C1389" t="inlineStr">
        <is>
          <t>3172866104</t>
        </is>
      </c>
      <c r="D1389" t="inlineStr">
        <is>
          <t>manuela.zapata71@outlook.com</t>
        </is>
      </c>
      <c r="E1389" t="inlineStr">
        <is>
          <t>Medellín</t>
        </is>
      </c>
      <c r="F1389" t="inlineStr">
        <is>
          <t>PRY-004</t>
        </is>
      </c>
      <c r="G1389" t="inlineStr">
        <is>
          <t>Feria Inmobiliaria</t>
        </is>
      </c>
      <c r="H1389" t="inlineStr">
        <is>
          <t>Sofía Prada</t>
        </is>
      </c>
      <c r="I1389" t="inlineStr">
        <is>
          <t>Perdido</t>
        </is>
      </c>
      <c r="J1389" s="28" t="n">
        <v>45722</v>
      </c>
      <c r="K1389" s="28" t="n">
        <v>45769</v>
      </c>
      <c r="L1389" t="inlineStr">
        <is>
          <t>Eligió otro proyecto</t>
        </is>
      </c>
    </row>
    <row r="1390">
      <c r="A1390" t="inlineStr">
        <is>
          <t>CLI-1388</t>
        </is>
      </c>
      <c r="B1390" t="inlineStr">
        <is>
          <t>María Ochoa Álvarez</t>
        </is>
      </c>
      <c r="C1390" t="inlineStr">
        <is>
          <t>3228251386</t>
        </is>
      </c>
      <c r="D1390" t="inlineStr">
        <is>
          <t>maria.ochoa48@outlook.com</t>
        </is>
      </c>
      <c r="E1390" t="inlineStr">
        <is>
          <t>Bello</t>
        </is>
      </c>
      <c r="F1390" t="inlineStr">
        <is>
          <t>PRY-008</t>
        </is>
      </c>
      <c r="G1390" t="inlineStr">
        <is>
          <t>Feria Inmobiliaria</t>
        </is>
      </c>
      <c r="H1390" t="inlineStr">
        <is>
          <t>Santiago Muñoz</t>
        </is>
      </c>
      <c r="I1390" t="inlineStr">
        <is>
          <t>Ganado</t>
        </is>
      </c>
      <c r="J1390" s="28" t="n">
        <v>45722</v>
      </c>
      <c r="K1390" s="28" t="n">
        <v>45812</v>
      </c>
      <c r="L1390" t="inlineStr">
        <is>
          <t>Compró Casa 45 en Valle Verde Itagüí</t>
        </is>
      </c>
    </row>
    <row r="1391">
      <c r="A1391" t="inlineStr">
        <is>
          <t>CLI-1389</t>
        </is>
      </c>
      <c r="B1391" t="inlineStr">
        <is>
          <t>Simón Ramírez Cifuentes</t>
        </is>
      </c>
      <c r="C1391" t="inlineStr">
        <is>
          <t>3144542836</t>
        </is>
      </c>
      <c r="D1391" t="inlineStr">
        <is>
          <t>simon.ramirez94@yahoo.com</t>
        </is>
      </c>
      <c r="E1391" t="inlineStr">
        <is>
          <t>Envigado</t>
        </is>
      </c>
      <c r="F1391" t="inlineStr">
        <is>
          <t>PRY-008</t>
        </is>
      </c>
      <c r="G1391" t="inlineStr">
        <is>
          <t>Portal Web</t>
        </is>
      </c>
      <c r="H1391" t="inlineStr">
        <is>
          <t>Andrés Torres</t>
        </is>
      </c>
      <c r="I1391" t="inlineStr">
        <is>
          <t>Perdido</t>
        </is>
      </c>
      <c r="J1391" s="28" t="n">
        <v>45722</v>
      </c>
      <c r="K1391" s="28" t="n">
        <v>45807</v>
      </c>
      <c r="L1391" t="inlineStr">
        <is>
          <t>Desistió de la compra</t>
        </is>
      </c>
    </row>
    <row r="1392">
      <c r="A1392" t="inlineStr">
        <is>
          <t>CLI-1390</t>
        </is>
      </c>
      <c r="B1392" t="inlineStr">
        <is>
          <t>Sofía Gaviria Gaviria</t>
        </is>
      </c>
      <c r="C1392" t="inlineStr">
        <is>
          <t>3005794665</t>
        </is>
      </c>
      <c r="D1392" t="inlineStr">
        <is>
          <t>sofia.gaviria46@gmail.com</t>
        </is>
      </c>
      <c r="E1392" t="inlineStr">
        <is>
          <t>Medellín</t>
        </is>
      </c>
      <c r="F1392" t="inlineStr">
        <is>
          <t>PRY-001</t>
        </is>
      </c>
      <c r="G1392" t="inlineStr">
        <is>
          <t>Referido</t>
        </is>
      </c>
      <c r="H1392" t="inlineStr">
        <is>
          <t>Juliana Vélez</t>
        </is>
      </c>
      <c r="I1392" t="inlineStr">
        <is>
          <t>Ganado</t>
        </is>
      </c>
      <c r="J1392" s="28" t="n">
        <v>45723</v>
      </c>
      <c r="K1392" s="28" t="n">
        <v>45833</v>
      </c>
      <c r="L1392" t="inlineStr">
        <is>
          <t>Compró Apto 1004 en Torres del Poblado</t>
        </is>
      </c>
    </row>
    <row r="1393">
      <c r="A1393" t="inlineStr">
        <is>
          <t>CLI-1391</t>
        </is>
      </c>
      <c r="B1393" t="inlineStr">
        <is>
          <t>Gloria Salcedo Cano</t>
        </is>
      </c>
      <c r="C1393" t="inlineStr">
        <is>
          <t>3102753927</t>
        </is>
      </c>
      <c r="D1393" t="inlineStr">
        <is>
          <t>gloria.salcedo60@hotmail.com</t>
        </is>
      </c>
      <c r="E1393" t="inlineStr">
        <is>
          <t>Medellín</t>
        </is>
      </c>
      <c r="F1393" t="inlineStr">
        <is>
          <t>PRY-001</t>
        </is>
      </c>
      <c r="G1393" t="inlineStr">
        <is>
          <t>Instagram</t>
        </is>
      </c>
      <c r="H1393" t="inlineStr">
        <is>
          <t>Ana Quintero</t>
        </is>
      </c>
      <c r="I1393" t="inlineStr">
        <is>
          <t>Perdido</t>
        </is>
      </c>
      <c r="J1393" s="28" t="n">
        <v>45723</v>
      </c>
      <c r="K1393" s="28" t="n">
        <v>45747</v>
      </c>
      <c r="L1393" t="inlineStr">
        <is>
          <t>Buscaba arriendo, no compra</t>
        </is>
      </c>
    </row>
    <row r="1394">
      <c r="A1394" t="inlineStr">
        <is>
          <t>CLI-1392</t>
        </is>
      </c>
      <c r="B1394" t="inlineStr">
        <is>
          <t>Daniel Vásquez Zuluaga</t>
        </is>
      </c>
      <c r="C1394" t="inlineStr">
        <is>
          <t>3232652023</t>
        </is>
      </c>
      <c r="D1394" t="inlineStr">
        <is>
          <t>daniel.vasquez42@hotmail.com</t>
        </is>
      </c>
      <c r="E1394" t="inlineStr">
        <is>
          <t>Itagüí</t>
        </is>
      </c>
      <c r="F1394" t="inlineStr">
        <is>
          <t>PRY-007</t>
        </is>
      </c>
      <c r="G1394" t="inlineStr">
        <is>
          <t>Portal Web</t>
        </is>
      </c>
      <c r="H1394" t="inlineStr">
        <is>
          <t>Andrés Torres</t>
        </is>
      </c>
      <c r="I1394" t="inlineStr">
        <is>
          <t>Perdido</t>
        </is>
      </c>
      <c r="J1394" s="28" t="n">
        <v>45723</v>
      </c>
      <c r="K1394" s="28" t="n">
        <v>45738</v>
      </c>
      <c r="L1394" t="inlineStr">
        <is>
          <t>Buscaba arriendo, no compra</t>
        </is>
      </c>
    </row>
    <row r="1395">
      <c r="A1395" t="inlineStr">
        <is>
          <t>CLI-1393</t>
        </is>
      </c>
      <c r="B1395" t="inlineStr">
        <is>
          <t>Daniela Valencia Ríos</t>
        </is>
      </c>
      <c r="C1395" t="inlineStr">
        <is>
          <t>3141300644</t>
        </is>
      </c>
      <c r="D1395" t="inlineStr">
        <is>
          <t>daniela.valencia48@hotmail.com</t>
        </is>
      </c>
      <c r="E1395" t="inlineStr">
        <is>
          <t>Rionegro</t>
        </is>
      </c>
      <c r="F1395" t="inlineStr">
        <is>
          <t>PRY-005</t>
        </is>
      </c>
      <c r="G1395" t="inlineStr">
        <is>
          <t>Facebook</t>
        </is>
      </c>
      <c r="H1395" t="inlineStr">
        <is>
          <t>Daniela Ríos</t>
        </is>
      </c>
      <c r="I1395" t="inlineStr">
        <is>
          <t>Perdido</t>
        </is>
      </c>
      <c r="J1395" s="28" t="n">
        <v>45724</v>
      </c>
      <c r="K1395" s="28" t="n">
        <v>45787</v>
      </c>
      <c r="L1395" t="inlineStr">
        <is>
          <t>Precio fuera de presupuesto</t>
        </is>
      </c>
    </row>
    <row r="1396">
      <c r="A1396" t="inlineStr">
        <is>
          <t>CLI-1394</t>
        </is>
      </c>
      <c r="B1396" t="inlineStr">
        <is>
          <t>Sara Restrepo Henao</t>
        </is>
      </c>
      <c r="C1396" t="inlineStr">
        <is>
          <t>3202377008</t>
        </is>
      </c>
      <c r="D1396" t="inlineStr">
        <is>
          <t>sara.restrepo75@yahoo.com</t>
        </is>
      </c>
      <c r="E1396" t="inlineStr">
        <is>
          <t>Medellín</t>
        </is>
      </c>
      <c r="F1396" t="inlineStr">
        <is>
          <t>PRY-002</t>
        </is>
      </c>
      <c r="G1396" t="inlineStr">
        <is>
          <t>Feria Inmobiliaria</t>
        </is>
      </c>
      <c r="H1396" t="inlineStr">
        <is>
          <t>Miguel Salazar</t>
        </is>
      </c>
      <c r="I1396" t="inlineStr">
        <is>
          <t>Ganado</t>
        </is>
      </c>
      <c r="J1396" s="28" t="n">
        <v>45724</v>
      </c>
      <c r="K1396" s="28" t="n">
        <v>45862</v>
      </c>
      <c r="L1396" t="inlineStr">
        <is>
          <t>Compró Casa 50 en Reserva Santa Elena</t>
        </is>
      </c>
    </row>
    <row r="1397">
      <c r="A1397" t="inlineStr">
        <is>
          <t>CLI-1395</t>
        </is>
      </c>
      <c r="B1397" t="inlineStr">
        <is>
          <t>Camila Franco Álvarez</t>
        </is>
      </c>
      <c r="C1397" t="inlineStr">
        <is>
          <t>3106932856</t>
        </is>
      </c>
      <c r="D1397" t="inlineStr">
        <is>
          <t>camila.franco5@yahoo.com</t>
        </is>
      </c>
      <c r="E1397" t="inlineStr">
        <is>
          <t>Bello</t>
        </is>
      </c>
      <c r="F1397" t="inlineStr">
        <is>
          <t>PRY-001</t>
        </is>
      </c>
      <c r="G1397" t="inlineStr">
        <is>
          <t>Portal Web</t>
        </is>
      </c>
      <c r="H1397" t="inlineStr">
        <is>
          <t>Miguel Salazar</t>
        </is>
      </c>
      <c r="I1397" t="inlineStr">
        <is>
          <t>Perdido</t>
        </is>
      </c>
      <c r="J1397" s="28" t="n">
        <v>45724</v>
      </c>
      <c r="K1397" s="28" t="n">
        <v>45848</v>
      </c>
      <c r="L1397" t="inlineStr">
        <is>
          <t>No volvió a responder</t>
        </is>
      </c>
    </row>
    <row r="1398">
      <c r="A1398" t="inlineStr">
        <is>
          <t>CLI-1396</t>
        </is>
      </c>
      <c r="B1398" t="inlineStr">
        <is>
          <t>Verónica Franco Peláez</t>
        </is>
      </c>
      <c r="C1398" t="inlineStr">
        <is>
          <t>3239724502</t>
        </is>
      </c>
      <c r="D1398" t="inlineStr">
        <is>
          <t>veronica.franco81@outlook.com</t>
        </is>
      </c>
      <c r="E1398" t="inlineStr">
        <is>
          <t>Medellín</t>
        </is>
      </c>
      <c r="F1398" t="inlineStr">
        <is>
          <t>PRY-003</t>
        </is>
      </c>
      <c r="G1398" t="inlineStr">
        <is>
          <t>Referido</t>
        </is>
      </c>
      <c r="H1398" t="inlineStr">
        <is>
          <t>Daniela Ríos</t>
        </is>
      </c>
      <c r="I1398" t="inlineStr">
        <is>
          <t>Perdido</t>
        </is>
      </c>
      <c r="J1398" s="28" t="n">
        <v>45724</v>
      </c>
      <c r="K1398" s="28" t="n">
        <v>45750</v>
      </c>
      <c r="L1398" t="inlineStr">
        <is>
          <t>Buscaba arriendo, no compra</t>
        </is>
      </c>
    </row>
    <row r="1399">
      <c r="A1399" t="inlineStr">
        <is>
          <t>CLI-1397</t>
        </is>
      </c>
      <c r="B1399" t="inlineStr">
        <is>
          <t>Paula Escobar Mejía</t>
        </is>
      </c>
      <c r="C1399" t="inlineStr">
        <is>
          <t>3231411166</t>
        </is>
      </c>
      <c r="D1399" t="inlineStr">
        <is>
          <t>paula.escobar82@hotmail.com</t>
        </is>
      </c>
      <c r="E1399" t="inlineStr">
        <is>
          <t>Medellín</t>
        </is>
      </c>
      <c r="F1399" t="inlineStr">
        <is>
          <t>PRY-002</t>
        </is>
      </c>
      <c r="G1399" t="inlineStr">
        <is>
          <t>Portal Web</t>
        </is>
      </c>
      <c r="H1399" t="inlineStr">
        <is>
          <t>Luis Bedoya</t>
        </is>
      </c>
      <c r="I1399" t="inlineStr">
        <is>
          <t>Perdido</t>
        </is>
      </c>
      <c r="J1399" s="28" t="n">
        <v>45724</v>
      </c>
      <c r="K1399" s="28" t="n">
        <v>45734</v>
      </c>
      <c r="L1399" t="inlineStr">
        <is>
          <t>Datos de contacto errados</t>
        </is>
      </c>
    </row>
    <row r="1400">
      <c r="A1400" t="inlineStr">
        <is>
          <t>CLI-1398</t>
        </is>
      </c>
      <c r="B1400" t="inlineStr">
        <is>
          <t>Sofía Henao Salazar</t>
        </is>
      </c>
      <c r="C1400" t="inlineStr">
        <is>
          <t>3158795571</t>
        </is>
      </c>
      <c r="D1400" t="inlineStr">
        <is>
          <t>sofia.henao42@gmail.com</t>
        </is>
      </c>
      <c r="E1400" t="inlineStr">
        <is>
          <t>Medellín</t>
        </is>
      </c>
      <c r="F1400" t="inlineStr">
        <is>
          <t>PRY-003</t>
        </is>
      </c>
      <c r="G1400" t="inlineStr">
        <is>
          <t>Feria Inmobiliaria</t>
        </is>
      </c>
      <c r="H1400" t="inlineStr">
        <is>
          <t>Daniela Ríos</t>
        </is>
      </c>
      <c r="I1400" t="inlineStr">
        <is>
          <t>Ganado</t>
        </is>
      </c>
      <c r="J1400" s="28" t="n">
        <v>45725</v>
      </c>
      <c r="K1400" s="28" t="n">
        <v>45846</v>
      </c>
      <c r="L1400" t="inlineStr">
        <is>
          <t>Compró Apto 901 en Conecta Laureles</t>
        </is>
      </c>
    </row>
    <row r="1401">
      <c r="A1401" t="inlineStr">
        <is>
          <t>CLI-1399</t>
        </is>
      </c>
      <c r="B1401" t="inlineStr">
        <is>
          <t>Paola Hernández López</t>
        </is>
      </c>
      <c r="C1401" t="inlineStr">
        <is>
          <t>3006055423</t>
        </is>
      </c>
      <c r="D1401" t="inlineStr">
        <is>
          <t>paola.hernandez17@yahoo.com</t>
        </is>
      </c>
      <c r="E1401" t="inlineStr">
        <is>
          <t>Medellín</t>
        </is>
      </c>
      <c r="F1401" t="inlineStr">
        <is>
          <t>PRY-002</t>
        </is>
      </c>
      <c r="G1401" t="inlineStr">
        <is>
          <t>Facebook</t>
        </is>
      </c>
      <c r="H1401" t="inlineStr">
        <is>
          <t>Miguel Salazar</t>
        </is>
      </c>
      <c r="I1401" t="inlineStr">
        <is>
          <t>Ganado</t>
        </is>
      </c>
      <c r="J1401" s="28" t="n">
        <v>45725</v>
      </c>
      <c r="K1401" s="28" t="n">
        <v>45864</v>
      </c>
      <c r="L1401" t="inlineStr">
        <is>
          <t>Compró Casa 21 en Reserva Santa Elena</t>
        </is>
      </c>
    </row>
    <row r="1402">
      <c r="A1402" t="inlineStr">
        <is>
          <t>CLI-1400</t>
        </is>
      </c>
      <c r="B1402" t="inlineStr">
        <is>
          <t>Julián López Echeverri</t>
        </is>
      </c>
      <c r="C1402" t="inlineStr">
        <is>
          <t>3244248496</t>
        </is>
      </c>
      <c r="D1402" t="inlineStr">
        <is>
          <t>julian.lopez36@hotmail.com</t>
        </is>
      </c>
      <c r="E1402" t="inlineStr">
        <is>
          <t>Medellín</t>
        </is>
      </c>
      <c r="F1402" t="inlineStr">
        <is>
          <t>PRY-004</t>
        </is>
      </c>
      <c r="G1402" t="inlineStr">
        <is>
          <t>Instagram</t>
        </is>
      </c>
      <c r="H1402" t="inlineStr">
        <is>
          <t>Miguel Salazar</t>
        </is>
      </c>
      <c r="I1402" t="inlineStr">
        <is>
          <t>Perdido</t>
        </is>
      </c>
      <c r="J1402" s="28" t="n">
        <v>45725</v>
      </c>
      <c r="K1402" s="28" t="n">
        <v>45739</v>
      </c>
      <c r="L1402" t="inlineStr">
        <is>
          <t>Datos de contacto errados</t>
        </is>
      </c>
    </row>
    <row r="1403">
      <c r="A1403" t="inlineStr">
        <is>
          <t>CLI-1401</t>
        </is>
      </c>
      <c r="B1403" t="inlineStr">
        <is>
          <t>Esteban Quintero Espinosa</t>
        </is>
      </c>
      <c r="C1403" t="inlineStr">
        <is>
          <t>3132708759</t>
        </is>
      </c>
      <c r="D1403" t="inlineStr">
        <is>
          <t>esteban.quintero51@hotmail.com</t>
        </is>
      </c>
      <c r="E1403" t="inlineStr">
        <is>
          <t>Envigado</t>
        </is>
      </c>
      <c r="F1403" t="inlineStr">
        <is>
          <t>PRY-007</t>
        </is>
      </c>
      <c r="G1403" t="inlineStr">
        <is>
          <t>Portal Web</t>
        </is>
      </c>
      <c r="H1403" t="inlineStr">
        <is>
          <t>Miguel Salazar</t>
        </is>
      </c>
      <c r="I1403" t="inlineStr">
        <is>
          <t>Perdido</t>
        </is>
      </c>
      <c r="J1403" s="28" t="n">
        <v>45725</v>
      </c>
      <c r="K1403" s="28" t="n">
        <v>45741</v>
      </c>
      <c r="L1403" t="inlineStr">
        <is>
          <t>No calificó para crédito</t>
        </is>
      </c>
    </row>
    <row r="1404">
      <c r="A1404" t="inlineStr">
        <is>
          <t>CLI-1402</t>
        </is>
      </c>
      <c r="B1404" t="inlineStr">
        <is>
          <t>María Vásquez Betancur</t>
        </is>
      </c>
      <c r="C1404" t="inlineStr">
        <is>
          <t>3041224276</t>
        </is>
      </c>
      <c r="D1404" t="inlineStr">
        <is>
          <t>maria.vasquez41@gmail.com</t>
        </is>
      </c>
      <c r="E1404" t="inlineStr">
        <is>
          <t>Envigado</t>
        </is>
      </c>
      <c r="F1404" t="inlineStr">
        <is>
          <t>PRY-003</t>
        </is>
      </c>
      <c r="G1404" t="inlineStr">
        <is>
          <t>Llamada directa</t>
        </is>
      </c>
      <c r="H1404" t="inlineStr">
        <is>
          <t>Santiago Muñoz</t>
        </is>
      </c>
      <c r="I1404" t="inlineStr">
        <is>
          <t>Ganado</t>
        </is>
      </c>
      <c r="J1404" s="28" t="n">
        <v>45726</v>
      </c>
      <c r="K1404" s="28" t="n">
        <v>45831</v>
      </c>
      <c r="L1404" t="inlineStr">
        <is>
          <t>Compró Apto 2603 en Conecta Laureles</t>
        </is>
      </c>
    </row>
    <row r="1405">
      <c r="A1405" t="inlineStr">
        <is>
          <t>CLI-1403</t>
        </is>
      </c>
      <c r="B1405" t="inlineStr">
        <is>
          <t>Sofía Duque Zapata</t>
        </is>
      </c>
      <c r="C1405" t="inlineStr">
        <is>
          <t>3151794346</t>
        </is>
      </c>
      <c r="D1405" t="inlineStr">
        <is>
          <t>sofia.duque15@outlook.com</t>
        </is>
      </c>
      <c r="E1405" t="inlineStr">
        <is>
          <t>Bello</t>
        </is>
      </c>
      <c r="F1405" t="inlineStr">
        <is>
          <t>PRY-003</t>
        </is>
      </c>
      <c r="G1405" t="inlineStr">
        <is>
          <t>Portal Web</t>
        </is>
      </c>
      <c r="H1405" t="inlineStr">
        <is>
          <t>Paula Arenas</t>
        </is>
      </c>
      <c r="I1405" t="inlineStr">
        <is>
          <t>Ganado</t>
        </is>
      </c>
      <c r="J1405" s="28" t="n">
        <v>45726</v>
      </c>
      <c r="K1405" s="28" t="n">
        <v>45809</v>
      </c>
      <c r="L1405" t="inlineStr">
        <is>
          <t>Compró Apto 1408 en Conecta Laureles</t>
        </is>
      </c>
    </row>
    <row r="1406">
      <c r="A1406" t="inlineStr">
        <is>
          <t>CLI-1404</t>
        </is>
      </c>
      <c r="B1406" t="inlineStr">
        <is>
          <t>Juliana Marín Zapata</t>
        </is>
      </c>
      <c r="C1406" t="inlineStr">
        <is>
          <t>3014259717</t>
        </is>
      </c>
      <c r="D1406" t="inlineStr">
        <is>
          <t>juliana.marin49@outlook.com</t>
        </is>
      </c>
      <c r="E1406" t="inlineStr">
        <is>
          <t>Medellín</t>
        </is>
      </c>
      <c r="F1406" t="inlineStr">
        <is>
          <t>PRY-001</t>
        </is>
      </c>
      <c r="G1406" t="inlineStr">
        <is>
          <t>Instagram</t>
        </is>
      </c>
      <c r="H1406" t="inlineStr">
        <is>
          <t>Luis Bedoya</t>
        </is>
      </c>
      <c r="I1406" t="inlineStr">
        <is>
          <t>Perdido</t>
        </is>
      </c>
      <c r="J1406" s="28" t="n">
        <v>45726</v>
      </c>
      <c r="K1406" s="28" t="n">
        <v>45745</v>
      </c>
      <c r="L1406" t="inlineStr">
        <is>
          <t>Presupuesto insuficiente</t>
        </is>
      </c>
    </row>
    <row r="1407">
      <c r="A1407" t="inlineStr">
        <is>
          <t>CLI-1405</t>
        </is>
      </c>
      <c r="B1407" t="inlineStr">
        <is>
          <t>Mauricio Franco Peláez</t>
        </is>
      </c>
      <c r="C1407" t="inlineStr">
        <is>
          <t>3133452531</t>
        </is>
      </c>
      <c r="D1407" t="inlineStr">
        <is>
          <t>mauricio.franco84@gmail.com</t>
        </is>
      </c>
      <c r="E1407" t="inlineStr">
        <is>
          <t>Medellín</t>
        </is>
      </c>
      <c r="F1407" t="inlineStr">
        <is>
          <t>PRY-002</t>
        </is>
      </c>
      <c r="G1407" t="inlineStr">
        <is>
          <t>Facebook</t>
        </is>
      </c>
      <c r="H1407" t="inlineStr">
        <is>
          <t>Daniela Ríos</t>
        </is>
      </c>
      <c r="I1407" t="inlineStr">
        <is>
          <t>Perdido</t>
        </is>
      </c>
      <c r="J1407" s="28" t="n">
        <v>45726</v>
      </c>
      <c r="K1407" s="28" t="n">
        <v>45756</v>
      </c>
      <c r="L1407" t="inlineStr">
        <is>
          <t>Presupuesto insuficiente</t>
        </is>
      </c>
    </row>
    <row r="1408">
      <c r="A1408" t="inlineStr">
        <is>
          <t>CLI-1406</t>
        </is>
      </c>
      <c r="B1408" t="inlineStr">
        <is>
          <t>Esteban Salazar Echeverri</t>
        </is>
      </c>
      <c r="C1408" t="inlineStr">
        <is>
          <t>3207314089</t>
        </is>
      </c>
      <c r="D1408" t="inlineStr">
        <is>
          <t>esteban.salazar76@outlook.com</t>
        </is>
      </c>
      <c r="E1408" t="inlineStr">
        <is>
          <t>Sabaneta</t>
        </is>
      </c>
      <c r="F1408" t="inlineStr">
        <is>
          <t>PRY-002</t>
        </is>
      </c>
      <c r="G1408" t="inlineStr">
        <is>
          <t>Feria Inmobiliaria</t>
        </is>
      </c>
      <c r="H1408" t="inlineStr">
        <is>
          <t>Santiago Muñoz</t>
        </is>
      </c>
      <c r="I1408" t="inlineStr">
        <is>
          <t>Perdido</t>
        </is>
      </c>
      <c r="J1408" s="28" t="n">
        <v>45726</v>
      </c>
      <c r="K1408" s="28" t="n">
        <v>45755</v>
      </c>
      <c r="L1408" t="inlineStr">
        <is>
          <t>No calificó para crédito</t>
        </is>
      </c>
    </row>
    <row r="1409">
      <c r="A1409" t="inlineStr">
        <is>
          <t>CLI-1407</t>
        </is>
      </c>
      <c r="B1409" t="inlineStr">
        <is>
          <t>Verónica Jaramillo Ochoa</t>
        </is>
      </c>
      <c r="C1409" t="inlineStr">
        <is>
          <t>3018010562</t>
        </is>
      </c>
      <c r="D1409" t="inlineStr">
        <is>
          <t>veronica.jaramillo41@outlook.com</t>
        </is>
      </c>
      <c r="E1409" t="inlineStr">
        <is>
          <t>Itagüí</t>
        </is>
      </c>
      <c r="F1409" t="inlineStr">
        <is>
          <t>PRY-008</t>
        </is>
      </c>
      <c r="G1409" t="inlineStr">
        <is>
          <t>Portal Web</t>
        </is>
      </c>
      <c r="H1409" t="inlineStr">
        <is>
          <t>Luis Bedoya</t>
        </is>
      </c>
      <c r="I1409" t="inlineStr">
        <is>
          <t>Perdido</t>
        </is>
      </c>
      <c r="J1409" s="28" t="n">
        <v>45726</v>
      </c>
      <c r="K1409" s="28" t="n">
        <v>45732</v>
      </c>
      <c r="L1409" t="inlineStr">
        <is>
          <t>Datos de contacto errados</t>
        </is>
      </c>
    </row>
    <row r="1410">
      <c r="A1410" t="inlineStr">
        <is>
          <t>CLI-1408</t>
        </is>
      </c>
      <c r="B1410" t="inlineStr">
        <is>
          <t>Catalina Rojas Ochoa</t>
        </is>
      </c>
      <c r="C1410" t="inlineStr">
        <is>
          <t>3148368133</t>
        </is>
      </c>
      <c r="D1410" t="inlineStr">
        <is>
          <t>catalina.rojas52@gmail.com</t>
        </is>
      </c>
      <c r="E1410" t="inlineStr">
        <is>
          <t>Medellín</t>
        </is>
      </c>
      <c r="F1410" t="inlineStr">
        <is>
          <t>PRY-005</t>
        </is>
      </c>
      <c r="G1410" t="inlineStr">
        <is>
          <t>Facebook</t>
        </is>
      </c>
      <c r="H1410" t="inlineStr">
        <is>
          <t>Santiago Muñoz</t>
        </is>
      </c>
      <c r="I1410" t="inlineStr">
        <is>
          <t>Perdido</t>
        </is>
      </c>
      <c r="J1410" s="28" t="n">
        <v>45726</v>
      </c>
      <c r="K1410" s="28" t="n">
        <v>45745</v>
      </c>
      <c r="L1410" t="inlineStr">
        <is>
          <t>Datos de contacto errados</t>
        </is>
      </c>
    </row>
    <row r="1411">
      <c r="A1411" t="inlineStr">
        <is>
          <t>CLI-1409</t>
        </is>
      </c>
      <c r="B1411" t="inlineStr">
        <is>
          <t>Jorge Echeverri Arango</t>
        </is>
      </c>
      <c r="C1411" t="inlineStr">
        <is>
          <t>3172362956</t>
        </is>
      </c>
      <c r="D1411" t="inlineStr">
        <is>
          <t>jorge.echeverri58@hotmail.com</t>
        </is>
      </c>
      <c r="E1411" t="inlineStr">
        <is>
          <t>Rionegro</t>
        </is>
      </c>
      <c r="F1411" t="inlineStr">
        <is>
          <t>PRY-007</t>
        </is>
      </c>
      <c r="G1411" t="inlineStr">
        <is>
          <t>Llamada directa</t>
        </is>
      </c>
      <c r="H1411" t="inlineStr">
        <is>
          <t>Luis Bedoya</t>
        </is>
      </c>
      <c r="I1411" t="inlineStr">
        <is>
          <t>Perdido</t>
        </is>
      </c>
      <c r="J1411" s="28" t="n">
        <v>45726</v>
      </c>
      <c r="K1411" s="28" t="n">
        <v>45736</v>
      </c>
      <c r="L1411" t="inlineStr">
        <is>
          <t>Buscaba arriendo, no compra</t>
        </is>
      </c>
    </row>
    <row r="1412">
      <c r="A1412" t="inlineStr">
        <is>
          <t>CLI-1410</t>
        </is>
      </c>
      <c r="B1412" t="inlineStr">
        <is>
          <t>Santiago López Montoya</t>
        </is>
      </c>
      <c r="C1412" t="inlineStr">
        <is>
          <t>3041327728</t>
        </is>
      </c>
      <c r="D1412" t="inlineStr">
        <is>
          <t>santiago.lopez86@outlook.com</t>
        </is>
      </c>
      <c r="E1412" t="inlineStr">
        <is>
          <t>Medellín</t>
        </is>
      </c>
      <c r="F1412" t="inlineStr">
        <is>
          <t>PRY-003</t>
        </is>
      </c>
      <c r="G1412" t="inlineStr">
        <is>
          <t>Feria Inmobiliaria</t>
        </is>
      </c>
      <c r="H1412" t="inlineStr">
        <is>
          <t>Santiago Muñoz</t>
        </is>
      </c>
      <c r="I1412" t="inlineStr">
        <is>
          <t>Perdido</t>
        </is>
      </c>
      <c r="J1412" s="28" t="n">
        <v>45726</v>
      </c>
      <c r="K1412" s="28" t="n">
        <v>45756</v>
      </c>
      <c r="L1412" t="inlineStr">
        <is>
          <t>Buscaba arriendo, no compra</t>
        </is>
      </c>
    </row>
    <row r="1413">
      <c r="A1413" t="inlineStr">
        <is>
          <t>CLI-1411</t>
        </is>
      </c>
      <c r="B1413" t="inlineStr">
        <is>
          <t>Sofía Ramírez Jaramillo</t>
        </is>
      </c>
      <c r="C1413" t="inlineStr">
        <is>
          <t>3019522498</t>
        </is>
      </c>
      <c r="D1413" t="inlineStr">
        <is>
          <t>sofia.ramirez85@outlook.com</t>
        </is>
      </c>
      <c r="E1413" t="inlineStr">
        <is>
          <t>Rionegro</t>
        </is>
      </c>
      <c r="F1413" t="inlineStr">
        <is>
          <t>PRY-005</t>
        </is>
      </c>
      <c r="G1413" t="inlineStr">
        <is>
          <t>Llamada directa</t>
        </is>
      </c>
      <c r="H1413" t="inlineStr">
        <is>
          <t>Ana Quintero</t>
        </is>
      </c>
      <c r="I1413" t="inlineStr">
        <is>
          <t>Ganado</t>
        </is>
      </c>
      <c r="J1413" s="28" t="n">
        <v>45727</v>
      </c>
      <c r="K1413" s="28" t="n">
        <v>45860</v>
      </c>
      <c r="L1413" t="inlineStr">
        <is>
          <t>Compró Apto 504 en Ciudadela Rionegro</t>
        </is>
      </c>
    </row>
    <row r="1414">
      <c r="A1414" t="inlineStr">
        <is>
          <t>CLI-1412</t>
        </is>
      </c>
      <c r="B1414" t="inlineStr">
        <is>
          <t>Paola Quintero Zuluaga</t>
        </is>
      </c>
      <c r="C1414" t="inlineStr">
        <is>
          <t>3045706988</t>
        </is>
      </c>
      <c r="D1414" t="inlineStr">
        <is>
          <t>paola.quintero93@outlook.com</t>
        </is>
      </c>
      <c r="E1414" t="inlineStr">
        <is>
          <t>Sabaneta</t>
        </is>
      </c>
      <c r="F1414" t="inlineStr">
        <is>
          <t>PRY-005</t>
        </is>
      </c>
      <c r="G1414" t="inlineStr">
        <is>
          <t>Portal Web</t>
        </is>
      </c>
      <c r="H1414" t="inlineStr">
        <is>
          <t>Luis Bedoya</t>
        </is>
      </c>
      <c r="I1414" t="inlineStr">
        <is>
          <t>Perdido</t>
        </is>
      </c>
      <c r="J1414" s="28" t="n">
        <v>45727</v>
      </c>
      <c r="K1414" s="28" t="n">
        <v>45748</v>
      </c>
      <c r="L1414" t="inlineStr">
        <is>
          <t>Sin respuesta tras 3 contactos</t>
        </is>
      </c>
    </row>
    <row r="1415">
      <c r="A1415" t="inlineStr">
        <is>
          <t>CLI-1413</t>
        </is>
      </c>
      <c r="B1415" t="inlineStr">
        <is>
          <t>José Castaño Correa</t>
        </is>
      </c>
      <c r="C1415" t="inlineStr">
        <is>
          <t>3234877584</t>
        </is>
      </c>
      <c r="D1415" t="inlineStr">
        <is>
          <t>jose.castano44@gmail.com</t>
        </is>
      </c>
      <c r="E1415" t="inlineStr">
        <is>
          <t>Medellín</t>
        </is>
      </c>
      <c r="F1415" t="inlineStr">
        <is>
          <t>PRY-003</t>
        </is>
      </c>
      <c r="G1415" t="inlineStr">
        <is>
          <t>Facebook</t>
        </is>
      </c>
      <c r="H1415" t="inlineStr">
        <is>
          <t>Ana Quintero</t>
        </is>
      </c>
      <c r="I1415" t="inlineStr">
        <is>
          <t>Perdido</t>
        </is>
      </c>
      <c r="J1415" s="28" t="n">
        <v>45727</v>
      </c>
      <c r="K1415" s="28" t="n">
        <v>45746</v>
      </c>
      <c r="L1415" t="inlineStr">
        <is>
          <t>Sin respuesta tras 3 contactos</t>
        </is>
      </c>
    </row>
    <row r="1416">
      <c r="A1416" t="inlineStr">
        <is>
          <t>CLI-1414</t>
        </is>
      </c>
      <c r="B1416" t="inlineStr">
        <is>
          <t>Luisa Restrepo Bedoya</t>
        </is>
      </c>
      <c r="C1416" t="inlineStr">
        <is>
          <t>3203450711</t>
        </is>
      </c>
      <c r="D1416" t="inlineStr">
        <is>
          <t>luisa.restrepo98@yahoo.com</t>
        </is>
      </c>
      <c r="E1416" t="inlineStr">
        <is>
          <t>La Estrella</t>
        </is>
      </c>
      <c r="F1416" t="inlineStr">
        <is>
          <t>PRY-007</t>
        </is>
      </c>
      <c r="G1416" t="inlineStr">
        <is>
          <t>Portal Web</t>
        </is>
      </c>
      <c r="H1416" t="inlineStr">
        <is>
          <t>Paula Arenas</t>
        </is>
      </c>
      <c r="I1416" t="inlineStr">
        <is>
          <t>Perdido</t>
        </is>
      </c>
      <c r="J1416" s="28" t="n">
        <v>45727</v>
      </c>
      <c r="K1416" s="28" t="n">
        <v>45755</v>
      </c>
      <c r="L1416" t="inlineStr">
        <is>
          <t>Datos de contacto errados</t>
        </is>
      </c>
    </row>
    <row r="1417">
      <c r="A1417" t="inlineStr">
        <is>
          <t>CLI-1415</t>
        </is>
      </c>
      <c r="B1417" t="inlineStr">
        <is>
          <t>Tomás Higuita Henao</t>
        </is>
      </c>
      <c r="C1417" t="inlineStr">
        <is>
          <t>3041335512</t>
        </is>
      </c>
      <c r="D1417" t="inlineStr">
        <is>
          <t>tomas.higuita58@hotmail.com</t>
        </is>
      </c>
      <c r="E1417" t="inlineStr">
        <is>
          <t>Medellín</t>
        </is>
      </c>
      <c r="F1417" t="inlineStr">
        <is>
          <t>PRY-001</t>
        </is>
      </c>
      <c r="G1417" t="inlineStr">
        <is>
          <t>Portal Web</t>
        </is>
      </c>
      <c r="H1417" t="inlineStr">
        <is>
          <t>Ana Quintero</t>
        </is>
      </c>
      <c r="I1417" t="inlineStr">
        <is>
          <t>Perdido</t>
        </is>
      </c>
      <c r="J1417" s="28" t="n">
        <v>45727</v>
      </c>
      <c r="K1417" s="28" t="n">
        <v>45733</v>
      </c>
      <c r="L1417" t="inlineStr">
        <is>
          <t>Sin respuesta tras 3 contactos</t>
        </is>
      </c>
    </row>
    <row r="1418">
      <c r="A1418" t="inlineStr">
        <is>
          <t>CLI-1416</t>
        </is>
      </c>
      <c r="B1418" t="inlineStr">
        <is>
          <t>Diego Valencia Restrepo</t>
        </is>
      </c>
      <c r="C1418" t="inlineStr">
        <is>
          <t>3149162747</t>
        </is>
      </c>
      <c r="D1418" t="inlineStr">
        <is>
          <t>diego.valencia28@outlook.com</t>
        </is>
      </c>
      <c r="E1418" t="inlineStr">
        <is>
          <t>Itagüí</t>
        </is>
      </c>
      <c r="F1418" t="inlineStr">
        <is>
          <t>PRY-008</t>
        </is>
      </c>
      <c r="G1418" t="inlineStr">
        <is>
          <t>Feria Inmobiliaria</t>
        </is>
      </c>
      <c r="H1418" t="inlineStr">
        <is>
          <t>Paula Arenas</t>
        </is>
      </c>
      <c r="I1418" t="inlineStr">
        <is>
          <t>Perdido</t>
        </is>
      </c>
      <c r="J1418" s="28" t="n">
        <v>45728</v>
      </c>
      <c r="K1418" s="28" t="n">
        <v>45756</v>
      </c>
      <c r="L1418" t="inlineStr">
        <is>
          <t>Presupuesto insuficiente</t>
        </is>
      </c>
    </row>
    <row r="1419">
      <c r="A1419" t="inlineStr">
        <is>
          <t>CLI-1417</t>
        </is>
      </c>
      <c r="B1419" t="inlineStr">
        <is>
          <t>Verónica Valencia Quintero</t>
        </is>
      </c>
      <c r="C1419" t="inlineStr">
        <is>
          <t>3236183119</t>
        </is>
      </c>
      <c r="D1419" t="inlineStr">
        <is>
          <t>veronica.valencia80@gmail.com</t>
        </is>
      </c>
      <c r="E1419" t="inlineStr">
        <is>
          <t>Envigado</t>
        </is>
      </c>
      <c r="F1419" t="inlineStr">
        <is>
          <t>PRY-008</t>
        </is>
      </c>
      <c r="G1419" t="inlineStr">
        <is>
          <t>Instagram</t>
        </is>
      </c>
      <c r="H1419" t="inlineStr">
        <is>
          <t>Miguel Salazar</t>
        </is>
      </c>
      <c r="I1419" t="inlineStr">
        <is>
          <t>Perdido</t>
        </is>
      </c>
      <c r="J1419" s="28" t="n">
        <v>45729</v>
      </c>
      <c r="K1419" s="28" t="n">
        <v>45821</v>
      </c>
      <c r="L1419" t="inlineStr">
        <is>
          <t>Crédito no aprobado</t>
        </is>
      </c>
    </row>
    <row r="1420">
      <c r="A1420" t="inlineStr">
        <is>
          <t>CLI-1418</t>
        </is>
      </c>
      <c r="B1420" t="inlineStr">
        <is>
          <t>Lorena Peláez Cardona</t>
        </is>
      </c>
      <c r="C1420" t="inlineStr">
        <is>
          <t>3015402145</t>
        </is>
      </c>
      <c r="D1420" t="inlineStr">
        <is>
          <t>lorena.pelaez96@outlook.com</t>
        </is>
      </c>
      <c r="E1420" t="inlineStr">
        <is>
          <t>Medellín</t>
        </is>
      </c>
      <c r="F1420" t="inlineStr">
        <is>
          <t>PRY-003</t>
        </is>
      </c>
      <c r="G1420" t="inlineStr">
        <is>
          <t>Referido</t>
        </is>
      </c>
      <c r="H1420" t="inlineStr">
        <is>
          <t>Daniela Ríos</t>
        </is>
      </c>
      <c r="I1420" t="inlineStr">
        <is>
          <t>Ganado</t>
        </is>
      </c>
      <c r="J1420" s="28" t="n">
        <v>45730</v>
      </c>
      <c r="K1420" s="28" t="n">
        <v>45842</v>
      </c>
      <c r="L1420" t="inlineStr">
        <is>
          <t>Compró Apto 501 en Conecta Laureles</t>
        </is>
      </c>
    </row>
    <row r="1421">
      <c r="A1421" t="inlineStr">
        <is>
          <t>CLI-1419</t>
        </is>
      </c>
      <c r="B1421" t="inlineStr">
        <is>
          <t>Gloria Sánchez Ramírez</t>
        </is>
      </c>
      <c r="C1421" t="inlineStr">
        <is>
          <t>3107084493</t>
        </is>
      </c>
      <c r="D1421" t="inlineStr">
        <is>
          <t>gloria.sanchez32@yahoo.com</t>
        </is>
      </c>
      <c r="E1421" t="inlineStr">
        <is>
          <t>Medellín</t>
        </is>
      </c>
      <c r="F1421" t="inlineStr">
        <is>
          <t>PRY-002</t>
        </is>
      </c>
      <c r="G1421" t="inlineStr">
        <is>
          <t>Portal Web</t>
        </is>
      </c>
      <c r="H1421" t="inlineStr">
        <is>
          <t>Santiago Muñoz</t>
        </is>
      </c>
      <c r="I1421" t="inlineStr">
        <is>
          <t>Perdido</t>
        </is>
      </c>
      <c r="J1421" s="28" t="n">
        <v>45730</v>
      </c>
      <c r="K1421" s="28" t="n">
        <v>45743</v>
      </c>
      <c r="L1421" t="inlineStr">
        <is>
          <t>Sin respuesta tras 3 contactos</t>
        </is>
      </c>
    </row>
    <row r="1422">
      <c r="A1422" t="inlineStr">
        <is>
          <t>CLI-1420</t>
        </is>
      </c>
      <c r="B1422" t="inlineStr">
        <is>
          <t>Paola Ramírez Rojas</t>
        </is>
      </c>
      <c r="C1422" t="inlineStr">
        <is>
          <t>3244916838</t>
        </is>
      </c>
      <c r="D1422" t="inlineStr">
        <is>
          <t>paola.ramirez47@gmail.com</t>
        </is>
      </c>
      <c r="E1422" t="inlineStr">
        <is>
          <t>Medellín</t>
        </is>
      </c>
      <c r="F1422" t="inlineStr">
        <is>
          <t>PRY-003</t>
        </is>
      </c>
      <c r="G1422" t="inlineStr">
        <is>
          <t>Facebook</t>
        </is>
      </c>
      <c r="H1422" t="inlineStr">
        <is>
          <t>Ana Quintero</t>
        </is>
      </c>
      <c r="I1422" t="inlineStr">
        <is>
          <t>Perdido</t>
        </is>
      </c>
      <c r="J1422" s="28" t="n">
        <v>45730</v>
      </c>
      <c r="K1422" s="28" t="n">
        <v>45742</v>
      </c>
      <c r="L1422" t="inlineStr">
        <is>
          <t>No calificó para crédito</t>
        </is>
      </c>
    </row>
    <row r="1423">
      <c r="A1423" t="inlineStr">
        <is>
          <t>CLI-1421</t>
        </is>
      </c>
      <c r="B1423" t="inlineStr">
        <is>
          <t>Wilson Uribe López</t>
        </is>
      </c>
      <c r="C1423" t="inlineStr">
        <is>
          <t>3226384619</t>
        </is>
      </c>
      <c r="D1423" t="inlineStr">
        <is>
          <t>wilson.uribe19@hotmail.com</t>
        </is>
      </c>
      <c r="E1423" t="inlineStr">
        <is>
          <t>Sabaneta</t>
        </is>
      </c>
      <c r="F1423" t="inlineStr">
        <is>
          <t>PRY-003</t>
        </is>
      </c>
      <c r="G1423" t="inlineStr">
        <is>
          <t>Portal Web</t>
        </is>
      </c>
      <c r="H1423" t="inlineStr">
        <is>
          <t>Ana Quintero</t>
        </is>
      </c>
      <c r="I1423" t="inlineStr">
        <is>
          <t>Perdido</t>
        </is>
      </c>
      <c r="J1423" s="28" t="n">
        <v>45730</v>
      </c>
      <c r="K1423" s="28" t="n">
        <v>45746</v>
      </c>
      <c r="L1423" t="inlineStr">
        <is>
          <t>Sin respuesta tras 3 contactos</t>
        </is>
      </c>
    </row>
    <row r="1424">
      <c r="A1424" t="inlineStr">
        <is>
          <t>CLI-1422</t>
        </is>
      </c>
      <c r="B1424" t="inlineStr">
        <is>
          <t>Cristian Rojas Salazar</t>
        </is>
      </c>
      <c r="C1424" t="inlineStr">
        <is>
          <t>3208348255</t>
        </is>
      </c>
      <c r="D1424" t="inlineStr">
        <is>
          <t>cristian.rojas92@hotmail.com</t>
        </is>
      </c>
      <c r="E1424" t="inlineStr">
        <is>
          <t>Envigado</t>
        </is>
      </c>
      <c r="F1424" t="inlineStr">
        <is>
          <t>PRY-002</t>
        </is>
      </c>
      <c r="G1424" t="inlineStr">
        <is>
          <t>Facebook</t>
        </is>
      </c>
      <c r="H1424" t="inlineStr">
        <is>
          <t>Sofía Prada</t>
        </is>
      </c>
      <c r="I1424" t="inlineStr">
        <is>
          <t>Perdido</t>
        </is>
      </c>
      <c r="J1424" s="28" t="n">
        <v>45731</v>
      </c>
      <c r="K1424" s="28" t="n">
        <v>45737</v>
      </c>
      <c r="L1424" t="inlineStr">
        <is>
          <t>No calificó para crédito</t>
        </is>
      </c>
    </row>
    <row r="1425">
      <c r="A1425" t="inlineStr">
        <is>
          <t>CLI-1423</t>
        </is>
      </c>
      <c r="B1425" t="inlineStr">
        <is>
          <t>Mauricio Ríos Hernández</t>
        </is>
      </c>
      <c r="C1425" t="inlineStr">
        <is>
          <t>3224476247</t>
        </is>
      </c>
      <c r="D1425" t="inlineStr">
        <is>
          <t>mauricio.rios69@hotmail.com</t>
        </is>
      </c>
      <c r="E1425" t="inlineStr">
        <is>
          <t>Bello</t>
        </is>
      </c>
      <c r="F1425" t="inlineStr">
        <is>
          <t>PRY-005</t>
        </is>
      </c>
      <c r="G1425" t="inlineStr">
        <is>
          <t>Facebook</t>
        </is>
      </c>
      <c r="H1425" t="inlineStr">
        <is>
          <t>Miguel Salazar</t>
        </is>
      </c>
      <c r="I1425" t="inlineStr">
        <is>
          <t>Ganado</t>
        </is>
      </c>
      <c r="J1425" s="28" t="n">
        <v>45732</v>
      </c>
      <c r="K1425" s="28" t="n">
        <v>45839</v>
      </c>
      <c r="L1425" t="inlineStr">
        <is>
          <t>Compró Casa 9 en Ciudadela Rionegro</t>
        </is>
      </c>
    </row>
    <row r="1426">
      <c r="A1426" t="inlineStr">
        <is>
          <t>CLI-1424</t>
        </is>
      </c>
      <c r="B1426" t="inlineStr">
        <is>
          <t>Alejandro Peláez Henao</t>
        </is>
      </c>
      <c r="C1426" t="inlineStr">
        <is>
          <t>3009631232</t>
        </is>
      </c>
      <c r="D1426" t="inlineStr">
        <is>
          <t>alejandro.pelaez25@gmail.com</t>
        </is>
      </c>
      <c r="E1426" t="inlineStr">
        <is>
          <t>Itagüí</t>
        </is>
      </c>
      <c r="F1426" t="inlineStr">
        <is>
          <t>PRY-006</t>
        </is>
      </c>
      <c r="G1426" t="inlineStr">
        <is>
          <t>Facebook</t>
        </is>
      </c>
      <c r="H1426" t="inlineStr">
        <is>
          <t>Paula Arenas</t>
        </is>
      </c>
      <c r="I1426" t="inlineStr">
        <is>
          <t>Ganado</t>
        </is>
      </c>
      <c r="J1426" s="28" t="n">
        <v>45733</v>
      </c>
      <c r="K1426" s="28" t="n">
        <v>45861</v>
      </c>
      <c r="L1426" t="inlineStr">
        <is>
          <t>Compró Local 6 en Plaza Bello</t>
        </is>
      </c>
    </row>
    <row r="1427">
      <c r="A1427" t="inlineStr">
        <is>
          <t>CLI-1425</t>
        </is>
      </c>
      <c r="B1427" t="inlineStr">
        <is>
          <t>Lorena Londoño Ramírez</t>
        </is>
      </c>
      <c r="C1427" t="inlineStr">
        <is>
          <t>3229588357</t>
        </is>
      </c>
      <c r="D1427" t="inlineStr">
        <is>
          <t>lorena.londono78@outlook.com</t>
        </is>
      </c>
      <c r="E1427" t="inlineStr">
        <is>
          <t>Envigado</t>
        </is>
      </c>
      <c r="F1427" t="inlineStr">
        <is>
          <t>PRY-007</t>
        </is>
      </c>
      <c r="G1427" t="inlineStr">
        <is>
          <t>Portal Web</t>
        </is>
      </c>
      <c r="H1427" t="inlineStr">
        <is>
          <t>Juliana Vélez</t>
        </is>
      </c>
      <c r="I1427" t="inlineStr">
        <is>
          <t>Perdido</t>
        </is>
      </c>
      <c r="J1427" s="28" t="n">
        <v>45733</v>
      </c>
      <c r="K1427" s="28" t="n">
        <v>45762</v>
      </c>
      <c r="L1427" t="inlineStr">
        <is>
          <t>Buscaba arriendo, no compra</t>
        </is>
      </c>
    </row>
    <row r="1428">
      <c r="A1428" t="inlineStr">
        <is>
          <t>CLI-1426</t>
        </is>
      </c>
      <c r="B1428" t="inlineStr">
        <is>
          <t>David Álvarez Cardona</t>
        </is>
      </c>
      <c r="C1428" t="inlineStr">
        <is>
          <t>3208939813</t>
        </is>
      </c>
      <c r="D1428" t="inlineStr">
        <is>
          <t>david.alvarez94@hotmail.com</t>
        </is>
      </c>
      <c r="E1428" t="inlineStr">
        <is>
          <t>Medellín</t>
        </is>
      </c>
      <c r="F1428" t="inlineStr">
        <is>
          <t>PRY-004</t>
        </is>
      </c>
      <c r="G1428" t="inlineStr">
        <is>
          <t>Instagram</t>
        </is>
      </c>
      <c r="H1428" t="inlineStr">
        <is>
          <t>Miguel Salazar</t>
        </is>
      </c>
      <c r="I1428" t="inlineStr">
        <is>
          <t>Perdido</t>
        </is>
      </c>
      <c r="J1428" s="28" t="n">
        <v>45733</v>
      </c>
      <c r="K1428" s="28" t="n">
        <v>45759</v>
      </c>
      <c r="L1428" t="inlineStr">
        <is>
          <t>Sin respuesta tras 3 contactos</t>
        </is>
      </c>
    </row>
    <row r="1429">
      <c r="A1429" t="inlineStr">
        <is>
          <t>CLI-1427</t>
        </is>
      </c>
      <c r="B1429" t="inlineStr">
        <is>
          <t>Natalia Marín Duque</t>
        </is>
      </c>
      <c r="C1429" t="inlineStr">
        <is>
          <t>3148636923</t>
        </is>
      </c>
      <c r="D1429" t="inlineStr">
        <is>
          <t>natalia.marin55@outlook.com</t>
        </is>
      </c>
      <c r="E1429" t="inlineStr">
        <is>
          <t>Rionegro</t>
        </is>
      </c>
      <c r="F1429" t="inlineStr">
        <is>
          <t>PRY-005</t>
        </is>
      </c>
      <c r="G1429" t="inlineStr">
        <is>
          <t>Referido</t>
        </is>
      </c>
      <c r="H1429" t="inlineStr">
        <is>
          <t>Sofía Prada</t>
        </is>
      </c>
      <c r="I1429" t="inlineStr">
        <is>
          <t>Perdido</t>
        </is>
      </c>
      <c r="J1429" s="28" t="n">
        <v>45733</v>
      </c>
      <c r="K1429" s="28" t="n">
        <v>45757</v>
      </c>
      <c r="L1429" t="inlineStr">
        <is>
          <t>No calificó para crédito</t>
        </is>
      </c>
    </row>
    <row r="1430">
      <c r="A1430" t="inlineStr">
        <is>
          <t>CLI-1428</t>
        </is>
      </c>
      <c r="B1430" t="inlineStr">
        <is>
          <t>Katherine Montes Agudelo</t>
        </is>
      </c>
      <c r="C1430" t="inlineStr">
        <is>
          <t>3011911580</t>
        </is>
      </c>
      <c r="D1430" t="inlineStr">
        <is>
          <t>katherine.montes83@gmail.com</t>
        </is>
      </c>
      <c r="E1430" t="inlineStr">
        <is>
          <t>Bello</t>
        </is>
      </c>
      <c r="F1430" t="inlineStr">
        <is>
          <t>PRY-002</t>
        </is>
      </c>
      <c r="G1430" t="inlineStr">
        <is>
          <t>Feria Inmobiliaria</t>
        </is>
      </c>
      <c r="H1430" t="inlineStr">
        <is>
          <t>Daniela Ríos</t>
        </is>
      </c>
      <c r="I1430" t="inlineStr">
        <is>
          <t>Perdido</t>
        </is>
      </c>
      <c r="J1430" s="28" t="n">
        <v>45733</v>
      </c>
      <c r="K1430" s="28" t="n">
        <v>45761</v>
      </c>
      <c r="L1430" t="inlineStr">
        <is>
          <t>Presupuesto insuficiente</t>
        </is>
      </c>
    </row>
    <row r="1431">
      <c r="A1431" t="inlineStr">
        <is>
          <t>CLI-1429</t>
        </is>
      </c>
      <c r="B1431" t="inlineStr">
        <is>
          <t>Tomás Cifuentes Bedoya</t>
        </is>
      </c>
      <c r="C1431" t="inlineStr">
        <is>
          <t>3003750949</t>
        </is>
      </c>
      <c r="D1431" t="inlineStr">
        <is>
          <t>tomas.cifuentes83@hotmail.com</t>
        </is>
      </c>
      <c r="E1431" t="inlineStr">
        <is>
          <t>Envigado</t>
        </is>
      </c>
      <c r="F1431" t="inlineStr">
        <is>
          <t>PRY-006</t>
        </is>
      </c>
      <c r="G1431" t="inlineStr">
        <is>
          <t>Referido</t>
        </is>
      </c>
      <c r="H1431" t="inlineStr">
        <is>
          <t>Sofía Prada</t>
        </is>
      </c>
      <c r="I1431" t="inlineStr">
        <is>
          <t>Ganado</t>
        </is>
      </c>
      <c r="J1431" s="28" t="n">
        <v>45734</v>
      </c>
      <c r="K1431" s="28" t="n">
        <v>45857</v>
      </c>
      <c r="L1431" t="inlineStr">
        <is>
          <t>Compró Local 5 en Plaza Bello</t>
        </is>
      </c>
    </row>
    <row r="1432">
      <c r="A1432" t="inlineStr">
        <is>
          <t>CLI-1430</t>
        </is>
      </c>
      <c r="B1432" t="inlineStr">
        <is>
          <t>Felipe Giraldo Restrepo</t>
        </is>
      </c>
      <c r="C1432" t="inlineStr">
        <is>
          <t>3209440816</t>
        </is>
      </c>
      <c r="D1432" t="inlineStr">
        <is>
          <t>felipe.giraldo42@outlook.com</t>
        </is>
      </c>
      <c r="E1432" t="inlineStr">
        <is>
          <t>Rionegro</t>
        </is>
      </c>
      <c r="F1432" t="inlineStr">
        <is>
          <t>PRY-001</t>
        </is>
      </c>
      <c r="G1432" t="inlineStr">
        <is>
          <t>Portal Web</t>
        </is>
      </c>
      <c r="H1432" t="inlineStr">
        <is>
          <t>Santiago Muñoz</t>
        </is>
      </c>
      <c r="I1432" t="inlineStr">
        <is>
          <t>Ganado</t>
        </is>
      </c>
      <c r="J1432" s="28" t="n">
        <v>45734</v>
      </c>
      <c r="K1432" s="28" t="n">
        <v>45823</v>
      </c>
      <c r="L1432" t="inlineStr">
        <is>
          <t>Compró Apto 2102 en Torres del Poblado</t>
        </is>
      </c>
    </row>
    <row r="1433">
      <c r="A1433" t="inlineStr">
        <is>
          <t>CLI-1431</t>
        </is>
      </c>
      <c r="B1433" t="inlineStr">
        <is>
          <t>Mauricio Zapata Osorio</t>
        </is>
      </c>
      <c r="C1433" t="inlineStr">
        <is>
          <t>3203932432</t>
        </is>
      </c>
      <c r="D1433" t="inlineStr">
        <is>
          <t>mauricio.zapata73@yahoo.com</t>
        </is>
      </c>
      <c r="E1433" t="inlineStr">
        <is>
          <t>Sabaneta</t>
        </is>
      </c>
      <c r="F1433" t="inlineStr">
        <is>
          <t>PRY-001</t>
        </is>
      </c>
      <c r="G1433" t="inlineStr">
        <is>
          <t>Portal Web</t>
        </is>
      </c>
      <c r="H1433" t="inlineStr">
        <is>
          <t>Luis Bedoya</t>
        </is>
      </c>
      <c r="I1433" t="inlineStr">
        <is>
          <t>Perdido</t>
        </is>
      </c>
      <c r="J1433" s="28" t="n">
        <v>45734</v>
      </c>
      <c r="K1433" s="28" t="n">
        <v>45747</v>
      </c>
      <c r="L1433" t="inlineStr">
        <is>
          <t>Sin respuesta tras 3 contactos</t>
        </is>
      </c>
    </row>
    <row r="1434">
      <c r="A1434" t="inlineStr">
        <is>
          <t>CLI-1432</t>
        </is>
      </c>
      <c r="B1434" t="inlineStr">
        <is>
          <t>Paula Zapata Montes</t>
        </is>
      </c>
      <c r="C1434" t="inlineStr">
        <is>
          <t>3238562056</t>
        </is>
      </c>
      <c r="D1434" t="inlineStr">
        <is>
          <t>paula.zapata91@hotmail.com</t>
        </is>
      </c>
      <c r="E1434" t="inlineStr">
        <is>
          <t>Rionegro</t>
        </is>
      </c>
      <c r="F1434" t="inlineStr">
        <is>
          <t>PRY-005</t>
        </is>
      </c>
      <c r="G1434" t="inlineStr">
        <is>
          <t>Instagram</t>
        </is>
      </c>
      <c r="H1434" t="inlineStr">
        <is>
          <t>Sofía Prada</t>
        </is>
      </c>
      <c r="I1434" t="inlineStr">
        <is>
          <t>Perdido</t>
        </is>
      </c>
      <c r="J1434" s="28" t="n">
        <v>45734</v>
      </c>
      <c r="K1434" s="28" t="n">
        <v>45756</v>
      </c>
      <c r="L1434" t="inlineStr">
        <is>
          <t>Datos de contacto errados</t>
        </is>
      </c>
    </row>
    <row r="1435">
      <c r="A1435" t="inlineStr">
        <is>
          <t>CLI-1433</t>
        </is>
      </c>
      <c r="B1435" t="inlineStr">
        <is>
          <t>Mateo Montes Cano</t>
        </is>
      </c>
      <c r="C1435" t="inlineStr">
        <is>
          <t>3108979673</t>
        </is>
      </c>
      <c r="D1435" t="inlineStr">
        <is>
          <t>mateo.montes56@hotmail.com</t>
        </is>
      </c>
      <c r="E1435" t="inlineStr">
        <is>
          <t>Medellín</t>
        </is>
      </c>
      <c r="F1435" t="inlineStr">
        <is>
          <t>PRY-003</t>
        </is>
      </c>
      <c r="G1435" t="inlineStr">
        <is>
          <t>Referido</t>
        </is>
      </c>
      <c r="H1435" t="inlineStr">
        <is>
          <t>Luis Bedoya</t>
        </is>
      </c>
      <c r="I1435" t="inlineStr">
        <is>
          <t>Ganado</t>
        </is>
      </c>
      <c r="J1435" s="28" t="n">
        <v>45735</v>
      </c>
      <c r="K1435" s="28" t="n">
        <v>45842</v>
      </c>
      <c r="L1435" t="inlineStr">
        <is>
          <t>Compró Apto 1206 en Conecta Laureles</t>
        </is>
      </c>
    </row>
    <row r="1436">
      <c r="A1436" t="inlineStr">
        <is>
          <t>CLI-1434</t>
        </is>
      </c>
      <c r="B1436" t="inlineStr">
        <is>
          <t>Diego Montes Cano</t>
        </is>
      </c>
      <c r="C1436" t="inlineStr">
        <is>
          <t>3002354415</t>
        </is>
      </c>
      <c r="D1436" t="inlineStr">
        <is>
          <t>diego.montes49@gmail.com</t>
        </is>
      </c>
      <c r="E1436" t="inlineStr">
        <is>
          <t>Rionegro</t>
        </is>
      </c>
      <c r="F1436" t="inlineStr">
        <is>
          <t>PRY-005</t>
        </is>
      </c>
      <c r="G1436" t="inlineStr">
        <is>
          <t>Instagram</t>
        </is>
      </c>
      <c r="H1436" t="inlineStr">
        <is>
          <t>Ana Quintero</t>
        </is>
      </c>
      <c r="I1436" t="inlineStr">
        <is>
          <t>Perdido</t>
        </is>
      </c>
      <c r="J1436" s="28" t="n">
        <v>45735</v>
      </c>
      <c r="K1436" s="28" t="n">
        <v>45750</v>
      </c>
      <c r="L1436" t="inlineStr">
        <is>
          <t>Buscaba arriendo, no compra</t>
        </is>
      </c>
    </row>
    <row r="1437">
      <c r="A1437" t="inlineStr">
        <is>
          <t>CLI-1435</t>
        </is>
      </c>
      <c r="B1437" t="inlineStr">
        <is>
          <t>Paola Agudelo Sánchez</t>
        </is>
      </c>
      <c r="C1437" t="inlineStr">
        <is>
          <t>3243762374</t>
        </is>
      </c>
      <c r="D1437" t="inlineStr">
        <is>
          <t>paola.agudelo27@hotmail.com</t>
        </is>
      </c>
      <c r="E1437" t="inlineStr">
        <is>
          <t>Rionegro</t>
        </is>
      </c>
      <c r="F1437" t="inlineStr">
        <is>
          <t>PRY-004</t>
        </is>
      </c>
      <c r="G1437" t="inlineStr">
        <is>
          <t>Portal Web</t>
        </is>
      </c>
      <c r="H1437" t="inlineStr">
        <is>
          <t>Andrés Torres</t>
        </is>
      </c>
      <c r="I1437" t="inlineStr">
        <is>
          <t>Perdido</t>
        </is>
      </c>
      <c r="J1437" s="28" t="n">
        <v>45735</v>
      </c>
      <c r="K1437" s="28" t="n">
        <v>45751</v>
      </c>
      <c r="L1437" t="inlineStr">
        <is>
          <t>Datos de contacto errados</t>
        </is>
      </c>
    </row>
    <row r="1438">
      <c r="A1438" t="inlineStr">
        <is>
          <t>CLI-1436</t>
        </is>
      </c>
      <c r="B1438" t="inlineStr">
        <is>
          <t>Óscar Palacio Henao</t>
        </is>
      </c>
      <c r="C1438" t="inlineStr">
        <is>
          <t>3208329504</t>
        </is>
      </c>
      <c r="D1438" t="inlineStr">
        <is>
          <t>oscar.palacio74@gmail.com</t>
        </is>
      </c>
      <c r="E1438" t="inlineStr">
        <is>
          <t>Rionegro</t>
        </is>
      </c>
      <c r="F1438" t="inlineStr">
        <is>
          <t>PRY-005</t>
        </is>
      </c>
      <c r="G1438" t="inlineStr">
        <is>
          <t>Instagram</t>
        </is>
      </c>
      <c r="H1438" t="inlineStr">
        <is>
          <t>Andrés Torres</t>
        </is>
      </c>
      <c r="I1438" t="inlineStr">
        <is>
          <t>Perdido</t>
        </is>
      </c>
      <c r="J1438" s="28" t="n">
        <v>45735</v>
      </c>
      <c r="K1438" s="28" t="n">
        <v>45741</v>
      </c>
      <c r="L1438" t="inlineStr">
        <is>
          <t>Sin respuesta tras 3 contactos</t>
        </is>
      </c>
    </row>
    <row r="1439">
      <c r="A1439" t="inlineStr">
        <is>
          <t>CLI-1437</t>
        </is>
      </c>
      <c r="B1439" t="inlineStr">
        <is>
          <t>Valentina Palacio Espinosa</t>
        </is>
      </c>
      <c r="C1439" t="inlineStr">
        <is>
          <t>3222532839</t>
        </is>
      </c>
      <c r="D1439" t="inlineStr">
        <is>
          <t>valentina.palacio67@gmail.com</t>
        </is>
      </c>
      <c r="E1439" t="inlineStr">
        <is>
          <t>Medellín</t>
        </is>
      </c>
      <c r="F1439" t="inlineStr">
        <is>
          <t>PRY-003</t>
        </is>
      </c>
      <c r="G1439" t="inlineStr">
        <is>
          <t>Instagram</t>
        </is>
      </c>
      <c r="H1439" t="inlineStr">
        <is>
          <t>Ana Quintero</t>
        </is>
      </c>
      <c r="I1439" t="inlineStr">
        <is>
          <t>Perdido</t>
        </is>
      </c>
      <c r="J1439" s="28" t="n">
        <v>45735</v>
      </c>
      <c r="K1439" s="28" t="n">
        <v>45761</v>
      </c>
      <c r="L1439" t="inlineStr">
        <is>
          <t>Datos de contacto errados</t>
        </is>
      </c>
    </row>
    <row r="1440">
      <c r="A1440" t="inlineStr">
        <is>
          <t>CLI-1438</t>
        </is>
      </c>
      <c r="B1440" t="inlineStr">
        <is>
          <t>Diego Echeverri Montes</t>
        </is>
      </c>
      <c r="C1440" t="inlineStr">
        <is>
          <t>3171755676</t>
        </is>
      </c>
      <c r="D1440" t="inlineStr">
        <is>
          <t>diego.echeverri57@hotmail.com</t>
        </is>
      </c>
      <c r="E1440" t="inlineStr">
        <is>
          <t>Medellín</t>
        </is>
      </c>
      <c r="F1440" t="inlineStr">
        <is>
          <t>PRY-004</t>
        </is>
      </c>
      <c r="G1440" t="inlineStr">
        <is>
          <t>Facebook</t>
        </is>
      </c>
      <c r="H1440" t="inlineStr">
        <is>
          <t>Juliana Vélez</t>
        </is>
      </c>
      <c r="I1440" t="inlineStr">
        <is>
          <t>Perdido</t>
        </is>
      </c>
      <c r="J1440" s="28" t="n">
        <v>45735</v>
      </c>
      <c r="K1440" s="28" t="n">
        <v>45749</v>
      </c>
      <c r="L1440" t="inlineStr">
        <is>
          <t>Sin respuesta tras 3 contactos</t>
        </is>
      </c>
    </row>
    <row r="1441">
      <c r="A1441" t="inlineStr">
        <is>
          <t>CLI-1439</t>
        </is>
      </c>
      <c r="B1441" t="inlineStr">
        <is>
          <t>Isabel Osorio Betancur</t>
        </is>
      </c>
      <c r="C1441" t="inlineStr">
        <is>
          <t>3043209399</t>
        </is>
      </c>
      <c r="D1441" t="inlineStr">
        <is>
          <t>isabel.osorio10@hotmail.com</t>
        </is>
      </c>
      <c r="E1441" t="inlineStr">
        <is>
          <t>Medellín</t>
        </is>
      </c>
      <c r="F1441" t="inlineStr">
        <is>
          <t>PRY-003</t>
        </is>
      </c>
      <c r="G1441" t="inlineStr">
        <is>
          <t>Portal Web</t>
        </is>
      </c>
      <c r="H1441" t="inlineStr">
        <is>
          <t>Paula Arenas</t>
        </is>
      </c>
      <c r="I1441" t="inlineStr">
        <is>
          <t>Perdido</t>
        </is>
      </c>
      <c r="J1441" s="28" t="n">
        <v>45736</v>
      </c>
      <c r="K1441" s="28" t="n">
        <v>45742</v>
      </c>
      <c r="L1441" t="inlineStr">
        <is>
          <t>Presupuesto insuficiente</t>
        </is>
      </c>
    </row>
    <row r="1442">
      <c r="A1442" t="inlineStr">
        <is>
          <t>CLI-1440</t>
        </is>
      </c>
      <c r="B1442" t="inlineStr">
        <is>
          <t>Daniel Sánchez Espinosa</t>
        </is>
      </c>
      <c r="C1442" t="inlineStr">
        <is>
          <t>3155204029</t>
        </is>
      </c>
      <c r="D1442" t="inlineStr">
        <is>
          <t>daniel.sanchez59@outlook.com</t>
        </is>
      </c>
      <c r="E1442" t="inlineStr">
        <is>
          <t>Medellín</t>
        </is>
      </c>
      <c r="F1442" t="inlineStr">
        <is>
          <t>PRY-001</t>
        </is>
      </c>
      <c r="G1442" t="inlineStr">
        <is>
          <t>Feria Inmobiliaria</t>
        </is>
      </c>
      <c r="H1442" t="inlineStr">
        <is>
          <t>Luis Bedoya</t>
        </is>
      </c>
      <c r="I1442" t="inlineStr">
        <is>
          <t>Perdido</t>
        </is>
      </c>
      <c r="J1442" s="28" t="n">
        <v>45737</v>
      </c>
      <c r="K1442" s="28" t="n">
        <v>45834</v>
      </c>
      <c r="L1442" t="inlineStr">
        <is>
          <t>Desistió de la compra</t>
        </is>
      </c>
    </row>
    <row r="1443">
      <c r="A1443" t="inlineStr">
        <is>
          <t>CLI-1441</t>
        </is>
      </c>
      <c r="B1443" t="inlineStr">
        <is>
          <t>Carlos Quintero Toro</t>
        </is>
      </c>
      <c r="C1443" t="inlineStr">
        <is>
          <t>3244207121</t>
        </is>
      </c>
      <c r="D1443" t="inlineStr">
        <is>
          <t>carlos.quintero97@outlook.com</t>
        </is>
      </c>
      <c r="E1443" t="inlineStr">
        <is>
          <t>Medellín</t>
        </is>
      </c>
      <c r="F1443" t="inlineStr">
        <is>
          <t>PRY-003</t>
        </is>
      </c>
      <c r="G1443" t="inlineStr">
        <is>
          <t>Referido</t>
        </is>
      </c>
      <c r="H1443" t="inlineStr">
        <is>
          <t>Sofía Prada</t>
        </is>
      </c>
      <c r="I1443" t="inlineStr">
        <is>
          <t>Perdido</t>
        </is>
      </c>
      <c r="J1443" s="28" t="n">
        <v>45737</v>
      </c>
      <c r="K1443" s="28" t="n">
        <v>45746</v>
      </c>
      <c r="L1443" t="inlineStr">
        <is>
          <t>No calificó para crédito</t>
        </is>
      </c>
    </row>
    <row r="1444">
      <c r="A1444" t="inlineStr">
        <is>
          <t>CLI-1442</t>
        </is>
      </c>
      <c r="B1444" t="inlineStr">
        <is>
          <t>Carlos Londoño Muñoz</t>
        </is>
      </c>
      <c r="C1444" t="inlineStr">
        <is>
          <t>3145774304</t>
        </is>
      </c>
      <c r="D1444" t="inlineStr">
        <is>
          <t>carlos.londono62@gmail.com</t>
        </is>
      </c>
      <c r="E1444" t="inlineStr">
        <is>
          <t>Bello</t>
        </is>
      </c>
      <c r="F1444" t="inlineStr">
        <is>
          <t>PRY-004</t>
        </is>
      </c>
      <c r="G1444" t="inlineStr">
        <is>
          <t>Portal Web</t>
        </is>
      </c>
      <c r="H1444" t="inlineStr">
        <is>
          <t>Daniela Ríos</t>
        </is>
      </c>
      <c r="I1444" t="inlineStr">
        <is>
          <t>Perdido</t>
        </is>
      </c>
      <c r="J1444" s="28" t="n">
        <v>45737</v>
      </c>
      <c r="K1444" s="28" t="n">
        <v>45746</v>
      </c>
      <c r="L1444" t="inlineStr">
        <is>
          <t>Sin respuesta tras 3 contactos</t>
        </is>
      </c>
    </row>
    <row r="1445">
      <c r="A1445" t="inlineStr">
        <is>
          <t>CLI-1443</t>
        </is>
      </c>
      <c r="B1445" t="inlineStr">
        <is>
          <t>Felipe Vásquez Restrepo</t>
        </is>
      </c>
      <c r="C1445" t="inlineStr">
        <is>
          <t>3174705961</t>
        </is>
      </c>
      <c r="D1445" t="inlineStr">
        <is>
          <t>felipe.vasquez60@yahoo.com</t>
        </is>
      </c>
      <c r="E1445" t="inlineStr">
        <is>
          <t>Sabaneta</t>
        </is>
      </c>
      <c r="F1445" t="inlineStr">
        <is>
          <t>PRY-007</t>
        </is>
      </c>
      <c r="G1445" t="inlineStr">
        <is>
          <t>Portal Web</t>
        </is>
      </c>
      <c r="H1445" t="inlineStr">
        <is>
          <t>Miguel Salazar</t>
        </is>
      </c>
      <c r="I1445" t="inlineStr">
        <is>
          <t>Ganado</t>
        </is>
      </c>
      <c r="J1445" s="28" t="n">
        <v>45738</v>
      </c>
      <c r="K1445" s="28" t="n">
        <v>45849</v>
      </c>
      <c r="L1445" t="inlineStr">
        <is>
          <t>Compró Apto 1002 en Mirador de Envigado</t>
        </is>
      </c>
    </row>
    <row r="1446">
      <c r="A1446" t="inlineStr">
        <is>
          <t>CLI-1444</t>
        </is>
      </c>
      <c r="B1446" t="inlineStr">
        <is>
          <t>Laura Gaviria Vélez</t>
        </is>
      </c>
      <c r="C1446" t="inlineStr">
        <is>
          <t>3248081550</t>
        </is>
      </c>
      <c r="D1446" t="inlineStr">
        <is>
          <t>laura.gaviria88@gmail.com</t>
        </is>
      </c>
      <c r="E1446" t="inlineStr">
        <is>
          <t>Itagüí</t>
        </is>
      </c>
      <c r="F1446" t="inlineStr">
        <is>
          <t>PRY-008</t>
        </is>
      </c>
      <c r="G1446" t="inlineStr">
        <is>
          <t>Referido</t>
        </is>
      </c>
      <c r="H1446" t="inlineStr">
        <is>
          <t>Miguel Salazar</t>
        </is>
      </c>
      <c r="I1446" t="inlineStr">
        <is>
          <t>Ganado</t>
        </is>
      </c>
      <c r="J1446" s="28" t="n">
        <v>45738</v>
      </c>
      <c r="K1446" s="28" t="n">
        <v>45843</v>
      </c>
      <c r="L1446" t="inlineStr">
        <is>
          <t>Compró Casa 59 en Valle Verde Itagüí</t>
        </is>
      </c>
    </row>
    <row r="1447">
      <c r="A1447" t="inlineStr">
        <is>
          <t>CLI-1445</t>
        </is>
      </c>
      <c r="B1447" t="inlineStr">
        <is>
          <t>David Marín Giraldo</t>
        </is>
      </c>
      <c r="C1447" t="inlineStr">
        <is>
          <t>3238339644</t>
        </is>
      </c>
      <c r="D1447" t="inlineStr">
        <is>
          <t>david.marin52@outlook.com</t>
        </is>
      </c>
      <c r="E1447" t="inlineStr">
        <is>
          <t>Bello</t>
        </is>
      </c>
      <c r="F1447" t="inlineStr">
        <is>
          <t>PRY-008</t>
        </is>
      </c>
      <c r="G1447" t="inlineStr">
        <is>
          <t>Feria Inmobiliaria</t>
        </is>
      </c>
      <c r="H1447" t="inlineStr">
        <is>
          <t>Sofía Prada</t>
        </is>
      </c>
      <c r="I1447" t="inlineStr">
        <is>
          <t>Perdido</t>
        </is>
      </c>
      <c r="J1447" s="28" t="n">
        <v>45738</v>
      </c>
      <c r="K1447" s="28" t="n">
        <v>45752</v>
      </c>
      <c r="L1447" t="inlineStr">
        <is>
          <t>Presupuesto insuficiente</t>
        </is>
      </c>
    </row>
    <row r="1448">
      <c r="A1448" t="inlineStr">
        <is>
          <t>CLI-1446</t>
        </is>
      </c>
      <c r="B1448" t="inlineStr">
        <is>
          <t>Sofía Toro Toro</t>
        </is>
      </c>
      <c r="C1448" t="inlineStr">
        <is>
          <t>3019273018</t>
        </is>
      </c>
      <c r="D1448" t="inlineStr">
        <is>
          <t>sofia.toro3@hotmail.com</t>
        </is>
      </c>
      <c r="E1448" t="inlineStr">
        <is>
          <t>La Estrella</t>
        </is>
      </c>
      <c r="F1448" t="inlineStr">
        <is>
          <t>PRY-008</t>
        </is>
      </c>
      <c r="G1448" t="inlineStr">
        <is>
          <t>Instagram</t>
        </is>
      </c>
      <c r="H1448" t="inlineStr">
        <is>
          <t>Paula Arenas</t>
        </is>
      </c>
      <c r="I1448" t="inlineStr">
        <is>
          <t>Perdido</t>
        </is>
      </c>
      <c r="J1448" s="28" t="n">
        <v>45738</v>
      </c>
      <c r="K1448" s="28" t="n">
        <v>45766</v>
      </c>
      <c r="L1448" t="inlineStr">
        <is>
          <t>Presupuesto insuficiente</t>
        </is>
      </c>
    </row>
    <row r="1449">
      <c r="A1449" t="inlineStr">
        <is>
          <t>CLI-1447</t>
        </is>
      </c>
      <c r="B1449" t="inlineStr">
        <is>
          <t>Mateo Marín Gómez</t>
        </is>
      </c>
      <c r="C1449" t="inlineStr">
        <is>
          <t>3109490725</t>
        </is>
      </c>
      <c r="D1449" t="inlineStr">
        <is>
          <t>mateo.marin53@yahoo.com</t>
        </is>
      </c>
      <c r="E1449" t="inlineStr">
        <is>
          <t>Rionegro</t>
        </is>
      </c>
      <c r="F1449" t="inlineStr">
        <is>
          <t>PRY-007</t>
        </is>
      </c>
      <c r="G1449" t="inlineStr">
        <is>
          <t>Portal Web</t>
        </is>
      </c>
      <c r="H1449" t="inlineStr">
        <is>
          <t>Miguel Salazar</t>
        </is>
      </c>
      <c r="I1449" t="inlineStr">
        <is>
          <t>Perdido</t>
        </is>
      </c>
      <c r="J1449" s="28" t="n">
        <v>45738</v>
      </c>
      <c r="K1449" s="28" t="n">
        <v>45750</v>
      </c>
      <c r="L1449" t="inlineStr">
        <is>
          <t>No calificó para crédito</t>
        </is>
      </c>
    </row>
    <row r="1450">
      <c r="A1450" t="inlineStr">
        <is>
          <t>CLI-1448</t>
        </is>
      </c>
      <c r="B1450" t="inlineStr">
        <is>
          <t>Iván Gómez Sánchez</t>
        </is>
      </c>
      <c r="C1450" t="inlineStr">
        <is>
          <t>3101633716</t>
        </is>
      </c>
      <c r="D1450" t="inlineStr">
        <is>
          <t>ivan.gomez98@outlook.com</t>
        </is>
      </c>
      <c r="E1450" t="inlineStr">
        <is>
          <t>Bello</t>
        </is>
      </c>
      <c r="F1450" t="inlineStr">
        <is>
          <t>PRY-003</t>
        </is>
      </c>
      <c r="G1450" t="inlineStr">
        <is>
          <t>Portal Web</t>
        </is>
      </c>
      <c r="H1450" t="inlineStr">
        <is>
          <t>Luis Bedoya</t>
        </is>
      </c>
      <c r="I1450" t="inlineStr">
        <is>
          <t>Perdido</t>
        </is>
      </c>
      <c r="J1450" s="28" t="n">
        <v>45739</v>
      </c>
      <c r="K1450" s="28" t="n">
        <v>45756</v>
      </c>
      <c r="L1450" t="inlineStr">
        <is>
          <t>Presupuesto insuficiente</t>
        </is>
      </c>
    </row>
    <row r="1451">
      <c r="A1451" t="inlineStr">
        <is>
          <t>CLI-1449</t>
        </is>
      </c>
      <c r="B1451" t="inlineStr">
        <is>
          <t>Gloria López Zuluaga</t>
        </is>
      </c>
      <c r="C1451" t="inlineStr">
        <is>
          <t>3239675114</t>
        </is>
      </c>
      <c r="D1451" t="inlineStr">
        <is>
          <t>gloria.lopez83@yahoo.com</t>
        </is>
      </c>
      <c r="E1451" t="inlineStr">
        <is>
          <t>Medellín</t>
        </is>
      </c>
      <c r="F1451" t="inlineStr">
        <is>
          <t>PRY-001</t>
        </is>
      </c>
      <c r="G1451" t="inlineStr">
        <is>
          <t>Instagram</t>
        </is>
      </c>
      <c r="H1451" t="inlineStr">
        <is>
          <t>Santiago Muñoz</t>
        </is>
      </c>
      <c r="I1451" t="inlineStr">
        <is>
          <t>Perdido</t>
        </is>
      </c>
      <c r="J1451" s="28" t="n">
        <v>45739</v>
      </c>
      <c r="K1451" s="28" t="n">
        <v>45753</v>
      </c>
      <c r="L1451" t="inlineStr">
        <is>
          <t>Sin respuesta tras 3 contactos</t>
        </is>
      </c>
    </row>
    <row r="1452">
      <c r="A1452" t="inlineStr">
        <is>
          <t>CLI-1450</t>
        </is>
      </c>
      <c r="B1452" t="inlineStr">
        <is>
          <t>Hernán Castaño Correa</t>
        </is>
      </c>
      <c r="C1452" t="inlineStr">
        <is>
          <t>3147371414</t>
        </is>
      </c>
      <c r="D1452" t="inlineStr">
        <is>
          <t>hernan.castano26@yahoo.com</t>
        </is>
      </c>
      <c r="E1452" t="inlineStr">
        <is>
          <t>Itagüí</t>
        </is>
      </c>
      <c r="F1452" t="inlineStr">
        <is>
          <t>PRY-008</t>
        </is>
      </c>
      <c r="G1452" t="inlineStr">
        <is>
          <t>Facebook</t>
        </is>
      </c>
      <c r="H1452" t="inlineStr">
        <is>
          <t>Luis Bedoya</t>
        </is>
      </c>
      <c r="I1452" t="inlineStr">
        <is>
          <t>Perdido</t>
        </is>
      </c>
      <c r="J1452" s="28" t="n">
        <v>45739</v>
      </c>
      <c r="K1452" s="28" t="n">
        <v>45747</v>
      </c>
      <c r="L1452" t="inlineStr">
        <is>
          <t>Datos de contacto errados</t>
        </is>
      </c>
    </row>
    <row r="1453">
      <c r="A1453" t="inlineStr">
        <is>
          <t>CLI-1451</t>
        </is>
      </c>
      <c r="B1453" t="inlineStr">
        <is>
          <t>Carolina Sánchez Gaviria</t>
        </is>
      </c>
      <c r="C1453" t="inlineStr">
        <is>
          <t>3147612650</t>
        </is>
      </c>
      <c r="D1453" t="inlineStr">
        <is>
          <t>carolina.sanchez11@hotmail.com</t>
        </is>
      </c>
      <c r="E1453" t="inlineStr">
        <is>
          <t>Medellín</t>
        </is>
      </c>
      <c r="F1453" t="inlineStr">
        <is>
          <t>PRY-003</t>
        </is>
      </c>
      <c r="G1453" t="inlineStr">
        <is>
          <t>Feria Inmobiliaria</t>
        </is>
      </c>
      <c r="H1453" t="inlineStr">
        <is>
          <t>Miguel Salazar</t>
        </is>
      </c>
      <c r="I1453" t="inlineStr">
        <is>
          <t>Perdido</t>
        </is>
      </c>
      <c r="J1453" s="28" t="n">
        <v>45740</v>
      </c>
      <c r="K1453" s="28" t="n">
        <v>45765</v>
      </c>
      <c r="L1453" t="inlineStr">
        <is>
          <t>No calificó para crédito</t>
        </is>
      </c>
    </row>
    <row r="1454">
      <c r="A1454" t="inlineStr">
        <is>
          <t>CLI-1452</t>
        </is>
      </c>
      <c r="B1454" t="inlineStr">
        <is>
          <t>Diana Correa Cifuentes</t>
        </is>
      </c>
      <c r="C1454" t="inlineStr">
        <is>
          <t>3137862934</t>
        </is>
      </c>
      <c r="D1454" t="inlineStr">
        <is>
          <t>diana.correa14@gmail.com</t>
        </is>
      </c>
      <c r="E1454" t="inlineStr">
        <is>
          <t>Envigado</t>
        </is>
      </c>
      <c r="F1454" t="inlineStr">
        <is>
          <t>PRY-007</t>
        </is>
      </c>
      <c r="G1454" t="inlineStr">
        <is>
          <t>Facebook</t>
        </is>
      </c>
      <c r="H1454" t="inlineStr">
        <is>
          <t>Luis Bedoya</t>
        </is>
      </c>
      <c r="I1454" t="inlineStr">
        <is>
          <t>Perdido</t>
        </is>
      </c>
      <c r="J1454" s="28" t="n">
        <v>45740</v>
      </c>
      <c r="K1454" s="28" t="n">
        <v>45762</v>
      </c>
      <c r="L1454" t="inlineStr">
        <is>
          <t>No calificó para crédito</t>
        </is>
      </c>
    </row>
    <row r="1455">
      <c r="A1455" t="inlineStr">
        <is>
          <t>CLI-1453</t>
        </is>
      </c>
      <c r="B1455" t="inlineStr">
        <is>
          <t>Jhon Jaramillo Palacio</t>
        </is>
      </c>
      <c r="C1455" t="inlineStr">
        <is>
          <t>3004398757</t>
        </is>
      </c>
      <c r="D1455" t="inlineStr">
        <is>
          <t>jhon.jaramillo87@outlook.com</t>
        </is>
      </c>
      <c r="E1455" t="inlineStr">
        <is>
          <t>Itagüí</t>
        </is>
      </c>
      <c r="F1455" t="inlineStr">
        <is>
          <t>PRY-008</t>
        </is>
      </c>
      <c r="G1455" t="inlineStr">
        <is>
          <t>Facebook</t>
        </is>
      </c>
      <c r="H1455" t="inlineStr">
        <is>
          <t>Santiago Muñoz</t>
        </is>
      </c>
      <c r="I1455" t="inlineStr">
        <is>
          <t>Perdido</t>
        </is>
      </c>
      <c r="J1455" s="28" t="n">
        <v>45740</v>
      </c>
      <c r="K1455" s="28" t="n">
        <v>45765</v>
      </c>
      <c r="L1455" t="inlineStr">
        <is>
          <t>Presupuesto insuficiente</t>
        </is>
      </c>
    </row>
    <row r="1456">
      <c r="A1456" t="inlineStr">
        <is>
          <t>CLI-1454</t>
        </is>
      </c>
      <c r="B1456" t="inlineStr">
        <is>
          <t>Liliana Marín Zuluaga</t>
        </is>
      </c>
      <c r="C1456" t="inlineStr">
        <is>
          <t>3178593867</t>
        </is>
      </c>
      <c r="D1456" t="inlineStr">
        <is>
          <t>liliana.marin94@gmail.com</t>
        </is>
      </c>
      <c r="E1456" t="inlineStr">
        <is>
          <t>Rionegro</t>
        </is>
      </c>
      <c r="F1456" t="inlineStr">
        <is>
          <t>PRY-005</t>
        </is>
      </c>
      <c r="G1456" t="inlineStr">
        <is>
          <t>Feria Inmobiliaria</t>
        </is>
      </c>
      <c r="H1456" t="inlineStr">
        <is>
          <t>Luis Bedoya</t>
        </is>
      </c>
      <c r="I1456" t="inlineStr">
        <is>
          <t>Ganado</t>
        </is>
      </c>
      <c r="J1456" s="28" t="n">
        <v>45741</v>
      </c>
      <c r="K1456" s="28" t="n">
        <v>45853</v>
      </c>
      <c r="L1456" t="inlineStr">
        <is>
          <t>Compró Casa 28 en Ciudadela Rionegro</t>
        </is>
      </c>
    </row>
    <row r="1457">
      <c r="A1457" t="inlineStr">
        <is>
          <t>CLI-1455</t>
        </is>
      </c>
      <c r="B1457" t="inlineStr">
        <is>
          <t>Paola Uribe Montes</t>
        </is>
      </c>
      <c r="C1457" t="inlineStr">
        <is>
          <t>3149223193</t>
        </is>
      </c>
      <c r="D1457" t="inlineStr">
        <is>
          <t>paola.uribe62@outlook.com</t>
        </is>
      </c>
      <c r="E1457" t="inlineStr">
        <is>
          <t>Bello</t>
        </is>
      </c>
      <c r="F1457" t="inlineStr">
        <is>
          <t>PRY-003</t>
        </is>
      </c>
      <c r="G1457" t="inlineStr">
        <is>
          <t>Facebook</t>
        </is>
      </c>
      <c r="H1457" t="inlineStr">
        <is>
          <t>Juliana Vélez</t>
        </is>
      </c>
      <c r="I1457" t="inlineStr">
        <is>
          <t>Ganado</t>
        </is>
      </c>
      <c r="J1457" s="28" t="n">
        <v>45741</v>
      </c>
      <c r="K1457" s="28" t="n">
        <v>45816</v>
      </c>
      <c r="L1457" t="inlineStr">
        <is>
          <t>Compró Apto 906 en Conecta Laureles</t>
        </is>
      </c>
    </row>
    <row r="1458">
      <c r="A1458" t="inlineStr">
        <is>
          <t>CLI-1456</t>
        </is>
      </c>
      <c r="B1458" t="inlineStr">
        <is>
          <t>David Osorio Agudelo</t>
        </is>
      </c>
      <c r="C1458" t="inlineStr">
        <is>
          <t>3202315856</t>
        </is>
      </c>
      <c r="D1458" t="inlineStr">
        <is>
          <t>david.osorio98@hotmail.com</t>
        </is>
      </c>
      <c r="E1458" t="inlineStr">
        <is>
          <t>Medellín</t>
        </is>
      </c>
      <c r="F1458" t="inlineStr">
        <is>
          <t>PRY-004</t>
        </is>
      </c>
      <c r="G1458" t="inlineStr">
        <is>
          <t>Portal Web</t>
        </is>
      </c>
      <c r="H1458" t="inlineStr">
        <is>
          <t>Luis Bedoya</t>
        </is>
      </c>
      <c r="I1458" t="inlineStr">
        <is>
          <t>Perdido</t>
        </is>
      </c>
      <c r="J1458" s="28" t="n">
        <v>45741</v>
      </c>
      <c r="K1458" s="28" t="n">
        <v>45754</v>
      </c>
      <c r="L1458" t="inlineStr">
        <is>
          <t>Presupuesto insuficiente</t>
        </is>
      </c>
    </row>
    <row r="1459">
      <c r="A1459" t="inlineStr">
        <is>
          <t>CLI-1457</t>
        </is>
      </c>
      <c r="B1459" t="inlineStr">
        <is>
          <t>Gloria Vélez Valencia</t>
        </is>
      </c>
      <c r="C1459" t="inlineStr">
        <is>
          <t>3249401031</t>
        </is>
      </c>
      <c r="D1459" t="inlineStr">
        <is>
          <t>gloria.velez81@yahoo.com</t>
        </is>
      </c>
      <c r="E1459" t="inlineStr">
        <is>
          <t>Itagüí</t>
        </is>
      </c>
      <c r="F1459" t="inlineStr">
        <is>
          <t>PRY-003</t>
        </is>
      </c>
      <c r="G1459" t="inlineStr">
        <is>
          <t>Feria Inmobiliaria</t>
        </is>
      </c>
      <c r="H1459" t="inlineStr">
        <is>
          <t>Sofía Prada</t>
        </is>
      </c>
      <c r="I1459" t="inlineStr">
        <is>
          <t>Ganado</t>
        </is>
      </c>
      <c r="J1459" s="28" t="n">
        <v>45742</v>
      </c>
      <c r="K1459" s="28" t="n">
        <v>45838</v>
      </c>
      <c r="L1459" t="inlineStr">
        <is>
          <t>Compró Apto 704 en Conecta Laureles</t>
        </is>
      </c>
    </row>
    <row r="1460">
      <c r="A1460" t="inlineStr">
        <is>
          <t>CLI-1458</t>
        </is>
      </c>
      <c r="B1460" t="inlineStr">
        <is>
          <t>Daniela Cano Arango</t>
        </is>
      </c>
      <c r="C1460" t="inlineStr">
        <is>
          <t>3001794824</t>
        </is>
      </c>
      <c r="D1460" t="inlineStr">
        <is>
          <t>daniela.cano86@gmail.com</t>
        </is>
      </c>
      <c r="E1460" t="inlineStr">
        <is>
          <t>Medellín</t>
        </is>
      </c>
      <c r="F1460" t="inlineStr">
        <is>
          <t>PRY-003</t>
        </is>
      </c>
      <c r="G1460" t="inlineStr">
        <is>
          <t>Referido</t>
        </is>
      </c>
      <c r="H1460" t="inlineStr">
        <is>
          <t>Andrés Torres</t>
        </is>
      </c>
      <c r="I1460" t="inlineStr">
        <is>
          <t>Perdido</t>
        </is>
      </c>
      <c r="J1460" s="28" t="n">
        <v>45742</v>
      </c>
      <c r="K1460" s="28" t="n">
        <v>45772</v>
      </c>
      <c r="L1460" t="inlineStr">
        <is>
          <t>Sin respuesta tras 3 contactos</t>
        </is>
      </c>
    </row>
    <row r="1461">
      <c r="A1461" t="inlineStr">
        <is>
          <t>CLI-1459</t>
        </is>
      </c>
      <c r="B1461" t="inlineStr">
        <is>
          <t>Verónica Duque Escobar</t>
        </is>
      </c>
      <c r="C1461" t="inlineStr">
        <is>
          <t>3204606311</t>
        </is>
      </c>
      <c r="D1461" t="inlineStr">
        <is>
          <t>veronica.duque27@outlook.com</t>
        </is>
      </c>
      <c r="E1461" t="inlineStr">
        <is>
          <t>Itagüí</t>
        </is>
      </c>
      <c r="F1461" t="inlineStr">
        <is>
          <t>PRY-008</t>
        </is>
      </c>
      <c r="G1461" t="inlineStr">
        <is>
          <t>Instagram</t>
        </is>
      </c>
      <c r="H1461" t="inlineStr">
        <is>
          <t>Andrés Torres</t>
        </is>
      </c>
      <c r="I1461" t="inlineStr">
        <is>
          <t>Perdido</t>
        </is>
      </c>
      <c r="J1461" s="28" t="n">
        <v>45742</v>
      </c>
      <c r="K1461" s="28" t="n">
        <v>45769</v>
      </c>
      <c r="L1461" t="inlineStr">
        <is>
          <t>Buscaba arriendo, no compra</t>
        </is>
      </c>
    </row>
    <row r="1462">
      <c r="A1462" t="inlineStr">
        <is>
          <t>CLI-1460</t>
        </is>
      </c>
      <c r="B1462" t="inlineStr">
        <is>
          <t>Daniel Bedoya Palacio</t>
        </is>
      </c>
      <c r="C1462" t="inlineStr">
        <is>
          <t>3006004906</t>
        </is>
      </c>
      <c r="D1462" t="inlineStr">
        <is>
          <t>daniel.bedoya62@hotmail.com</t>
        </is>
      </c>
      <c r="E1462" t="inlineStr">
        <is>
          <t>Medellín</t>
        </is>
      </c>
      <c r="F1462" t="inlineStr">
        <is>
          <t>PRY-001</t>
        </is>
      </c>
      <c r="G1462" t="inlineStr">
        <is>
          <t>Portal Web</t>
        </is>
      </c>
      <c r="H1462" t="inlineStr">
        <is>
          <t>Santiago Muñoz</t>
        </is>
      </c>
      <c r="I1462" t="inlineStr">
        <is>
          <t>Perdido</t>
        </is>
      </c>
      <c r="J1462" s="28" t="n">
        <v>45742</v>
      </c>
      <c r="K1462" s="28" t="n">
        <v>45753</v>
      </c>
      <c r="L1462" t="inlineStr">
        <is>
          <t>Buscaba arriendo, no compra</t>
        </is>
      </c>
    </row>
    <row r="1463">
      <c r="A1463" t="inlineStr">
        <is>
          <t>CLI-1461</t>
        </is>
      </c>
      <c r="B1463" t="inlineStr">
        <is>
          <t>Mateo Vargas Londoño</t>
        </is>
      </c>
      <c r="C1463" t="inlineStr">
        <is>
          <t>3109510972</t>
        </is>
      </c>
      <c r="D1463" t="inlineStr">
        <is>
          <t>mateo.vargas46@yahoo.com</t>
        </is>
      </c>
      <c r="E1463" t="inlineStr">
        <is>
          <t>Envigado</t>
        </is>
      </c>
      <c r="F1463" t="inlineStr">
        <is>
          <t>PRY-004</t>
        </is>
      </c>
      <c r="G1463" t="inlineStr">
        <is>
          <t>Portal Web</t>
        </is>
      </c>
      <c r="H1463" t="inlineStr">
        <is>
          <t>Luis Bedoya</t>
        </is>
      </c>
      <c r="I1463" t="inlineStr">
        <is>
          <t>Perdido</t>
        </is>
      </c>
      <c r="J1463" s="28" t="n">
        <v>45742</v>
      </c>
      <c r="K1463" s="28" t="n">
        <v>45761</v>
      </c>
      <c r="L1463" t="inlineStr">
        <is>
          <t>No calificó para crédito</t>
        </is>
      </c>
    </row>
    <row r="1464">
      <c r="A1464" t="inlineStr">
        <is>
          <t>CLI-1462</t>
        </is>
      </c>
      <c r="B1464" t="inlineStr">
        <is>
          <t>Valentina Giraldo Salazar</t>
        </is>
      </c>
      <c r="C1464" t="inlineStr">
        <is>
          <t>3006398864</t>
        </is>
      </c>
      <c r="D1464" t="inlineStr">
        <is>
          <t>valentina.giraldo70@yahoo.com</t>
        </is>
      </c>
      <c r="E1464" t="inlineStr">
        <is>
          <t>Medellín</t>
        </is>
      </c>
      <c r="F1464" t="inlineStr">
        <is>
          <t>PRY-004</t>
        </is>
      </c>
      <c r="G1464" t="inlineStr">
        <is>
          <t>Portal Web</t>
        </is>
      </c>
      <c r="H1464" t="inlineStr">
        <is>
          <t>Luis Bedoya</t>
        </is>
      </c>
      <c r="I1464" t="inlineStr">
        <is>
          <t>Perdido</t>
        </is>
      </c>
      <c r="J1464" s="28" t="n">
        <v>45742</v>
      </c>
      <c r="K1464" s="28" t="n">
        <v>45750</v>
      </c>
      <c r="L1464" t="inlineStr">
        <is>
          <t>Sin respuesta tras 3 contactos</t>
        </is>
      </c>
    </row>
    <row r="1465">
      <c r="A1465" t="inlineStr">
        <is>
          <t>CLI-1463</t>
        </is>
      </c>
      <c r="B1465" t="inlineStr">
        <is>
          <t>Carolina Ríos Higuita</t>
        </is>
      </c>
      <c r="C1465" t="inlineStr">
        <is>
          <t>3132227410</t>
        </is>
      </c>
      <c r="D1465" t="inlineStr">
        <is>
          <t>carolina.rios36@gmail.com</t>
        </is>
      </c>
      <c r="E1465" t="inlineStr">
        <is>
          <t>Medellín</t>
        </is>
      </c>
      <c r="F1465" t="inlineStr">
        <is>
          <t>PRY-003</t>
        </is>
      </c>
      <c r="G1465" t="inlineStr">
        <is>
          <t>Feria Inmobiliaria</t>
        </is>
      </c>
      <c r="H1465" t="inlineStr">
        <is>
          <t>Miguel Salazar</t>
        </is>
      </c>
      <c r="I1465" t="inlineStr">
        <is>
          <t>Ganado</t>
        </is>
      </c>
      <c r="J1465" s="28" t="n">
        <v>45743</v>
      </c>
      <c r="K1465" s="28" t="n">
        <v>45879</v>
      </c>
      <c r="L1465" t="inlineStr">
        <is>
          <t>Compró Apto 506 en Conecta Laureles</t>
        </is>
      </c>
    </row>
    <row r="1466">
      <c r="A1466" t="inlineStr">
        <is>
          <t>CLI-1464</t>
        </is>
      </c>
      <c r="B1466" t="inlineStr">
        <is>
          <t>Óscar Mejía Cifuentes</t>
        </is>
      </c>
      <c r="C1466" t="inlineStr">
        <is>
          <t>3171303402</t>
        </is>
      </c>
      <c r="D1466" t="inlineStr">
        <is>
          <t>oscar.mejia12@yahoo.com</t>
        </is>
      </c>
      <c r="E1466" t="inlineStr">
        <is>
          <t>Itagüí</t>
        </is>
      </c>
      <c r="F1466" t="inlineStr">
        <is>
          <t>PRY-008</t>
        </is>
      </c>
      <c r="G1466" t="inlineStr">
        <is>
          <t>Portal Web</t>
        </is>
      </c>
      <c r="H1466" t="inlineStr">
        <is>
          <t>Juliana Vélez</t>
        </is>
      </c>
      <c r="I1466" t="inlineStr">
        <is>
          <t>Perdido</t>
        </is>
      </c>
      <c r="J1466" s="28" t="n">
        <v>45743</v>
      </c>
      <c r="K1466" s="28" t="n">
        <v>45759</v>
      </c>
      <c r="L1466" t="inlineStr">
        <is>
          <t>Presupuesto insuficiente</t>
        </is>
      </c>
    </row>
    <row r="1467">
      <c r="A1467" t="inlineStr">
        <is>
          <t>CLI-1465</t>
        </is>
      </c>
      <c r="B1467" t="inlineStr">
        <is>
          <t>Diana Restrepo Marín</t>
        </is>
      </c>
      <c r="C1467" t="inlineStr">
        <is>
          <t>3046714636</t>
        </is>
      </c>
      <c r="D1467" t="inlineStr">
        <is>
          <t>diana.restrepo37@outlook.com</t>
        </is>
      </c>
      <c r="E1467" t="inlineStr">
        <is>
          <t>Medellín</t>
        </is>
      </c>
      <c r="F1467" t="inlineStr">
        <is>
          <t>PRY-001</t>
        </is>
      </c>
      <c r="G1467" t="inlineStr">
        <is>
          <t>Instagram</t>
        </is>
      </c>
      <c r="H1467" t="inlineStr">
        <is>
          <t>Paula Arenas</t>
        </is>
      </c>
      <c r="I1467" t="inlineStr">
        <is>
          <t>Perdido</t>
        </is>
      </c>
      <c r="J1467" s="28" t="n">
        <v>45743</v>
      </c>
      <c r="K1467" s="28" t="n">
        <v>45771</v>
      </c>
      <c r="L1467" t="inlineStr">
        <is>
          <t>Sin respuesta tras 3 contactos</t>
        </is>
      </c>
    </row>
    <row r="1468">
      <c r="A1468" t="inlineStr">
        <is>
          <t>CLI-1466</t>
        </is>
      </c>
      <c r="B1468" t="inlineStr">
        <is>
          <t>Juan Pablo Mejía Cifuentes</t>
        </is>
      </c>
      <c r="C1468" t="inlineStr">
        <is>
          <t>3248057851</t>
        </is>
      </c>
      <c r="D1468" t="inlineStr">
        <is>
          <t>juan.mejia95@outlook.com</t>
        </is>
      </c>
      <c r="E1468" t="inlineStr">
        <is>
          <t>Medellín</t>
        </is>
      </c>
      <c r="F1468" t="inlineStr">
        <is>
          <t>PRY-002</t>
        </is>
      </c>
      <c r="G1468" t="inlineStr">
        <is>
          <t>Feria Inmobiliaria</t>
        </is>
      </c>
      <c r="H1468" t="inlineStr">
        <is>
          <t>Luis Bedoya</t>
        </is>
      </c>
      <c r="I1468" t="inlineStr">
        <is>
          <t>Perdido</t>
        </is>
      </c>
      <c r="J1468" s="28" t="n">
        <v>45743</v>
      </c>
      <c r="K1468" s="28" t="n">
        <v>45759</v>
      </c>
      <c r="L1468" t="inlineStr">
        <is>
          <t>No calificó para crédito</t>
        </is>
      </c>
    </row>
    <row r="1469">
      <c r="A1469" t="inlineStr">
        <is>
          <t>CLI-1467</t>
        </is>
      </c>
      <c r="B1469" t="inlineStr">
        <is>
          <t>Mónica Zuluaga Quintero</t>
        </is>
      </c>
      <c r="C1469" t="inlineStr">
        <is>
          <t>3042621901</t>
        </is>
      </c>
      <c r="D1469" t="inlineStr">
        <is>
          <t>monica.zuluaga25@gmail.com</t>
        </is>
      </c>
      <c r="E1469" t="inlineStr">
        <is>
          <t>Medellín</t>
        </is>
      </c>
      <c r="F1469" t="inlineStr">
        <is>
          <t>PRY-003</t>
        </is>
      </c>
      <c r="G1469" t="inlineStr">
        <is>
          <t>Portal Web</t>
        </is>
      </c>
      <c r="H1469" t="inlineStr">
        <is>
          <t>Miguel Salazar</t>
        </is>
      </c>
      <c r="I1469" t="inlineStr">
        <is>
          <t>Perdido</t>
        </is>
      </c>
      <c r="J1469" s="28" t="n">
        <v>45744</v>
      </c>
      <c r="K1469" s="28" t="n">
        <v>45782</v>
      </c>
      <c r="L1469" t="inlineStr">
        <is>
          <t>Eligió otro proyecto</t>
        </is>
      </c>
    </row>
    <row r="1470">
      <c r="A1470" t="inlineStr">
        <is>
          <t>CLI-1468</t>
        </is>
      </c>
      <c r="B1470" t="inlineStr">
        <is>
          <t>Mariana Londoño Cardona</t>
        </is>
      </c>
      <c r="C1470" t="inlineStr">
        <is>
          <t>3248980827</t>
        </is>
      </c>
      <c r="D1470" t="inlineStr">
        <is>
          <t>mariana.londono74@outlook.com</t>
        </is>
      </c>
      <c r="E1470" t="inlineStr">
        <is>
          <t>Bello</t>
        </is>
      </c>
      <c r="F1470" t="inlineStr">
        <is>
          <t>PRY-003</t>
        </is>
      </c>
      <c r="G1470" t="inlineStr">
        <is>
          <t>Portal Web</t>
        </is>
      </c>
      <c r="H1470" t="inlineStr">
        <is>
          <t>Sofía Prada</t>
        </is>
      </c>
      <c r="I1470" t="inlineStr">
        <is>
          <t>Perdido</t>
        </is>
      </c>
      <c r="J1470" s="28" t="n">
        <v>45744</v>
      </c>
      <c r="K1470" s="28" t="n">
        <v>45760</v>
      </c>
      <c r="L1470" t="inlineStr">
        <is>
          <t>Datos de contacto errados</t>
        </is>
      </c>
    </row>
    <row r="1471">
      <c r="A1471" t="inlineStr">
        <is>
          <t>CLI-1469</t>
        </is>
      </c>
      <c r="B1471" t="inlineStr">
        <is>
          <t>María Palacio Castaño</t>
        </is>
      </c>
      <c r="C1471" t="inlineStr">
        <is>
          <t>3141874290</t>
        </is>
      </c>
      <c r="D1471" t="inlineStr">
        <is>
          <t>maria.palacio49@hotmail.com</t>
        </is>
      </c>
      <c r="E1471" t="inlineStr">
        <is>
          <t>Itagüí</t>
        </is>
      </c>
      <c r="F1471" t="inlineStr">
        <is>
          <t>PRY-008</t>
        </is>
      </c>
      <c r="G1471" t="inlineStr">
        <is>
          <t>Feria Inmobiliaria</t>
        </is>
      </c>
      <c r="H1471" t="inlineStr">
        <is>
          <t>Daniela Ríos</t>
        </is>
      </c>
      <c r="I1471" t="inlineStr">
        <is>
          <t>Perdido</t>
        </is>
      </c>
      <c r="J1471" s="28" t="n">
        <v>45744</v>
      </c>
      <c r="K1471" s="28" t="n">
        <v>45771</v>
      </c>
      <c r="L1471" t="inlineStr">
        <is>
          <t>Buscaba arriendo, no compra</t>
        </is>
      </c>
    </row>
    <row r="1472">
      <c r="A1472" t="inlineStr">
        <is>
          <t>CLI-1470</t>
        </is>
      </c>
      <c r="B1472" t="inlineStr">
        <is>
          <t>Simón Espinosa Gómez</t>
        </is>
      </c>
      <c r="C1472" t="inlineStr">
        <is>
          <t>3207601109</t>
        </is>
      </c>
      <c r="D1472" t="inlineStr">
        <is>
          <t>simon.espinosa4@hotmail.com</t>
        </is>
      </c>
      <c r="E1472" t="inlineStr">
        <is>
          <t>Medellín</t>
        </is>
      </c>
      <c r="F1472" t="inlineStr">
        <is>
          <t>PRY-005</t>
        </is>
      </c>
      <c r="G1472" t="inlineStr">
        <is>
          <t>Facebook</t>
        </is>
      </c>
      <c r="H1472" t="inlineStr">
        <is>
          <t>Sofía Prada</t>
        </is>
      </c>
      <c r="I1472" t="inlineStr">
        <is>
          <t>Perdido</t>
        </is>
      </c>
      <c r="J1472" s="28" t="n">
        <v>45744</v>
      </c>
      <c r="K1472" s="28" t="n">
        <v>45763</v>
      </c>
      <c r="L1472" t="inlineStr">
        <is>
          <t>Sin respuesta tras 3 contactos</t>
        </is>
      </c>
    </row>
    <row r="1473">
      <c r="A1473" t="inlineStr">
        <is>
          <t>CLI-1471</t>
        </is>
      </c>
      <c r="B1473" t="inlineStr">
        <is>
          <t>Iván Arango Pérez</t>
        </is>
      </c>
      <c r="C1473" t="inlineStr">
        <is>
          <t>3007400221</t>
        </is>
      </c>
      <c r="D1473" t="inlineStr">
        <is>
          <t>ivan.arango73@hotmail.com</t>
        </is>
      </c>
      <c r="E1473" t="inlineStr">
        <is>
          <t>Itagüí</t>
        </is>
      </c>
      <c r="F1473" t="inlineStr">
        <is>
          <t>PRY-001</t>
        </is>
      </c>
      <c r="G1473" t="inlineStr">
        <is>
          <t>Portal Web</t>
        </is>
      </c>
      <c r="H1473" t="inlineStr">
        <is>
          <t>Sofía Prada</t>
        </is>
      </c>
      <c r="I1473" t="inlineStr">
        <is>
          <t>Perdido</t>
        </is>
      </c>
      <c r="J1473" s="28" t="n">
        <v>45744</v>
      </c>
      <c r="K1473" s="28" t="n">
        <v>45750</v>
      </c>
      <c r="L1473" t="inlineStr">
        <is>
          <t>Sin respuesta tras 3 contactos</t>
        </is>
      </c>
    </row>
    <row r="1474">
      <c r="A1474" t="inlineStr">
        <is>
          <t>CLI-1472</t>
        </is>
      </c>
      <c r="B1474" t="inlineStr">
        <is>
          <t>Emilio Cifuentes Bedoya</t>
        </is>
      </c>
      <c r="C1474" t="inlineStr">
        <is>
          <t>3007744567</t>
        </is>
      </c>
      <c r="D1474" t="inlineStr">
        <is>
          <t>emilio.cifuentes67@gmail.com</t>
        </is>
      </c>
      <c r="E1474" t="inlineStr">
        <is>
          <t>Medellín</t>
        </is>
      </c>
      <c r="F1474" t="inlineStr">
        <is>
          <t>PRY-003</t>
        </is>
      </c>
      <c r="G1474" t="inlineStr">
        <is>
          <t>Facebook</t>
        </is>
      </c>
      <c r="H1474" t="inlineStr">
        <is>
          <t>Ana Quintero</t>
        </is>
      </c>
      <c r="I1474" t="inlineStr">
        <is>
          <t>Ganado</t>
        </is>
      </c>
      <c r="J1474" s="28" t="n">
        <v>45745</v>
      </c>
      <c r="K1474" s="28" t="n">
        <v>45865</v>
      </c>
      <c r="L1474" t="inlineStr">
        <is>
          <t>Compró Apto 608 en Conecta Laureles</t>
        </is>
      </c>
    </row>
    <row r="1475">
      <c r="A1475" t="inlineStr">
        <is>
          <t>CLI-1473</t>
        </is>
      </c>
      <c r="B1475" t="inlineStr">
        <is>
          <t>Nicolás Ríos Ochoa</t>
        </is>
      </c>
      <c r="C1475" t="inlineStr">
        <is>
          <t>3208231700</t>
        </is>
      </c>
      <c r="D1475" t="inlineStr">
        <is>
          <t>nicolas.rios92@outlook.com</t>
        </is>
      </c>
      <c r="E1475" t="inlineStr">
        <is>
          <t>Medellín</t>
        </is>
      </c>
      <c r="F1475" t="inlineStr">
        <is>
          <t>PRY-002</t>
        </is>
      </c>
      <c r="G1475" t="inlineStr">
        <is>
          <t>Portal Web</t>
        </is>
      </c>
      <c r="H1475" t="inlineStr">
        <is>
          <t>Miguel Salazar</t>
        </is>
      </c>
      <c r="I1475" t="inlineStr">
        <is>
          <t>Perdido</t>
        </is>
      </c>
      <c r="J1475" s="28" t="n">
        <v>45745</v>
      </c>
      <c r="K1475" s="28" t="n">
        <v>45766</v>
      </c>
      <c r="L1475" t="inlineStr">
        <is>
          <t>Buscaba arriendo, no compra</t>
        </is>
      </c>
    </row>
    <row r="1476">
      <c r="A1476" t="inlineStr">
        <is>
          <t>CLI-1474</t>
        </is>
      </c>
      <c r="B1476" t="inlineStr">
        <is>
          <t>Verónica Gómez Rojas</t>
        </is>
      </c>
      <c r="C1476" t="inlineStr">
        <is>
          <t>3148122298</t>
        </is>
      </c>
      <c r="D1476" t="inlineStr">
        <is>
          <t>veronica.gomez22@yahoo.com</t>
        </is>
      </c>
      <c r="E1476" t="inlineStr">
        <is>
          <t>Medellín</t>
        </is>
      </c>
      <c r="F1476" t="inlineStr">
        <is>
          <t>PRY-002</t>
        </is>
      </c>
      <c r="G1476" t="inlineStr">
        <is>
          <t>Instagram</t>
        </is>
      </c>
      <c r="H1476" t="inlineStr">
        <is>
          <t>Andrés Torres</t>
        </is>
      </c>
      <c r="I1476" t="inlineStr">
        <is>
          <t>Perdido</t>
        </is>
      </c>
      <c r="J1476" s="28" t="n">
        <v>45745</v>
      </c>
      <c r="K1476" s="28" t="n">
        <v>45764</v>
      </c>
      <c r="L1476" t="inlineStr">
        <is>
          <t>Buscaba arriendo, no compra</t>
        </is>
      </c>
    </row>
    <row r="1477">
      <c r="A1477" t="inlineStr">
        <is>
          <t>CLI-1475</t>
        </is>
      </c>
      <c r="B1477" t="inlineStr">
        <is>
          <t>Gabriel Cifuentes Uribe</t>
        </is>
      </c>
      <c r="C1477" t="inlineStr">
        <is>
          <t>3104978780</t>
        </is>
      </c>
      <c r="D1477" t="inlineStr">
        <is>
          <t>gabriel.cifuentes28@hotmail.com</t>
        </is>
      </c>
      <c r="E1477" t="inlineStr">
        <is>
          <t>Rionegro</t>
        </is>
      </c>
      <c r="F1477" t="inlineStr">
        <is>
          <t>PRY-005</t>
        </is>
      </c>
      <c r="G1477" t="inlineStr">
        <is>
          <t>Facebook</t>
        </is>
      </c>
      <c r="H1477" t="inlineStr">
        <is>
          <t>Santiago Muñoz</t>
        </is>
      </c>
      <c r="I1477" t="inlineStr">
        <is>
          <t>Perdido</t>
        </is>
      </c>
      <c r="J1477" s="28" t="n">
        <v>45745</v>
      </c>
      <c r="K1477" s="28" t="n">
        <v>45775</v>
      </c>
      <c r="L1477" t="inlineStr">
        <is>
          <t>Sin respuesta tras 3 contactos</t>
        </is>
      </c>
    </row>
    <row r="1478">
      <c r="A1478" t="inlineStr">
        <is>
          <t>CLI-1476</t>
        </is>
      </c>
      <c r="B1478" t="inlineStr">
        <is>
          <t>Iván Espinosa Cardona</t>
        </is>
      </c>
      <c r="C1478" t="inlineStr">
        <is>
          <t>3131784855</t>
        </is>
      </c>
      <c r="D1478" t="inlineStr">
        <is>
          <t>ivan.espinosa56@hotmail.com</t>
        </is>
      </c>
      <c r="E1478" t="inlineStr">
        <is>
          <t>Sabaneta</t>
        </is>
      </c>
      <c r="F1478" t="inlineStr">
        <is>
          <t>PRY-004</t>
        </is>
      </c>
      <c r="G1478" t="inlineStr">
        <is>
          <t>Portal Web</t>
        </is>
      </c>
      <c r="H1478" t="inlineStr">
        <is>
          <t>Ana Quintero</t>
        </is>
      </c>
      <c r="I1478" t="inlineStr">
        <is>
          <t>Perdido</t>
        </is>
      </c>
      <c r="J1478" s="28" t="n">
        <v>45746</v>
      </c>
      <c r="K1478" s="28" t="n">
        <v>45773</v>
      </c>
      <c r="L1478" t="inlineStr">
        <is>
          <t>Datos de contacto errados</t>
        </is>
      </c>
    </row>
    <row r="1479">
      <c r="A1479" t="inlineStr">
        <is>
          <t>CLI-1477</t>
        </is>
      </c>
      <c r="B1479" t="inlineStr">
        <is>
          <t>Felipe Londoño Montoya</t>
        </is>
      </c>
      <c r="C1479" t="inlineStr">
        <is>
          <t>3046295926</t>
        </is>
      </c>
      <c r="D1479" t="inlineStr">
        <is>
          <t>felipe.londono76@gmail.com</t>
        </is>
      </c>
      <c r="E1479" t="inlineStr">
        <is>
          <t>La Estrella</t>
        </is>
      </c>
      <c r="F1479" t="inlineStr">
        <is>
          <t>PRY-005</t>
        </is>
      </c>
      <c r="G1479" t="inlineStr">
        <is>
          <t>Portal Web</t>
        </is>
      </c>
      <c r="H1479" t="inlineStr">
        <is>
          <t>Andrés Torres</t>
        </is>
      </c>
      <c r="I1479" t="inlineStr">
        <is>
          <t>Perdido</t>
        </is>
      </c>
      <c r="J1479" s="28" t="n">
        <v>45746</v>
      </c>
      <c r="K1479" s="28" t="n">
        <v>45774</v>
      </c>
      <c r="L1479" t="inlineStr">
        <is>
          <t>Sin respuesta tras 3 contactos</t>
        </is>
      </c>
    </row>
    <row r="1480">
      <c r="A1480" t="inlineStr">
        <is>
          <t>CLI-1478</t>
        </is>
      </c>
      <c r="B1480" t="inlineStr">
        <is>
          <t>Alejandra Henao Sánchez</t>
        </is>
      </c>
      <c r="C1480" t="inlineStr">
        <is>
          <t>3239380964</t>
        </is>
      </c>
      <c r="D1480" t="inlineStr">
        <is>
          <t>alejandra.henao46@hotmail.com</t>
        </is>
      </c>
      <c r="E1480" t="inlineStr">
        <is>
          <t>Envigado</t>
        </is>
      </c>
      <c r="F1480" t="inlineStr">
        <is>
          <t>PRY-007</t>
        </is>
      </c>
      <c r="G1480" t="inlineStr">
        <is>
          <t>Referido</t>
        </is>
      </c>
      <c r="H1480" t="inlineStr">
        <is>
          <t>Miguel Salazar</t>
        </is>
      </c>
      <c r="I1480" t="inlineStr">
        <is>
          <t>Ganado</t>
        </is>
      </c>
      <c r="J1480" s="28" t="n">
        <v>45747</v>
      </c>
      <c r="K1480" s="28" t="n">
        <v>45836</v>
      </c>
      <c r="L1480" t="inlineStr">
        <is>
          <t>Compró Apto 203 en Mirador de Envigado</t>
        </is>
      </c>
    </row>
    <row r="1481">
      <c r="A1481" t="inlineStr">
        <is>
          <t>CLI-1479</t>
        </is>
      </c>
      <c r="B1481" t="inlineStr">
        <is>
          <t>Rodrigo Gaviria Ramírez</t>
        </is>
      </c>
      <c r="C1481" t="inlineStr">
        <is>
          <t>3109538659</t>
        </is>
      </c>
      <c r="D1481" t="inlineStr">
        <is>
          <t>rodrigo.gaviria56@yahoo.com</t>
        </is>
      </c>
      <c r="E1481" t="inlineStr">
        <is>
          <t>Rionegro</t>
        </is>
      </c>
      <c r="F1481" t="inlineStr">
        <is>
          <t>PRY-005</t>
        </is>
      </c>
      <c r="G1481" t="inlineStr">
        <is>
          <t>Referido</t>
        </is>
      </c>
      <c r="H1481" t="inlineStr">
        <is>
          <t>Santiago Muñoz</t>
        </is>
      </c>
      <c r="I1481" t="inlineStr">
        <is>
          <t>Ganado</t>
        </is>
      </c>
      <c r="J1481" s="28" t="n">
        <v>45747</v>
      </c>
      <c r="K1481" s="28" t="n">
        <v>45836</v>
      </c>
      <c r="L1481" t="inlineStr">
        <is>
          <t>Compró Apto 608 en Ciudadela Rionegro</t>
        </is>
      </c>
    </row>
    <row r="1482">
      <c r="A1482" t="inlineStr">
        <is>
          <t>CLI-1480</t>
        </is>
      </c>
      <c r="B1482" t="inlineStr">
        <is>
          <t>Nicolás Montes Uribe</t>
        </is>
      </c>
      <c r="C1482" t="inlineStr">
        <is>
          <t>3152634587</t>
        </is>
      </c>
      <c r="D1482" t="inlineStr">
        <is>
          <t>nicolas.montes7@gmail.com</t>
        </is>
      </c>
      <c r="E1482" t="inlineStr">
        <is>
          <t>Itagüí</t>
        </is>
      </c>
      <c r="F1482" t="inlineStr">
        <is>
          <t>PRY-008</t>
        </is>
      </c>
      <c r="G1482" t="inlineStr">
        <is>
          <t>Llamada directa</t>
        </is>
      </c>
      <c r="H1482" t="inlineStr">
        <is>
          <t>Ana Quintero</t>
        </is>
      </c>
      <c r="I1482" t="inlineStr">
        <is>
          <t>Ganado</t>
        </is>
      </c>
      <c r="J1482" s="28" t="n">
        <v>45747</v>
      </c>
      <c r="K1482" s="28" t="n">
        <v>45822</v>
      </c>
      <c r="L1482" t="inlineStr">
        <is>
          <t>Compró Casa 99 en Valle Verde Itagüí</t>
        </is>
      </c>
    </row>
    <row r="1483">
      <c r="A1483" t="inlineStr">
        <is>
          <t>CLI-1481</t>
        </is>
      </c>
      <c r="B1483" t="inlineStr">
        <is>
          <t>Esteban Giraldo López</t>
        </is>
      </c>
      <c r="C1483" t="inlineStr">
        <is>
          <t>3131182159</t>
        </is>
      </c>
      <c r="D1483" t="inlineStr">
        <is>
          <t>esteban.giraldo68@outlook.com</t>
        </is>
      </c>
      <c r="E1483" t="inlineStr">
        <is>
          <t>Sabaneta</t>
        </is>
      </c>
      <c r="F1483" t="inlineStr">
        <is>
          <t>PRY-007</t>
        </is>
      </c>
      <c r="G1483" t="inlineStr">
        <is>
          <t>Facebook</t>
        </is>
      </c>
      <c r="H1483" t="inlineStr">
        <is>
          <t>Daniela Ríos</t>
        </is>
      </c>
      <c r="I1483" t="inlineStr">
        <is>
          <t>Perdido</t>
        </is>
      </c>
      <c r="J1483" s="28" t="n">
        <v>45747</v>
      </c>
      <c r="K1483" s="28" t="n">
        <v>45753</v>
      </c>
      <c r="L1483" t="inlineStr">
        <is>
          <t>Buscaba arriendo, no compra</t>
        </is>
      </c>
    </row>
    <row r="1484">
      <c r="A1484" t="inlineStr">
        <is>
          <t>CLI-1482</t>
        </is>
      </c>
      <c r="B1484" t="inlineStr">
        <is>
          <t>Cristian Sánchez Osorio</t>
        </is>
      </c>
      <c r="C1484" t="inlineStr">
        <is>
          <t>3013392088</t>
        </is>
      </c>
      <c r="D1484" t="inlineStr">
        <is>
          <t>cristian.sanchez79@outlook.com</t>
        </is>
      </c>
      <c r="E1484" t="inlineStr">
        <is>
          <t>Rionegro</t>
        </is>
      </c>
      <c r="F1484" t="inlineStr">
        <is>
          <t>PRY-006</t>
        </is>
      </c>
      <c r="G1484" t="inlineStr">
        <is>
          <t>Portal Web</t>
        </is>
      </c>
      <c r="H1484" t="inlineStr">
        <is>
          <t>Paula Arenas</t>
        </is>
      </c>
      <c r="I1484" t="inlineStr">
        <is>
          <t>Perdido</t>
        </is>
      </c>
      <c r="J1484" s="28" t="n">
        <v>45748</v>
      </c>
      <c r="K1484" s="28" t="n">
        <v>45882</v>
      </c>
      <c r="L1484" t="inlineStr">
        <is>
          <t>Desistió de la compra</t>
        </is>
      </c>
    </row>
    <row r="1485">
      <c r="A1485" t="inlineStr">
        <is>
          <t>CLI-1483</t>
        </is>
      </c>
      <c r="B1485" t="inlineStr">
        <is>
          <t>Paola Peláez Cano</t>
        </is>
      </c>
      <c r="C1485" t="inlineStr">
        <is>
          <t>3007889764</t>
        </is>
      </c>
      <c r="D1485" t="inlineStr">
        <is>
          <t>paola.pelaez69@yahoo.com</t>
        </is>
      </c>
      <c r="E1485" t="inlineStr">
        <is>
          <t>Sabaneta</t>
        </is>
      </c>
      <c r="F1485" t="inlineStr">
        <is>
          <t>PRY-005</t>
        </is>
      </c>
      <c r="G1485" t="inlineStr">
        <is>
          <t>Portal Web</t>
        </is>
      </c>
      <c r="H1485" t="inlineStr">
        <is>
          <t>Juliana Vélez</t>
        </is>
      </c>
      <c r="I1485" t="inlineStr">
        <is>
          <t>Perdido</t>
        </is>
      </c>
      <c r="J1485" s="28" t="n">
        <v>45748</v>
      </c>
      <c r="K1485" s="28" t="n">
        <v>45757</v>
      </c>
      <c r="L1485" t="inlineStr">
        <is>
          <t>Sin respuesta tras 3 contactos</t>
        </is>
      </c>
    </row>
    <row r="1486">
      <c r="A1486" t="inlineStr">
        <is>
          <t>CLI-1484</t>
        </is>
      </c>
      <c r="B1486" t="inlineStr">
        <is>
          <t>Paula Gómez Pérez</t>
        </is>
      </c>
      <c r="C1486" t="inlineStr">
        <is>
          <t>3133411492</t>
        </is>
      </c>
      <c r="D1486" t="inlineStr">
        <is>
          <t>paula.gomez70@gmail.com</t>
        </is>
      </c>
      <c r="E1486" t="inlineStr">
        <is>
          <t>Envigado</t>
        </is>
      </c>
      <c r="F1486" t="inlineStr">
        <is>
          <t>PRY-003</t>
        </is>
      </c>
      <c r="G1486" t="inlineStr">
        <is>
          <t>Portal Web</t>
        </is>
      </c>
      <c r="H1486" t="inlineStr">
        <is>
          <t>Ana Quintero</t>
        </is>
      </c>
      <c r="I1486" t="inlineStr">
        <is>
          <t>Perdido</t>
        </is>
      </c>
      <c r="J1486" s="28" t="n">
        <v>45748</v>
      </c>
      <c r="K1486" s="28" t="n">
        <v>45760</v>
      </c>
      <c r="L1486" t="inlineStr">
        <is>
          <t>No calificó para crédito</t>
        </is>
      </c>
    </row>
    <row r="1487">
      <c r="A1487" t="inlineStr">
        <is>
          <t>CLI-1485</t>
        </is>
      </c>
      <c r="B1487" t="inlineStr">
        <is>
          <t>Mateo Gómez Sánchez</t>
        </is>
      </c>
      <c r="C1487" t="inlineStr">
        <is>
          <t>3002518135</t>
        </is>
      </c>
      <c r="D1487" t="inlineStr">
        <is>
          <t>mateo.gomez66@gmail.com</t>
        </is>
      </c>
      <c r="E1487" t="inlineStr">
        <is>
          <t>La Estrella</t>
        </is>
      </c>
      <c r="F1487" t="inlineStr">
        <is>
          <t>PRY-008</t>
        </is>
      </c>
      <c r="G1487" t="inlineStr">
        <is>
          <t>Facebook</t>
        </is>
      </c>
      <c r="H1487" t="inlineStr">
        <is>
          <t>Luis Bedoya</t>
        </is>
      </c>
      <c r="I1487" t="inlineStr">
        <is>
          <t>Perdido</t>
        </is>
      </c>
      <c r="J1487" s="28" t="n">
        <v>45748</v>
      </c>
      <c r="K1487" s="28" t="n">
        <v>45778</v>
      </c>
      <c r="L1487" t="inlineStr">
        <is>
          <t>Datos de contacto errados</t>
        </is>
      </c>
    </row>
    <row r="1488">
      <c r="A1488" t="inlineStr">
        <is>
          <t>CLI-1486</t>
        </is>
      </c>
      <c r="B1488" t="inlineStr">
        <is>
          <t>Iván Vásquez Higuita</t>
        </is>
      </c>
      <c r="C1488" t="inlineStr">
        <is>
          <t>3047695790</t>
        </is>
      </c>
      <c r="D1488" t="inlineStr">
        <is>
          <t>ivan.vasquez90@gmail.com</t>
        </is>
      </c>
      <c r="E1488" t="inlineStr">
        <is>
          <t>Sabaneta</t>
        </is>
      </c>
      <c r="F1488" t="inlineStr">
        <is>
          <t>PRY-008</t>
        </is>
      </c>
      <c r="G1488" t="inlineStr">
        <is>
          <t>Facebook</t>
        </is>
      </c>
      <c r="H1488" t="inlineStr">
        <is>
          <t>Andrés Torres</t>
        </is>
      </c>
      <c r="I1488" t="inlineStr">
        <is>
          <t>Perdido</t>
        </is>
      </c>
      <c r="J1488" s="28" t="n">
        <v>45748</v>
      </c>
      <c r="K1488" s="28" t="n">
        <v>45753</v>
      </c>
      <c r="L1488" t="inlineStr">
        <is>
          <t>Buscaba arriendo, no compra</t>
        </is>
      </c>
    </row>
    <row r="1489">
      <c r="A1489" t="inlineStr">
        <is>
          <t>CLI-1487</t>
        </is>
      </c>
      <c r="B1489" t="inlineStr">
        <is>
          <t>Patricia Higuita Henao</t>
        </is>
      </c>
      <c r="C1489" t="inlineStr">
        <is>
          <t>3013307308</t>
        </is>
      </c>
      <c r="D1489" t="inlineStr">
        <is>
          <t>patricia.higuita15@yahoo.com</t>
        </is>
      </c>
      <c r="E1489" t="inlineStr">
        <is>
          <t>Sabaneta</t>
        </is>
      </c>
      <c r="F1489" t="inlineStr">
        <is>
          <t>PRY-001</t>
        </is>
      </c>
      <c r="G1489" t="inlineStr">
        <is>
          <t>Feria Inmobiliaria</t>
        </is>
      </c>
      <c r="H1489" t="inlineStr">
        <is>
          <t>Paula Arenas</t>
        </is>
      </c>
      <c r="I1489" t="inlineStr">
        <is>
          <t>Perdido</t>
        </is>
      </c>
      <c r="J1489" s="28" t="n">
        <v>45749</v>
      </c>
      <c r="K1489" s="28" t="n">
        <v>45837</v>
      </c>
      <c r="L1489" t="inlineStr">
        <is>
          <t>Precio fuera de presupuesto</t>
        </is>
      </c>
    </row>
    <row r="1490">
      <c r="A1490" t="inlineStr">
        <is>
          <t>CLI-1488</t>
        </is>
      </c>
      <c r="B1490" t="inlineStr">
        <is>
          <t>Diana Espinosa Cardona</t>
        </is>
      </c>
      <c r="C1490" t="inlineStr">
        <is>
          <t>3006548682</t>
        </is>
      </c>
      <c r="D1490" t="inlineStr">
        <is>
          <t>diana.espinosa73@hotmail.com</t>
        </is>
      </c>
      <c r="E1490" t="inlineStr">
        <is>
          <t>Rionegro</t>
        </is>
      </c>
      <c r="F1490" t="inlineStr">
        <is>
          <t>PRY-005</t>
        </is>
      </c>
      <c r="G1490" t="inlineStr">
        <is>
          <t>Instagram</t>
        </is>
      </c>
      <c r="H1490" t="inlineStr">
        <is>
          <t>Daniela Ríos</t>
        </is>
      </c>
      <c r="I1490" t="inlineStr">
        <is>
          <t>Perdido</t>
        </is>
      </c>
      <c r="J1490" s="28" t="n">
        <v>45749</v>
      </c>
      <c r="K1490" s="28" t="n">
        <v>45767</v>
      </c>
      <c r="L1490" t="inlineStr">
        <is>
          <t>Buscaba arriendo, no compra</t>
        </is>
      </c>
    </row>
    <row r="1491">
      <c r="A1491" t="inlineStr">
        <is>
          <t>CLI-1489</t>
        </is>
      </c>
      <c r="B1491" t="inlineStr">
        <is>
          <t>Valentina Gómez Sánchez</t>
        </is>
      </c>
      <c r="C1491" t="inlineStr">
        <is>
          <t>3136358691</t>
        </is>
      </c>
      <c r="D1491" t="inlineStr">
        <is>
          <t>valentina.gomez15@gmail.com</t>
        </is>
      </c>
      <c r="E1491" t="inlineStr">
        <is>
          <t>La Estrella</t>
        </is>
      </c>
      <c r="F1491" t="inlineStr">
        <is>
          <t>PRY-007</t>
        </is>
      </c>
      <c r="G1491" t="inlineStr">
        <is>
          <t>Portal Web</t>
        </is>
      </c>
      <c r="H1491" t="inlineStr">
        <is>
          <t>Sofía Prada</t>
        </is>
      </c>
      <c r="I1491" t="inlineStr">
        <is>
          <t>Perdido</t>
        </is>
      </c>
      <c r="J1491" s="28" t="n">
        <v>45750</v>
      </c>
      <c r="K1491" s="28" t="n">
        <v>45889</v>
      </c>
      <c r="L1491" t="inlineStr">
        <is>
          <t>No volvió a responder</t>
        </is>
      </c>
    </row>
    <row r="1492">
      <c r="A1492" t="inlineStr">
        <is>
          <t>CLI-1490</t>
        </is>
      </c>
      <c r="B1492" t="inlineStr">
        <is>
          <t>Catalina Henao Cano</t>
        </is>
      </c>
      <c r="C1492" t="inlineStr">
        <is>
          <t>3141602248</t>
        </is>
      </c>
      <c r="D1492" t="inlineStr">
        <is>
          <t>catalina.henao85@hotmail.com</t>
        </is>
      </c>
      <c r="E1492" t="inlineStr">
        <is>
          <t>Medellín</t>
        </is>
      </c>
      <c r="F1492" t="inlineStr">
        <is>
          <t>PRY-001</t>
        </is>
      </c>
      <c r="G1492" t="inlineStr">
        <is>
          <t>Facebook</t>
        </is>
      </c>
      <c r="H1492" t="inlineStr">
        <is>
          <t>Miguel Salazar</t>
        </is>
      </c>
      <c r="I1492" t="inlineStr">
        <is>
          <t>Perdido</t>
        </is>
      </c>
      <c r="J1492" s="28" t="n">
        <v>45750</v>
      </c>
      <c r="K1492" s="28" t="n">
        <v>45855</v>
      </c>
      <c r="L1492" t="inlineStr">
        <is>
          <t>Desistió de la compra</t>
        </is>
      </c>
    </row>
    <row r="1493">
      <c r="A1493" t="inlineStr">
        <is>
          <t>CLI-1491</t>
        </is>
      </c>
      <c r="B1493" t="inlineStr">
        <is>
          <t>Nicolás Vargas Espinosa</t>
        </is>
      </c>
      <c r="C1493" t="inlineStr">
        <is>
          <t>3132342782</t>
        </is>
      </c>
      <c r="D1493" t="inlineStr">
        <is>
          <t>nicolas.vargas73@gmail.com</t>
        </is>
      </c>
      <c r="E1493" t="inlineStr">
        <is>
          <t>Itagüí</t>
        </is>
      </c>
      <c r="F1493" t="inlineStr">
        <is>
          <t>PRY-008</t>
        </is>
      </c>
      <c r="G1493" t="inlineStr">
        <is>
          <t>Portal Web</t>
        </is>
      </c>
      <c r="H1493" t="inlineStr">
        <is>
          <t>Juliana Vélez</t>
        </is>
      </c>
      <c r="I1493" t="inlineStr">
        <is>
          <t>Perdido</t>
        </is>
      </c>
      <c r="J1493" s="28" t="n">
        <v>45750</v>
      </c>
      <c r="K1493" s="28" t="n">
        <v>45756</v>
      </c>
      <c r="L1493" t="inlineStr">
        <is>
          <t>Sin respuesta tras 3 contactos</t>
        </is>
      </c>
    </row>
    <row r="1494">
      <c r="A1494" t="inlineStr">
        <is>
          <t>CLI-1492</t>
        </is>
      </c>
      <c r="B1494" t="inlineStr">
        <is>
          <t>Sandra Palacio Betancur</t>
        </is>
      </c>
      <c r="C1494" t="inlineStr">
        <is>
          <t>3241222235</t>
        </is>
      </c>
      <c r="D1494" t="inlineStr">
        <is>
          <t>sandra.palacio55@yahoo.com</t>
        </is>
      </c>
      <c r="E1494" t="inlineStr">
        <is>
          <t>Medellín</t>
        </is>
      </c>
      <c r="F1494" t="inlineStr">
        <is>
          <t>PRY-004</t>
        </is>
      </c>
      <c r="G1494" t="inlineStr">
        <is>
          <t>Portal Web</t>
        </is>
      </c>
      <c r="H1494" t="inlineStr">
        <is>
          <t>Sofía Prada</t>
        </is>
      </c>
      <c r="I1494" t="inlineStr">
        <is>
          <t>Perdido</t>
        </is>
      </c>
      <c r="J1494" s="28" t="n">
        <v>45751</v>
      </c>
      <c r="K1494" s="28" t="n">
        <v>45778</v>
      </c>
      <c r="L1494" t="inlineStr">
        <is>
          <t>Datos de contacto errados</t>
        </is>
      </c>
    </row>
    <row r="1495">
      <c r="A1495" t="inlineStr">
        <is>
          <t>CLI-1493</t>
        </is>
      </c>
      <c r="B1495" t="inlineStr">
        <is>
          <t>Iván Sánchez Salazar</t>
        </is>
      </c>
      <c r="C1495" t="inlineStr">
        <is>
          <t>3144637891</t>
        </is>
      </c>
      <c r="D1495" t="inlineStr">
        <is>
          <t>ivan.sanchez93@hotmail.com</t>
        </is>
      </c>
      <c r="E1495" t="inlineStr">
        <is>
          <t>Medellín</t>
        </is>
      </c>
      <c r="F1495" t="inlineStr">
        <is>
          <t>PRY-001</t>
        </is>
      </c>
      <c r="G1495" t="inlineStr">
        <is>
          <t>Referido</t>
        </is>
      </c>
      <c r="H1495" t="inlineStr">
        <is>
          <t>Paula Arenas</t>
        </is>
      </c>
      <c r="I1495" t="inlineStr">
        <is>
          <t>Ganado</t>
        </is>
      </c>
      <c r="J1495" s="28" t="n">
        <v>45752</v>
      </c>
      <c r="K1495" s="28" t="n">
        <v>45887</v>
      </c>
      <c r="L1495" t="inlineStr">
        <is>
          <t>Compró Apto 2004 en Torres del Poblado</t>
        </is>
      </c>
    </row>
    <row r="1496">
      <c r="A1496" t="inlineStr">
        <is>
          <t>CLI-1494</t>
        </is>
      </c>
      <c r="B1496" t="inlineStr">
        <is>
          <t>Mateo Cifuentes Ríos</t>
        </is>
      </c>
      <c r="C1496" t="inlineStr">
        <is>
          <t>3201936038</t>
        </is>
      </c>
      <c r="D1496" t="inlineStr">
        <is>
          <t>mateo.cifuentes15@gmail.com</t>
        </is>
      </c>
      <c r="E1496" t="inlineStr">
        <is>
          <t>Medellín</t>
        </is>
      </c>
      <c r="F1496" t="inlineStr">
        <is>
          <t>PRY-001</t>
        </is>
      </c>
      <c r="G1496" t="inlineStr">
        <is>
          <t>Instagram</t>
        </is>
      </c>
      <c r="H1496" t="inlineStr">
        <is>
          <t>Santiago Muñoz</t>
        </is>
      </c>
      <c r="I1496" t="inlineStr">
        <is>
          <t>Ganado</t>
        </is>
      </c>
      <c r="J1496" s="28" t="n">
        <v>45752</v>
      </c>
      <c r="K1496" s="28" t="n">
        <v>45887</v>
      </c>
      <c r="L1496" t="inlineStr">
        <is>
          <t>Compró Apto 1502 en Torres del Poblado</t>
        </is>
      </c>
    </row>
    <row r="1497">
      <c r="A1497" t="inlineStr">
        <is>
          <t>CLI-1495</t>
        </is>
      </c>
      <c r="B1497" t="inlineStr">
        <is>
          <t>Sandra Betancur Toro</t>
        </is>
      </c>
      <c r="C1497" t="inlineStr">
        <is>
          <t>3144979862</t>
        </is>
      </c>
      <c r="D1497" t="inlineStr">
        <is>
          <t>sandra.betancur16@outlook.com</t>
        </is>
      </c>
      <c r="E1497" t="inlineStr">
        <is>
          <t>La Estrella</t>
        </is>
      </c>
      <c r="F1497" t="inlineStr">
        <is>
          <t>PRY-002</t>
        </is>
      </c>
      <c r="G1497" t="inlineStr">
        <is>
          <t>Llamada directa</t>
        </is>
      </c>
      <c r="H1497" t="inlineStr">
        <is>
          <t>Santiago Muñoz</t>
        </is>
      </c>
      <c r="I1497" t="inlineStr">
        <is>
          <t>Ganado</t>
        </is>
      </c>
      <c r="J1497" s="28" t="n">
        <v>45752</v>
      </c>
      <c r="K1497" s="28" t="n">
        <v>45891</v>
      </c>
      <c r="L1497" t="inlineStr">
        <is>
          <t>Compró Casa 43 en Reserva Santa Elena</t>
        </is>
      </c>
    </row>
    <row r="1498">
      <c r="A1498" t="inlineStr">
        <is>
          <t>CLI-1496</t>
        </is>
      </c>
      <c r="B1498" t="inlineStr">
        <is>
          <t>Santiago Rojas Higuita</t>
        </is>
      </c>
      <c r="C1498" t="inlineStr">
        <is>
          <t>3002437444</t>
        </is>
      </c>
      <c r="D1498" t="inlineStr">
        <is>
          <t>santiago.rojas15@gmail.com</t>
        </is>
      </c>
      <c r="E1498" t="inlineStr">
        <is>
          <t>Rionegro</t>
        </is>
      </c>
      <c r="F1498" t="inlineStr">
        <is>
          <t>PRY-008</t>
        </is>
      </c>
      <c r="G1498" t="inlineStr">
        <is>
          <t>Facebook</t>
        </is>
      </c>
      <c r="H1498" t="inlineStr">
        <is>
          <t>Luis Bedoya</t>
        </is>
      </c>
      <c r="I1498" t="inlineStr">
        <is>
          <t>Ganado</t>
        </is>
      </c>
      <c r="J1498" s="28" t="n">
        <v>45752</v>
      </c>
      <c r="K1498" s="28" t="n">
        <v>45817</v>
      </c>
      <c r="L1498" t="inlineStr">
        <is>
          <t>Compró Casa 110 en Valle Verde Itagüí</t>
        </is>
      </c>
    </row>
    <row r="1499">
      <c r="A1499" t="inlineStr">
        <is>
          <t>CLI-1497</t>
        </is>
      </c>
      <c r="B1499" t="inlineStr">
        <is>
          <t>José Sánchez Palacio</t>
        </is>
      </c>
      <c r="C1499" t="inlineStr">
        <is>
          <t>3014628096</t>
        </is>
      </c>
      <c r="D1499" t="inlineStr">
        <is>
          <t>jose.sanchez89@gmail.com</t>
        </is>
      </c>
      <c r="E1499" t="inlineStr">
        <is>
          <t>Itagüí</t>
        </is>
      </c>
      <c r="F1499" t="inlineStr">
        <is>
          <t>PRY-008</t>
        </is>
      </c>
      <c r="G1499" t="inlineStr">
        <is>
          <t>Referido</t>
        </is>
      </c>
      <c r="H1499" t="inlineStr">
        <is>
          <t>Juliana Vélez</t>
        </is>
      </c>
      <c r="I1499" t="inlineStr">
        <is>
          <t>Ganado</t>
        </is>
      </c>
      <c r="J1499" s="28" t="n">
        <v>45752</v>
      </c>
      <c r="K1499" s="28" t="n">
        <v>45864</v>
      </c>
      <c r="L1499" t="inlineStr">
        <is>
          <t>Compró Casa 51 en Valle Verde Itagüí</t>
        </is>
      </c>
    </row>
    <row r="1500">
      <c r="A1500" t="inlineStr">
        <is>
          <t>CLI-1498</t>
        </is>
      </c>
      <c r="B1500" t="inlineStr">
        <is>
          <t>Mariana Valencia Espinosa</t>
        </is>
      </c>
      <c r="C1500" t="inlineStr">
        <is>
          <t>3043937983</t>
        </is>
      </c>
      <c r="D1500" t="inlineStr">
        <is>
          <t>mariana.valencia39@gmail.com</t>
        </is>
      </c>
      <c r="E1500" t="inlineStr">
        <is>
          <t>Medellín</t>
        </is>
      </c>
      <c r="F1500" t="inlineStr">
        <is>
          <t>PRY-003</t>
        </is>
      </c>
      <c r="G1500" t="inlineStr">
        <is>
          <t>Portal Web</t>
        </is>
      </c>
      <c r="H1500" t="inlineStr">
        <is>
          <t>Andrés Torres</t>
        </is>
      </c>
      <c r="I1500" t="inlineStr">
        <is>
          <t>Perdido</t>
        </is>
      </c>
      <c r="J1500" s="28" t="n">
        <v>45752</v>
      </c>
      <c r="K1500" s="28" t="n">
        <v>45778</v>
      </c>
      <c r="L1500" t="inlineStr">
        <is>
          <t>Sin respuesta tras 3 contactos</t>
        </is>
      </c>
    </row>
    <row r="1501">
      <c r="A1501" t="inlineStr">
        <is>
          <t>CLI-1499</t>
        </is>
      </c>
      <c r="B1501" t="inlineStr">
        <is>
          <t>Iván Sánchez Bedoya</t>
        </is>
      </c>
      <c r="C1501" t="inlineStr">
        <is>
          <t>3245038798</t>
        </is>
      </c>
      <c r="D1501" t="inlineStr">
        <is>
          <t>ivan.sanchez26@yahoo.com</t>
        </is>
      </c>
      <c r="E1501" t="inlineStr">
        <is>
          <t>Rionegro</t>
        </is>
      </c>
      <c r="F1501" t="inlineStr">
        <is>
          <t>PRY-005</t>
        </is>
      </c>
      <c r="G1501" t="inlineStr">
        <is>
          <t>Portal Web</t>
        </is>
      </c>
      <c r="H1501" t="inlineStr">
        <is>
          <t>Daniela Ríos</t>
        </is>
      </c>
      <c r="I1501" t="inlineStr">
        <is>
          <t>Ganado</t>
        </is>
      </c>
      <c r="J1501" s="28" t="n">
        <v>45753</v>
      </c>
      <c r="K1501" s="28" t="n">
        <v>45898</v>
      </c>
      <c r="L1501" t="inlineStr">
        <is>
          <t>Compró Casa 4 en Ciudadela Rionegro</t>
        </is>
      </c>
    </row>
    <row r="1502">
      <c r="A1502" t="inlineStr">
        <is>
          <t>CLI-1500</t>
        </is>
      </c>
      <c r="B1502" t="inlineStr">
        <is>
          <t>David Álvarez Agudelo</t>
        </is>
      </c>
      <c r="C1502" t="inlineStr">
        <is>
          <t>3231917391</t>
        </is>
      </c>
      <c r="D1502" t="inlineStr">
        <is>
          <t>david.alvarez93@gmail.com</t>
        </is>
      </c>
      <c r="E1502" t="inlineStr">
        <is>
          <t>Medellín</t>
        </is>
      </c>
      <c r="F1502" t="inlineStr">
        <is>
          <t>PRY-003</t>
        </is>
      </c>
      <c r="G1502" t="inlineStr">
        <is>
          <t>Feria Inmobiliaria</t>
        </is>
      </c>
      <c r="H1502" t="inlineStr">
        <is>
          <t>Luis Bedoya</t>
        </is>
      </c>
      <c r="I1502" t="inlineStr">
        <is>
          <t>Ganado</t>
        </is>
      </c>
      <c r="J1502" s="28" t="n">
        <v>45753</v>
      </c>
      <c r="K1502" s="28" t="n">
        <v>45886</v>
      </c>
      <c r="L1502" t="inlineStr">
        <is>
          <t>Compró Apto 504 en Conecta Laureles</t>
        </is>
      </c>
    </row>
    <row r="1503">
      <c r="A1503" t="inlineStr">
        <is>
          <t>CLI-1501</t>
        </is>
      </c>
      <c r="B1503" t="inlineStr">
        <is>
          <t>Sebastián Higuita Osorio</t>
        </is>
      </c>
      <c r="C1503" t="inlineStr">
        <is>
          <t>3156616047</t>
        </is>
      </c>
      <c r="D1503" t="inlineStr">
        <is>
          <t>sebastian.higuita89@outlook.com</t>
        </is>
      </c>
      <c r="E1503" t="inlineStr">
        <is>
          <t>Medellín</t>
        </is>
      </c>
      <c r="F1503" t="inlineStr">
        <is>
          <t>PRY-003</t>
        </is>
      </c>
      <c r="G1503" t="inlineStr">
        <is>
          <t>Portal Web</t>
        </is>
      </c>
      <c r="H1503" t="inlineStr">
        <is>
          <t>Ana Quintero</t>
        </is>
      </c>
      <c r="I1503" t="inlineStr">
        <is>
          <t>Perdido</t>
        </is>
      </c>
      <c r="J1503" s="28" t="n">
        <v>45753</v>
      </c>
      <c r="K1503" s="28" t="n">
        <v>45758</v>
      </c>
      <c r="L1503" t="inlineStr">
        <is>
          <t>Presupuesto insuficiente</t>
        </is>
      </c>
    </row>
    <row r="1504">
      <c r="A1504" t="inlineStr">
        <is>
          <t>CLI-1502</t>
        </is>
      </c>
      <c r="B1504" t="inlineStr">
        <is>
          <t>Sofía Peláez Henao</t>
        </is>
      </c>
      <c r="C1504" t="inlineStr">
        <is>
          <t>3003019794</t>
        </is>
      </c>
      <c r="D1504" t="inlineStr">
        <is>
          <t>sofia.pelaez83@outlook.com</t>
        </is>
      </c>
      <c r="E1504" t="inlineStr">
        <is>
          <t>Envigado</t>
        </is>
      </c>
      <c r="F1504" t="inlineStr">
        <is>
          <t>PRY-007</t>
        </is>
      </c>
      <c r="G1504" t="inlineStr">
        <is>
          <t>Portal Web</t>
        </is>
      </c>
      <c r="H1504" t="inlineStr">
        <is>
          <t>Juliana Vélez</t>
        </is>
      </c>
      <c r="I1504" t="inlineStr">
        <is>
          <t>Perdido</t>
        </is>
      </c>
      <c r="J1504" s="28" t="n">
        <v>45753</v>
      </c>
      <c r="K1504" s="28" t="n">
        <v>45766</v>
      </c>
      <c r="L1504" t="inlineStr">
        <is>
          <t>Buscaba arriendo, no compra</t>
        </is>
      </c>
    </row>
    <row r="1505">
      <c r="A1505" t="inlineStr">
        <is>
          <t>CLI-1503</t>
        </is>
      </c>
      <c r="B1505" t="inlineStr">
        <is>
          <t>Alejandra Zapata Valencia</t>
        </is>
      </c>
      <c r="C1505" t="inlineStr">
        <is>
          <t>3153634163</t>
        </is>
      </c>
      <c r="D1505" t="inlineStr">
        <is>
          <t>alejandra.zapata55@outlook.com</t>
        </is>
      </c>
      <c r="E1505" t="inlineStr">
        <is>
          <t>Bello</t>
        </is>
      </c>
      <c r="F1505" t="inlineStr">
        <is>
          <t>PRY-008</t>
        </is>
      </c>
      <c r="G1505" t="inlineStr">
        <is>
          <t>Facebook</t>
        </is>
      </c>
      <c r="H1505" t="inlineStr">
        <is>
          <t>Daniela Ríos</t>
        </is>
      </c>
      <c r="I1505" t="inlineStr">
        <is>
          <t>Perdido</t>
        </is>
      </c>
      <c r="J1505" s="28" t="n">
        <v>45754</v>
      </c>
      <c r="K1505" s="28" t="n">
        <v>45781</v>
      </c>
      <c r="L1505" t="inlineStr">
        <is>
          <t>No calificó para crédito</t>
        </is>
      </c>
    </row>
    <row r="1506">
      <c r="A1506" t="inlineStr">
        <is>
          <t>CLI-1504</t>
        </is>
      </c>
      <c r="B1506" t="inlineStr">
        <is>
          <t>Nicolás Cifuentes Arango</t>
        </is>
      </c>
      <c r="C1506" t="inlineStr">
        <is>
          <t>3132523539</t>
        </is>
      </c>
      <c r="D1506" t="inlineStr">
        <is>
          <t>nicolas.cifuentes38@yahoo.com</t>
        </is>
      </c>
      <c r="E1506" t="inlineStr">
        <is>
          <t>Medellín</t>
        </is>
      </c>
      <c r="F1506" t="inlineStr">
        <is>
          <t>PRY-003</t>
        </is>
      </c>
      <c r="G1506" t="inlineStr">
        <is>
          <t>Portal Web</t>
        </is>
      </c>
      <c r="H1506" t="inlineStr">
        <is>
          <t>Daniela Ríos</t>
        </is>
      </c>
      <c r="I1506" t="inlineStr">
        <is>
          <t>Perdido</t>
        </is>
      </c>
      <c r="J1506" s="28" t="n">
        <v>45754</v>
      </c>
      <c r="K1506" s="28" t="n">
        <v>45778</v>
      </c>
      <c r="L1506" t="inlineStr">
        <is>
          <t>Sin respuesta tras 3 contactos</t>
        </is>
      </c>
    </row>
    <row r="1507">
      <c r="A1507" t="inlineStr">
        <is>
          <t>CLI-1505</t>
        </is>
      </c>
      <c r="B1507" t="inlineStr">
        <is>
          <t>Daniel Espinosa Salazar</t>
        </is>
      </c>
      <c r="C1507" t="inlineStr">
        <is>
          <t>3173025454</t>
        </is>
      </c>
      <c r="D1507" t="inlineStr">
        <is>
          <t>daniel.espinosa86@hotmail.com</t>
        </is>
      </c>
      <c r="E1507" t="inlineStr">
        <is>
          <t>Medellín</t>
        </is>
      </c>
      <c r="F1507" t="inlineStr">
        <is>
          <t>PRY-003</t>
        </is>
      </c>
      <c r="G1507" t="inlineStr">
        <is>
          <t>Llamada directa</t>
        </is>
      </c>
      <c r="H1507" t="inlineStr">
        <is>
          <t>Daniela Ríos</t>
        </is>
      </c>
      <c r="I1507" t="inlineStr">
        <is>
          <t>Perdido</t>
        </is>
      </c>
      <c r="J1507" s="28" t="n">
        <v>45754</v>
      </c>
      <c r="K1507" s="28" t="n">
        <v>45768</v>
      </c>
      <c r="L1507" t="inlineStr">
        <is>
          <t>No calificó para crédito</t>
        </is>
      </c>
    </row>
    <row r="1508">
      <c r="A1508" t="inlineStr">
        <is>
          <t>CLI-1506</t>
        </is>
      </c>
      <c r="B1508" t="inlineStr">
        <is>
          <t>Marcela Cardona Montes</t>
        </is>
      </c>
      <c r="C1508" t="inlineStr">
        <is>
          <t>3145269367</t>
        </is>
      </c>
      <c r="D1508" t="inlineStr">
        <is>
          <t>marcela.cardona22@yahoo.com</t>
        </is>
      </c>
      <c r="E1508" t="inlineStr">
        <is>
          <t>Medellín</t>
        </is>
      </c>
      <c r="F1508" t="inlineStr">
        <is>
          <t>PRY-003</t>
        </is>
      </c>
      <c r="G1508" t="inlineStr">
        <is>
          <t>Facebook</t>
        </is>
      </c>
      <c r="H1508" t="inlineStr">
        <is>
          <t>Andrés Torres</t>
        </is>
      </c>
      <c r="I1508" t="inlineStr">
        <is>
          <t>Perdido</t>
        </is>
      </c>
      <c r="J1508" s="28" t="n">
        <v>45755</v>
      </c>
      <c r="K1508" s="28" t="n">
        <v>45817</v>
      </c>
      <c r="L1508" t="inlineStr">
        <is>
          <t>Precio fuera de presupuesto</t>
        </is>
      </c>
    </row>
    <row r="1509">
      <c r="A1509" t="inlineStr">
        <is>
          <t>CLI-1507</t>
        </is>
      </c>
      <c r="B1509" t="inlineStr">
        <is>
          <t>Valeria Uribe Cardona</t>
        </is>
      </c>
      <c r="C1509" t="inlineStr">
        <is>
          <t>3236306658</t>
        </is>
      </c>
      <c r="D1509" t="inlineStr">
        <is>
          <t>valeria.uribe77@outlook.com</t>
        </is>
      </c>
      <c r="E1509" t="inlineStr">
        <is>
          <t>Rionegro</t>
        </is>
      </c>
      <c r="F1509" t="inlineStr">
        <is>
          <t>PRY-005</t>
        </is>
      </c>
      <c r="G1509" t="inlineStr">
        <is>
          <t>Facebook</t>
        </is>
      </c>
      <c r="H1509" t="inlineStr">
        <is>
          <t>Luis Bedoya</t>
        </is>
      </c>
      <c r="I1509" t="inlineStr">
        <is>
          <t>Perdido</t>
        </is>
      </c>
      <c r="J1509" s="28" t="n">
        <v>45755</v>
      </c>
      <c r="K1509" s="28" t="n">
        <v>45767</v>
      </c>
      <c r="L1509" t="inlineStr">
        <is>
          <t>Datos de contacto errados</t>
        </is>
      </c>
    </row>
    <row r="1510">
      <c r="A1510" t="inlineStr">
        <is>
          <t>CLI-1508</t>
        </is>
      </c>
      <c r="B1510" t="inlineStr">
        <is>
          <t>Esteban Henao Espinosa</t>
        </is>
      </c>
      <c r="C1510" t="inlineStr">
        <is>
          <t>3175154961</t>
        </is>
      </c>
      <c r="D1510" t="inlineStr">
        <is>
          <t>esteban.henao22@gmail.com</t>
        </is>
      </c>
      <c r="E1510" t="inlineStr">
        <is>
          <t>La Estrella</t>
        </is>
      </c>
      <c r="F1510" t="inlineStr">
        <is>
          <t>PRY-008</t>
        </is>
      </c>
      <c r="G1510" t="inlineStr">
        <is>
          <t>Referido</t>
        </is>
      </c>
      <c r="H1510" t="inlineStr">
        <is>
          <t>Santiago Muñoz</t>
        </is>
      </c>
      <c r="I1510" t="inlineStr">
        <is>
          <t>Ganado</t>
        </is>
      </c>
      <c r="J1510" s="28" t="n">
        <v>45756</v>
      </c>
      <c r="K1510" s="28" t="n">
        <v>45848</v>
      </c>
      <c r="L1510" t="inlineStr">
        <is>
          <t>Compró Casa 33 en Valle Verde Itagüí</t>
        </is>
      </c>
    </row>
    <row r="1511">
      <c r="A1511" t="inlineStr">
        <is>
          <t>CLI-1509</t>
        </is>
      </c>
      <c r="B1511" t="inlineStr">
        <is>
          <t>Jhon Espinosa Vargas</t>
        </is>
      </c>
      <c r="C1511" t="inlineStr">
        <is>
          <t>3159751718</t>
        </is>
      </c>
      <c r="D1511" t="inlineStr">
        <is>
          <t>jhon.espinosa59@outlook.com</t>
        </is>
      </c>
      <c r="E1511" t="inlineStr">
        <is>
          <t>La Estrella</t>
        </is>
      </c>
      <c r="F1511" t="inlineStr">
        <is>
          <t>PRY-001</t>
        </is>
      </c>
      <c r="G1511" t="inlineStr">
        <is>
          <t>Instagram</t>
        </is>
      </c>
      <c r="H1511" t="inlineStr">
        <is>
          <t>Ana Quintero</t>
        </is>
      </c>
      <c r="I1511" t="inlineStr">
        <is>
          <t>Perdido</t>
        </is>
      </c>
      <c r="J1511" s="28" t="n">
        <v>45756</v>
      </c>
      <c r="K1511" s="28" t="n">
        <v>45770</v>
      </c>
      <c r="L1511" t="inlineStr">
        <is>
          <t>Sin respuesta tras 3 contactos</t>
        </is>
      </c>
    </row>
    <row r="1512">
      <c r="A1512" t="inlineStr">
        <is>
          <t>CLI-1510</t>
        </is>
      </c>
      <c r="B1512" t="inlineStr">
        <is>
          <t>Simón Vargas Sánchez</t>
        </is>
      </c>
      <c r="C1512" t="inlineStr">
        <is>
          <t>3003888976</t>
        </is>
      </c>
      <c r="D1512" t="inlineStr">
        <is>
          <t>simon.vargas48@gmail.com</t>
        </is>
      </c>
      <c r="E1512" t="inlineStr">
        <is>
          <t>Medellín</t>
        </is>
      </c>
      <c r="F1512" t="inlineStr">
        <is>
          <t>PRY-001</t>
        </is>
      </c>
      <c r="G1512" t="inlineStr">
        <is>
          <t>Facebook</t>
        </is>
      </c>
      <c r="H1512" t="inlineStr">
        <is>
          <t>Paula Arenas</t>
        </is>
      </c>
      <c r="I1512" t="inlineStr">
        <is>
          <t>Ganado</t>
        </is>
      </c>
      <c r="J1512" s="28" t="n">
        <v>45757</v>
      </c>
      <c r="K1512" s="28" t="n">
        <v>45864</v>
      </c>
      <c r="L1512" t="inlineStr">
        <is>
          <t>Compró Apto 304 en Torres del Poblado</t>
        </is>
      </c>
    </row>
    <row r="1513">
      <c r="A1513" t="inlineStr">
        <is>
          <t>CLI-1511</t>
        </is>
      </c>
      <c r="B1513" t="inlineStr">
        <is>
          <t>Nicolás Quintero Betancur</t>
        </is>
      </c>
      <c r="C1513" t="inlineStr">
        <is>
          <t>3221263882</t>
        </is>
      </c>
      <c r="D1513" t="inlineStr">
        <is>
          <t>nicolas.quintero32@yahoo.com</t>
        </is>
      </c>
      <c r="E1513" t="inlineStr">
        <is>
          <t>La Estrella</t>
        </is>
      </c>
      <c r="F1513" t="inlineStr">
        <is>
          <t>PRY-007</t>
        </is>
      </c>
      <c r="G1513" t="inlineStr">
        <is>
          <t>Instagram</t>
        </is>
      </c>
      <c r="H1513" t="inlineStr">
        <is>
          <t>Paula Arenas</t>
        </is>
      </c>
      <c r="I1513" t="inlineStr">
        <is>
          <t>Perdido</t>
        </is>
      </c>
      <c r="J1513" s="28" t="n">
        <v>45757</v>
      </c>
      <c r="K1513" s="28" t="n">
        <v>45810</v>
      </c>
      <c r="L1513" t="inlineStr">
        <is>
          <t>Crédito no aprobado</t>
        </is>
      </c>
    </row>
    <row r="1514">
      <c r="A1514" t="inlineStr">
        <is>
          <t>CLI-1512</t>
        </is>
      </c>
      <c r="B1514" t="inlineStr">
        <is>
          <t>Fernando Valencia Osorio</t>
        </is>
      </c>
      <c r="C1514" t="inlineStr">
        <is>
          <t>3105116797</t>
        </is>
      </c>
      <c r="D1514" t="inlineStr">
        <is>
          <t>fernando.valencia84@hotmail.com</t>
        </is>
      </c>
      <c r="E1514" t="inlineStr">
        <is>
          <t>Itagüí</t>
        </is>
      </c>
      <c r="F1514" t="inlineStr">
        <is>
          <t>PRY-008</t>
        </is>
      </c>
      <c r="G1514" t="inlineStr">
        <is>
          <t>Portal Web</t>
        </is>
      </c>
      <c r="H1514" t="inlineStr">
        <is>
          <t>Ana Quintero</t>
        </is>
      </c>
      <c r="I1514" t="inlineStr">
        <is>
          <t>Perdido</t>
        </is>
      </c>
      <c r="J1514" s="28" t="n">
        <v>45757</v>
      </c>
      <c r="K1514" s="28" t="n">
        <v>45774</v>
      </c>
      <c r="L1514" t="inlineStr">
        <is>
          <t>No calificó para crédito</t>
        </is>
      </c>
    </row>
    <row r="1515">
      <c r="A1515" t="inlineStr">
        <is>
          <t>CLI-1513</t>
        </is>
      </c>
      <c r="B1515" t="inlineStr">
        <is>
          <t>Sebastián Restrepo Salcedo</t>
        </is>
      </c>
      <c r="C1515" t="inlineStr">
        <is>
          <t>3013361397</t>
        </is>
      </c>
      <c r="D1515" t="inlineStr">
        <is>
          <t>sebastian.restrepo86@yahoo.com</t>
        </is>
      </c>
      <c r="E1515" t="inlineStr">
        <is>
          <t>Envigado</t>
        </is>
      </c>
      <c r="F1515" t="inlineStr">
        <is>
          <t>PRY-003</t>
        </is>
      </c>
      <c r="G1515" t="inlineStr">
        <is>
          <t>Referido</t>
        </is>
      </c>
      <c r="H1515" t="inlineStr">
        <is>
          <t>Paula Arenas</t>
        </is>
      </c>
      <c r="I1515" t="inlineStr">
        <is>
          <t>Perdido</t>
        </is>
      </c>
      <c r="J1515" s="28" t="n">
        <v>45757</v>
      </c>
      <c r="K1515" s="28" t="n">
        <v>45786</v>
      </c>
      <c r="L1515" t="inlineStr">
        <is>
          <t>Buscaba arriendo, no compra</t>
        </is>
      </c>
    </row>
    <row r="1516">
      <c r="A1516" t="inlineStr">
        <is>
          <t>CLI-1514</t>
        </is>
      </c>
      <c r="B1516" t="inlineStr">
        <is>
          <t>Mónica Zapata Cardona</t>
        </is>
      </c>
      <c r="C1516" t="inlineStr">
        <is>
          <t>3159769175</t>
        </is>
      </c>
      <c r="D1516" t="inlineStr">
        <is>
          <t>monica.zapata10@yahoo.com</t>
        </is>
      </c>
      <c r="E1516" t="inlineStr">
        <is>
          <t>Envigado</t>
        </is>
      </c>
      <c r="F1516" t="inlineStr">
        <is>
          <t>PRY-008</t>
        </is>
      </c>
      <c r="G1516" t="inlineStr">
        <is>
          <t>Facebook</t>
        </is>
      </c>
      <c r="H1516" t="inlineStr">
        <is>
          <t>Ana Quintero</t>
        </is>
      </c>
      <c r="I1516" t="inlineStr">
        <is>
          <t>Perdido</t>
        </is>
      </c>
      <c r="J1516" s="28" t="n">
        <v>45757</v>
      </c>
      <c r="K1516" s="28" t="n">
        <v>45763</v>
      </c>
      <c r="L1516" t="inlineStr">
        <is>
          <t>Presupuesto insuficiente</t>
        </is>
      </c>
    </row>
    <row r="1517">
      <c r="A1517" t="inlineStr">
        <is>
          <t>CLI-1515</t>
        </is>
      </c>
      <c r="B1517" t="inlineStr">
        <is>
          <t>Fernando Cardona Peláez</t>
        </is>
      </c>
      <c r="C1517" t="inlineStr">
        <is>
          <t>3237185844</t>
        </is>
      </c>
      <c r="D1517" t="inlineStr">
        <is>
          <t>fernando.cardona10@gmail.com</t>
        </is>
      </c>
      <c r="E1517" t="inlineStr">
        <is>
          <t>Bello</t>
        </is>
      </c>
      <c r="F1517" t="inlineStr">
        <is>
          <t>PRY-008</t>
        </is>
      </c>
      <c r="G1517" t="inlineStr">
        <is>
          <t>Instagram</t>
        </is>
      </c>
      <c r="H1517" t="inlineStr">
        <is>
          <t>Sofía Prada</t>
        </is>
      </c>
      <c r="I1517" t="inlineStr">
        <is>
          <t>Perdido</t>
        </is>
      </c>
      <c r="J1517" s="28" t="n">
        <v>45757</v>
      </c>
      <c r="K1517" s="28" t="n">
        <v>45787</v>
      </c>
      <c r="L1517" t="inlineStr">
        <is>
          <t>Buscaba arriendo, no compra</t>
        </is>
      </c>
    </row>
    <row r="1518">
      <c r="A1518" t="inlineStr">
        <is>
          <t>CLI-1516</t>
        </is>
      </c>
      <c r="B1518" t="inlineStr">
        <is>
          <t>Liliana Betancur Londoño</t>
        </is>
      </c>
      <c r="C1518" t="inlineStr">
        <is>
          <t>3171889531</t>
        </is>
      </c>
      <c r="D1518" t="inlineStr">
        <is>
          <t>liliana.betancur63@yahoo.com</t>
        </is>
      </c>
      <c r="E1518" t="inlineStr">
        <is>
          <t>Medellín</t>
        </is>
      </c>
      <c r="F1518" t="inlineStr">
        <is>
          <t>PRY-003</t>
        </is>
      </c>
      <c r="G1518" t="inlineStr">
        <is>
          <t>Portal Web</t>
        </is>
      </c>
      <c r="H1518" t="inlineStr">
        <is>
          <t>Sofía Prada</t>
        </is>
      </c>
      <c r="I1518" t="inlineStr">
        <is>
          <t>Perdido</t>
        </is>
      </c>
      <c r="J1518" s="28" t="n">
        <v>45758</v>
      </c>
      <c r="K1518" s="28" t="n">
        <v>45766</v>
      </c>
      <c r="L1518" t="inlineStr">
        <is>
          <t>Sin respuesta tras 3 contactos</t>
        </is>
      </c>
    </row>
    <row r="1519">
      <c r="A1519" t="inlineStr">
        <is>
          <t>CLI-1517</t>
        </is>
      </c>
      <c r="B1519" t="inlineStr">
        <is>
          <t>Valeria López Correa</t>
        </is>
      </c>
      <c r="C1519" t="inlineStr">
        <is>
          <t>3201070030</t>
        </is>
      </c>
      <c r="D1519" t="inlineStr">
        <is>
          <t>valeria.lopez7@outlook.com</t>
        </is>
      </c>
      <c r="E1519" t="inlineStr">
        <is>
          <t>Envigado</t>
        </is>
      </c>
      <c r="F1519" t="inlineStr">
        <is>
          <t>PRY-007</t>
        </is>
      </c>
      <c r="G1519" t="inlineStr">
        <is>
          <t>Portal Web</t>
        </is>
      </c>
      <c r="H1519" t="inlineStr">
        <is>
          <t>Ana Quintero</t>
        </is>
      </c>
      <c r="I1519" t="inlineStr">
        <is>
          <t>Perdido</t>
        </is>
      </c>
      <c r="J1519" s="28" t="n">
        <v>45758</v>
      </c>
      <c r="K1519" s="28" t="n">
        <v>45786</v>
      </c>
      <c r="L1519" t="inlineStr">
        <is>
          <t>Buscaba arriendo, no compra</t>
        </is>
      </c>
    </row>
    <row r="1520">
      <c r="A1520" t="inlineStr">
        <is>
          <t>CLI-1518</t>
        </is>
      </c>
      <c r="B1520" t="inlineStr">
        <is>
          <t>Daniela Vargas Bedoya</t>
        </is>
      </c>
      <c r="C1520" t="inlineStr">
        <is>
          <t>3228092676</t>
        </is>
      </c>
      <c r="D1520" t="inlineStr">
        <is>
          <t>daniela.vargas92@hotmail.com</t>
        </is>
      </c>
      <c r="E1520" t="inlineStr">
        <is>
          <t>Medellín</t>
        </is>
      </c>
      <c r="F1520" t="inlineStr">
        <is>
          <t>PRY-001</t>
        </is>
      </c>
      <c r="G1520" t="inlineStr">
        <is>
          <t>Portal Web</t>
        </is>
      </c>
      <c r="H1520" t="inlineStr">
        <is>
          <t>Luis Bedoya</t>
        </is>
      </c>
      <c r="I1520" t="inlineStr">
        <is>
          <t>Perdido</t>
        </is>
      </c>
      <c r="J1520" s="28" t="n">
        <v>45758</v>
      </c>
      <c r="K1520" s="28" t="n">
        <v>45786</v>
      </c>
      <c r="L1520" t="inlineStr">
        <is>
          <t>No calificó para crédito</t>
        </is>
      </c>
    </row>
    <row r="1521">
      <c r="A1521" t="inlineStr">
        <is>
          <t>CLI-1519</t>
        </is>
      </c>
      <c r="B1521" t="inlineStr">
        <is>
          <t>Marcela Giraldo Hernández</t>
        </is>
      </c>
      <c r="C1521" t="inlineStr">
        <is>
          <t>3045666145</t>
        </is>
      </c>
      <c r="D1521" t="inlineStr">
        <is>
          <t>marcela.giraldo96@gmail.com</t>
        </is>
      </c>
      <c r="E1521" t="inlineStr">
        <is>
          <t>Envigado</t>
        </is>
      </c>
      <c r="F1521" t="inlineStr">
        <is>
          <t>PRY-007</t>
        </is>
      </c>
      <c r="G1521" t="inlineStr">
        <is>
          <t>Portal Web</t>
        </is>
      </c>
      <c r="H1521" t="inlineStr">
        <is>
          <t>Ana Quintero</t>
        </is>
      </c>
      <c r="I1521" t="inlineStr">
        <is>
          <t>Perdido</t>
        </is>
      </c>
      <c r="J1521" s="28" t="n">
        <v>45759</v>
      </c>
      <c r="K1521" s="28" t="n">
        <v>45788</v>
      </c>
      <c r="L1521" t="inlineStr">
        <is>
          <t>Sin respuesta tras 3 contactos</t>
        </is>
      </c>
    </row>
    <row r="1522">
      <c r="A1522" t="inlineStr">
        <is>
          <t>CLI-1520</t>
        </is>
      </c>
      <c r="B1522" t="inlineStr">
        <is>
          <t>Julián Uribe Hernández</t>
        </is>
      </c>
      <c r="C1522" t="inlineStr">
        <is>
          <t>3042896349</t>
        </is>
      </c>
      <c r="D1522" t="inlineStr">
        <is>
          <t>julian.uribe55@yahoo.com</t>
        </is>
      </c>
      <c r="E1522" t="inlineStr">
        <is>
          <t>Rionegro</t>
        </is>
      </c>
      <c r="F1522" t="inlineStr">
        <is>
          <t>PRY-002</t>
        </is>
      </c>
      <c r="G1522" t="inlineStr">
        <is>
          <t>Facebook</t>
        </is>
      </c>
      <c r="H1522" t="inlineStr">
        <is>
          <t>Sofía Prada</t>
        </is>
      </c>
      <c r="I1522" t="inlineStr">
        <is>
          <t>Perdido</t>
        </is>
      </c>
      <c r="J1522" s="28" t="n">
        <v>45759</v>
      </c>
      <c r="K1522" s="28" t="n">
        <v>45780</v>
      </c>
      <c r="L1522" t="inlineStr">
        <is>
          <t>Presupuesto insuficiente</t>
        </is>
      </c>
    </row>
    <row r="1523">
      <c r="A1523" t="inlineStr">
        <is>
          <t>CLI-1521</t>
        </is>
      </c>
      <c r="B1523" t="inlineStr">
        <is>
          <t>Sara Agudelo Arango</t>
        </is>
      </c>
      <c r="C1523" t="inlineStr">
        <is>
          <t>3143079419</t>
        </is>
      </c>
      <c r="D1523" t="inlineStr">
        <is>
          <t>sara.agudelo19@yahoo.com</t>
        </is>
      </c>
      <c r="E1523" t="inlineStr">
        <is>
          <t>Itagüí</t>
        </is>
      </c>
      <c r="F1523" t="inlineStr">
        <is>
          <t>PRY-008</t>
        </is>
      </c>
      <c r="G1523" t="inlineStr">
        <is>
          <t>Portal Web</t>
        </is>
      </c>
      <c r="H1523" t="inlineStr">
        <is>
          <t>Juliana Vélez</t>
        </is>
      </c>
      <c r="I1523" t="inlineStr">
        <is>
          <t>Perdido</t>
        </is>
      </c>
      <c r="J1523" s="28" t="n">
        <v>45760</v>
      </c>
      <c r="K1523" s="28" t="n">
        <v>45788</v>
      </c>
      <c r="L1523" t="inlineStr">
        <is>
          <t>Sin respuesta tras 3 contactos</t>
        </is>
      </c>
    </row>
    <row r="1524">
      <c r="A1524" t="inlineStr">
        <is>
          <t>CLI-1522</t>
        </is>
      </c>
      <c r="B1524" t="inlineStr">
        <is>
          <t>Manuela Zapata Cifuentes</t>
        </is>
      </c>
      <c r="C1524" t="inlineStr">
        <is>
          <t>3157041809</t>
        </is>
      </c>
      <c r="D1524" t="inlineStr">
        <is>
          <t>manuela.zapata71@gmail.com</t>
        </is>
      </c>
      <c r="E1524" t="inlineStr">
        <is>
          <t>Medellín</t>
        </is>
      </c>
      <c r="F1524" t="inlineStr">
        <is>
          <t>PRY-001</t>
        </is>
      </c>
      <c r="G1524" t="inlineStr">
        <is>
          <t>Portal Web</t>
        </is>
      </c>
      <c r="H1524" t="inlineStr">
        <is>
          <t>Juliana Vélez</t>
        </is>
      </c>
      <c r="I1524" t="inlineStr">
        <is>
          <t>Perdido</t>
        </is>
      </c>
      <c r="J1524" s="28" t="n">
        <v>45761</v>
      </c>
      <c r="K1524" s="28" t="n">
        <v>45779</v>
      </c>
      <c r="L1524" t="inlineStr">
        <is>
          <t>Presupuesto insuficiente</t>
        </is>
      </c>
    </row>
    <row r="1525">
      <c r="A1525" t="inlineStr">
        <is>
          <t>CLI-1523</t>
        </is>
      </c>
      <c r="B1525" t="inlineStr">
        <is>
          <t>Camila Espinosa Vargas</t>
        </is>
      </c>
      <c r="C1525" t="inlineStr">
        <is>
          <t>3224521757</t>
        </is>
      </c>
      <c r="D1525" t="inlineStr">
        <is>
          <t>camila.espinosa78@hotmail.com</t>
        </is>
      </c>
      <c r="E1525" t="inlineStr">
        <is>
          <t>Medellín</t>
        </is>
      </c>
      <c r="F1525" t="inlineStr">
        <is>
          <t>PRY-003</t>
        </is>
      </c>
      <c r="G1525" t="inlineStr">
        <is>
          <t>Referido</t>
        </is>
      </c>
      <c r="H1525" t="inlineStr">
        <is>
          <t>Sofía Prada</t>
        </is>
      </c>
      <c r="I1525" t="inlineStr">
        <is>
          <t>Ganado</t>
        </is>
      </c>
      <c r="J1525" s="28" t="n">
        <v>45762</v>
      </c>
      <c r="K1525" s="28" t="n">
        <v>45861</v>
      </c>
      <c r="L1525" t="inlineStr">
        <is>
          <t>Compró Apto 1508 en Conecta Laureles</t>
        </is>
      </c>
    </row>
    <row r="1526">
      <c r="A1526" t="inlineStr">
        <is>
          <t>CLI-1524</t>
        </is>
      </c>
      <c r="B1526" t="inlineStr">
        <is>
          <t>Paola Toro Higuita</t>
        </is>
      </c>
      <c r="C1526" t="inlineStr">
        <is>
          <t>3154493530</t>
        </is>
      </c>
      <c r="D1526" t="inlineStr">
        <is>
          <t>paola.toro1@gmail.com</t>
        </is>
      </c>
      <c r="E1526" t="inlineStr">
        <is>
          <t>Rionegro</t>
        </is>
      </c>
      <c r="F1526" t="inlineStr">
        <is>
          <t>PRY-007</t>
        </is>
      </c>
      <c r="G1526" t="inlineStr">
        <is>
          <t>Portal Web</t>
        </is>
      </c>
      <c r="H1526" t="inlineStr">
        <is>
          <t>Miguel Salazar</t>
        </is>
      </c>
      <c r="I1526" t="inlineStr">
        <is>
          <t>Perdido</t>
        </is>
      </c>
      <c r="J1526" s="28" t="n">
        <v>45762</v>
      </c>
      <c r="K1526" s="28" t="n">
        <v>45769</v>
      </c>
      <c r="L1526" t="inlineStr">
        <is>
          <t>Sin respuesta tras 3 contactos</t>
        </is>
      </c>
    </row>
    <row r="1527">
      <c r="A1527" t="inlineStr">
        <is>
          <t>CLI-1525</t>
        </is>
      </c>
      <c r="B1527" t="inlineStr">
        <is>
          <t>Alejandro Zapata Álvarez</t>
        </is>
      </c>
      <c r="C1527" t="inlineStr">
        <is>
          <t>3041820202</t>
        </is>
      </c>
      <c r="D1527" t="inlineStr">
        <is>
          <t>alejandro.zapata65@hotmail.com</t>
        </is>
      </c>
      <c r="E1527" t="inlineStr">
        <is>
          <t>Bello</t>
        </is>
      </c>
      <c r="F1527" t="inlineStr">
        <is>
          <t>PRY-003</t>
        </is>
      </c>
      <c r="G1527" t="inlineStr">
        <is>
          <t>Referido</t>
        </is>
      </c>
      <c r="H1527" t="inlineStr">
        <is>
          <t>Ana Quintero</t>
        </is>
      </c>
      <c r="I1527" t="inlineStr">
        <is>
          <t>Perdido</t>
        </is>
      </c>
      <c r="J1527" s="28" t="n">
        <v>45762</v>
      </c>
      <c r="K1527" s="28" t="n">
        <v>45773</v>
      </c>
      <c r="L1527" t="inlineStr">
        <is>
          <t>Sin respuesta tras 3 contactos</t>
        </is>
      </c>
    </row>
    <row r="1528">
      <c r="A1528" t="inlineStr">
        <is>
          <t>CLI-1526</t>
        </is>
      </c>
      <c r="B1528" t="inlineStr">
        <is>
          <t>Emilio Escobar Cano</t>
        </is>
      </c>
      <c r="C1528" t="inlineStr">
        <is>
          <t>3012356568</t>
        </is>
      </c>
      <c r="D1528" t="inlineStr">
        <is>
          <t>emilio.escobar67@gmail.com</t>
        </is>
      </c>
      <c r="E1528" t="inlineStr">
        <is>
          <t>Rionegro</t>
        </is>
      </c>
      <c r="F1528" t="inlineStr">
        <is>
          <t>PRY-005</t>
        </is>
      </c>
      <c r="G1528" t="inlineStr">
        <is>
          <t>Feria Inmobiliaria</t>
        </is>
      </c>
      <c r="H1528" t="inlineStr">
        <is>
          <t>Andrés Torres</t>
        </is>
      </c>
      <c r="I1528" t="inlineStr">
        <is>
          <t>Perdido</t>
        </is>
      </c>
      <c r="J1528" s="28" t="n">
        <v>45762</v>
      </c>
      <c r="K1528" s="28" t="n">
        <v>45773</v>
      </c>
      <c r="L1528" t="inlineStr">
        <is>
          <t>No calificó para crédito</t>
        </is>
      </c>
    </row>
    <row r="1529">
      <c r="A1529" t="inlineStr">
        <is>
          <t>CLI-1527</t>
        </is>
      </c>
      <c r="B1529" t="inlineStr">
        <is>
          <t>Luisa Salazar Bedoya</t>
        </is>
      </c>
      <c r="C1529" t="inlineStr">
        <is>
          <t>3224066279</t>
        </is>
      </c>
      <c r="D1529" t="inlineStr">
        <is>
          <t>luisa.salazar80@yahoo.com</t>
        </is>
      </c>
      <c r="E1529" t="inlineStr">
        <is>
          <t>Rionegro</t>
        </is>
      </c>
      <c r="F1529" t="inlineStr">
        <is>
          <t>PRY-003</t>
        </is>
      </c>
      <c r="G1529" t="inlineStr">
        <is>
          <t>Portal Web</t>
        </is>
      </c>
      <c r="H1529" t="inlineStr">
        <is>
          <t>Ana Quintero</t>
        </is>
      </c>
      <c r="I1529" t="inlineStr">
        <is>
          <t>Perdido</t>
        </is>
      </c>
      <c r="J1529" s="28" t="n">
        <v>45763</v>
      </c>
      <c r="K1529" s="28" t="n">
        <v>45776</v>
      </c>
      <c r="L1529" t="inlineStr">
        <is>
          <t>No calificó para crédito</t>
        </is>
      </c>
    </row>
    <row r="1530">
      <c r="A1530" t="inlineStr">
        <is>
          <t>CLI-1528</t>
        </is>
      </c>
      <c r="B1530" t="inlineStr">
        <is>
          <t>Sara Valencia Ochoa</t>
        </is>
      </c>
      <c r="C1530" t="inlineStr">
        <is>
          <t>3234949584</t>
        </is>
      </c>
      <c r="D1530" t="inlineStr">
        <is>
          <t>sara.valencia96@yahoo.com</t>
        </is>
      </c>
      <c r="E1530" t="inlineStr">
        <is>
          <t>La Estrella</t>
        </is>
      </c>
      <c r="F1530" t="inlineStr">
        <is>
          <t>PRY-008</t>
        </is>
      </c>
      <c r="G1530" t="inlineStr">
        <is>
          <t>Referido</t>
        </is>
      </c>
      <c r="H1530" t="inlineStr">
        <is>
          <t>Miguel Salazar</t>
        </is>
      </c>
      <c r="I1530" t="inlineStr">
        <is>
          <t>Perdido</t>
        </is>
      </c>
      <c r="J1530" s="28" t="n">
        <v>45763</v>
      </c>
      <c r="K1530" s="28" t="n">
        <v>45778</v>
      </c>
      <c r="L1530" t="inlineStr">
        <is>
          <t>Sin respuesta tras 3 contactos</t>
        </is>
      </c>
    </row>
    <row r="1531">
      <c r="A1531" t="inlineStr">
        <is>
          <t>CLI-1529</t>
        </is>
      </c>
      <c r="B1531" t="inlineStr">
        <is>
          <t>Mónica Toro Echeverri</t>
        </is>
      </c>
      <c r="C1531" t="inlineStr">
        <is>
          <t>3132053168</t>
        </is>
      </c>
      <c r="D1531" t="inlineStr">
        <is>
          <t>monica.toro67@yahoo.com</t>
        </is>
      </c>
      <c r="E1531" t="inlineStr">
        <is>
          <t>Medellín</t>
        </is>
      </c>
      <c r="F1531" t="inlineStr">
        <is>
          <t>PRY-001</t>
        </is>
      </c>
      <c r="G1531" t="inlineStr">
        <is>
          <t>Portal Web</t>
        </is>
      </c>
      <c r="H1531" t="inlineStr">
        <is>
          <t>Sofía Prada</t>
        </is>
      </c>
      <c r="I1531" t="inlineStr">
        <is>
          <t>Ganado</t>
        </is>
      </c>
      <c r="J1531" s="28" t="n">
        <v>45764</v>
      </c>
      <c r="K1531" s="28" t="n">
        <v>45928</v>
      </c>
      <c r="L1531" t="inlineStr">
        <is>
          <t>Compró Apto 1003 en Torres del Poblado</t>
        </is>
      </c>
    </row>
    <row r="1532">
      <c r="A1532" t="inlineStr">
        <is>
          <t>CLI-1530</t>
        </is>
      </c>
      <c r="B1532" t="inlineStr">
        <is>
          <t>Diana Betancur Ríos</t>
        </is>
      </c>
      <c r="C1532" t="inlineStr">
        <is>
          <t>3147442631</t>
        </is>
      </c>
      <c r="D1532" t="inlineStr">
        <is>
          <t>diana.betancur32@gmail.com</t>
        </is>
      </c>
      <c r="E1532" t="inlineStr">
        <is>
          <t>Medellín</t>
        </is>
      </c>
      <c r="F1532" t="inlineStr">
        <is>
          <t>PRY-001</t>
        </is>
      </c>
      <c r="G1532" t="inlineStr">
        <is>
          <t>Instagram</t>
        </is>
      </c>
      <c r="H1532" t="inlineStr">
        <is>
          <t>Luis Bedoya</t>
        </is>
      </c>
      <c r="I1532" t="inlineStr">
        <is>
          <t>Perdido</t>
        </is>
      </c>
      <c r="J1532" s="28" t="n">
        <v>45764</v>
      </c>
      <c r="K1532" s="28" t="n">
        <v>45786</v>
      </c>
      <c r="L1532" t="inlineStr">
        <is>
          <t>Presupuesto insuficiente</t>
        </is>
      </c>
    </row>
    <row r="1533">
      <c r="A1533" t="inlineStr">
        <is>
          <t>CLI-1531</t>
        </is>
      </c>
      <c r="B1533" t="inlineStr">
        <is>
          <t>Juan Pablo Álvarez Cano</t>
        </is>
      </c>
      <c r="C1533" t="inlineStr">
        <is>
          <t>3139036311</t>
        </is>
      </c>
      <c r="D1533" t="inlineStr">
        <is>
          <t>juan.alvarez36@yahoo.com</t>
        </is>
      </c>
      <c r="E1533" t="inlineStr">
        <is>
          <t>Itagüí</t>
        </is>
      </c>
      <c r="F1533" t="inlineStr">
        <is>
          <t>PRY-005</t>
        </is>
      </c>
      <c r="G1533" t="inlineStr">
        <is>
          <t>Portal Web</t>
        </is>
      </c>
      <c r="H1533" t="inlineStr">
        <is>
          <t>Santiago Muñoz</t>
        </is>
      </c>
      <c r="I1533" t="inlineStr">
        <is>
          <t>Perdido</t>
        </is>
      </c>
      <c r="J1533" s="28" t="n">
        <v>45764</v>
      </c>
      <c r="K1533" s="28" t="n">
        <v>45792</v>
      </c>
      <c r="L1533" t="inlineStr">
        <is>
          <t>Buscaba arriendo, no compra</t>
        </is>
      </c>
    </row>
    <row r="1534">
      <c r="A1534" t="inlineStr">
        <is>
          <t>CLI-1532</t>
        </is>
      </c>
      <c r="B1534" t="inlineStr">
        <is>
          <t>Paula Ramírez Palacio</t>
        </is>
      </c>
      <c r="C1534" t="inlineStr">
        <is>
          <t>3208364974</t>
        </is>
      </c>
      <c r="D1534" t="inlineStr">
        <is>
          <t>paula.ramirez92@outlook.com</t>
        </is>
      </c>
      <c r="E1534" t="inlineStr">
        <is>
          <t>Envigado</t>
        </is>
      </c>
      <c r="F1534" t="inlineStr">
        <is>
          <t>PRY-007</t>
        </is>
      </c>
      <c r="G1534" t="inlineStr">
        <is>
          <t>Llamada directa</t>
        </is>
      </c>
      <c r="H1534" t="inlineStr">
        <is>
          <t>Santiago Muñoz</t>
        </is>
      </c>
      <c r="I1534" t="inlineStr">
        <is>
          <t>Ganado</t>
        </is>
      </c>
      <c r="J1534" s="28" t="n">
        <v>45765</v>
      </c>
      <c r="K1534" s="28" t="n">
        <v>45885</v>
      </c>
      <c r="L1534" t="inlineStr">
        <is>
          <t>Compró Apto 1104 en Mirador de Envigado</t>
        </is>
      </c>
    </row>
    <row r="1535">
      <c r="A1535" t="inlineStr">
        <is>
          <t>CLI-1533</t>
        </is>
      </c>
      <c r="B1535" t="inlineStr">
        <is>
          <t>Alejandra Álvarez Peláez</t>
        </is>
      </c>
      <c r="C1535" t="inlineStr">
        <is>
          <t>3011544017</t>
        </is>
      </c>
      <c r="D1535" t="inlineStr">
        <is>
          <t>alejandra.alvarez40@yahoo.com</t>
        </is>
      </c>
      <c r="E1535" t="inlineStr">
        <is>
          <t>Sabaneta</t>
        </is>
      </c>
      <c r="F1535" t="inlineStr">
        <is>
          <t>PRY-001</t>
        </is>
      </c>
      <c r="G1535" t="inlineStr">
        <is>
          <t>Facebook</t>
        </is>
      </c>
      <c r="H1535" t="inlineStr">
        <is>
          <t>Ana Quintero</t>
        </is>
      </c>
      <c r="I1535" t="inlineStr">
        <is>
          <t>Ganado</t>
        </is>
      </c>
      <c r="J1535" s="28" t="n">
        <v>45765</v>
      </c>
      <c r="K1535" s="28" t="n">
        <v>45860</v>
      </c>
      <c r="L1535" t="inlineStr">
        <is>
          <t>Compró Apto 1101 en Torres del Poblado</t>
        </is>
      </c>
    </row>
    <row r="1536">
      <c r="A1536" t="inlineStr">
        <is>
          <t>CLI-1534</t>
        </is>
      </c>
      <c r="B1536" t="inlineStr">
        <is>
          <t>Wilson Vélez Valencia</t>
        </is>
      </c>
      <c r="C1536" t="inlineStr">
        <is>
          <t>3234771327</t>
        </is>
      </c>
      <c r="D1536" t="inlineStr">
        <is>
          <t>wilson.velez40@outlook.com</t>
        </is>
      </c>
      <c r="E1536" t="inlineStr">
        <is>
          <t>Medellín</t>
        </is>
      </c>
      <c r="F1536" t="inlineStr">
        <is>
          <t>PRY-001</t>
        </is>
      </c>
      <c r="G1536" t="inlineStr">
        <is>
          <t>Referido</t>
        </is>
      </c>
      <c r="H1536" t="inlineStr">
        <is>
          <t>Andrés Torres</t>
        </is>
      </c>
      <c r="I1536" t="inlineStr">
        <is>
          <t>Ganado</t>
        </is>
      </c>
      <c r="J1536" s="28" t="n">
        <v>45765</v>
      </c>
      <c r="K1536" s="28" t="n">
        <v>45922</v>
      </c>
      <c r="L1536" t="inlineStr">
        <is>
          <t>Compró Apto 2101 en Torres del Poblado</t>
        </is>
      </c>
    </row>
    <row r="1537">
      <c r="A1537" t="inlineStr">
        <is>
          <t>CLI-1535</t>
        </is>
      </c>
      <c r="B1537" t="inlineStr">
        <is>
          <t>Verónica López Toro</t>
        </is>
      </c>
      <c r="C1537" t="inlineStr">
        <is>
          <t>3202121859</t>
        </is>
      </c>
      <c r="D1537" t="inlineStr">
        <is>
          <t>veronica.lopez58@gmail.com</t>
        </is>
      </c>
      <c r="E1537" t="inlineStr">
        <is>
          <t>Medellín</t>
        </is>
      </c>
      <c r="F1537" t="inlineStr">
        <is>
          <t>PRY-003</t>
        </is>
      </c>
      <c r="G1537" t="inlineStr">
        <is>
          <t>Instagram</t>
        </is>
      </c>
      <c r="H1537" t="inlineStr">
        <is>
          <t>Sofía Prada</t>
        </is>
      </c>
      <c r="I1537" t="inlineStr">
        <is>
          <t>Perdido</t>
        </is>
      </c>
      <c r="J1537" s="28" t="n">
        <v>45765</v>
      </c>
      <c r="K1537" s="28" t="n">
        <v>45793</v>
      </c>
      <c r="L1537" t="inlineStr">
        <is>
          <t>Presupuesto insuficiente</t>
        </is>
      </c>
    </row>
    <row r="1538">
      <c r="A1538" t="inlineStr">
        <is>
          <t>CLI-1536</t>
        </is>
      </c>
      <c r="B1538" t="inlineStr">
        <is>
          <t>Sebastián Osorio Toro</t>
        </is>
      </c>
      <c r="C1538" t="inlineStr">
        <is>
          <t>3204512323</t>
        </is>
      </c>
      <c r="D1538" t="inlineStr">
        <is>
          <t>sebastian.osorio59@gmail.com</t>
        </is>
      </c>
      <c r="E1538" t="inlineStr">
        <is>
          <t>Bello</t>
        </is>
      </c>
      <c r="F1538" t="inlineStr">
        <is>
          <t>PRY-006</t>
        </is>
      </c>
      <c r="G1538" t="inlineStr">
        <is>
          <t>Referido</t>
        </is>
      </c>
      <c r="H1538" t="inlineStr">
        <is>
          <t>Paula Arenas</t>
        </is>
      </c>
      <c r="I1538" t="inlineStr">
        <is>
          <t>Ganado</t>
        </is>
      </c>
      <c r="J1538" s="28" t="n">
        <v>45766</v>
      </c>
      <c r="K1538" s="28" t="n">
        <v>45931</v>
      </c>
      <c r="L1538" t="inlineStr">
        <is>
          <t>Compró Local 4 en Plaza Bello</t>
        </is>
      </c>
    </row>
    <row r="1539">
      <c r="A1539" t="inlineStr">
        <is>
          <t>CLI-1537</t>
        </is>
      </c>
      <c r="B1539" t="inlineStr">
        <is>
          <t>David Betancur Quintero</t>
        </is>
      </c>
      <c r="C1539" t="inlineStr">
        <is>
          <t>3247771209</t>
        </is>
      </c>
      <c r="D1539" t="inlineStr">
        <is>
          <t>david.betancur30@outlook.com</t>
        </is>
      </c>
      <c r="E1539" t="inlineStr">
        <is>
          <t>Rionegro</t>
        </is>
      </c>
      <c r="F1539" t="inlineStr">
        <is>
          <t>PRY-003</t>
        </is>
      </c>
      <c r="G1539" t="inlineStr">
        <is>
          <t>Referido</t>
        </is>
      </c>
      <c r="H1539" t="inlineStr">
        <is>
          <t>Luis Bedoya</t>
        </is>
      </c>
      <c r="I1539" t="inlineStr">
        <is>
          <t>Perdido</t>
        </is>
      </c>
      <c r="J1539" s="28" t="n">
        <v>45766</v>
      </c>
      <c r="K1539" s="28" t="n">
        <v>45790</v>
      </c>
      <c r="L1539" t="inlineStr">
        <is>
          <t>No calificó para crédito</t>
        </is>
      </c>
    </row>
    <row r="1540">
      <c r="A1540" t="inlineStr">
        <is>
          <t>CLI-1538</t>
        </is>
      </c>
      <c r="B1540" t="inlineStr">
        <is>
          <t>Jhon Montes Franco</t>
        </is>
      </c>
      <c r="C1540" t="inlineStr">
        <is>
          <t>3007736269</t>
        </is>
      </c>
      <c r="D1540" t="inlineStr">
        <is>
          <t>jhon.montes6@hotmail.com</t>
        </is>
      </c>
      <c r="E1540" t="inlineStr">
        <is>
          <t>Envigado</t>
        </is>
      </c>
      <c r="F1540" t="inlineStr">
        <is>
          <t>PRY-007</t>
        </is>
      </c>
      <c r="G1540" t="inlineStr">
        <is>
          <t>Facebook</t>
        </is>
      </c>
      <c r="H1540" t="inlineStr">
        <is>
          <t>Santiago Muñoz</t>
        </is>
      </c>
      <c r="I1540" t="inlineStr">
        <is>
          <t>Perdido</t>
        </is>
      </c>
      <c r="J1540" s="28" t="n">
        <v>45766</v>
      </c>
      <c r="K1540" s="28" t="n">
        <v>45786</v>
      </c>
      <c r="L1540" t="inlineStr">
        <is>
          <t>Datos de contacto errados</t>
        </is>
      </c>
    </row>
    <row r="1541">
      <c r="A1541" t="inlineStr">
        <is>
          <t>CLI-1539</t>
        </is>
      </c>
      <c r="B1541" t="inlineStr">
        <is>
          <t>Simón Cardona López</t>
        </is>
      </c>
      <c r="C1541" t="inlineStr">
        <is>
          <t>3105983826</t>
        </is>
      </c>
      <c r="D1541" t="inlineStr">
        <is>
          <t>simon.cardona54@yahoo.com</t>
        </is>
      </c>
      <c r="E1541" t="inlineStr">
        <is>
          <t>Envigado</t>
        </is>
      </c>
      <c r="F1541" t="inlineStr">
        <is>
          <t>PRY-007</t>
        </is>
      </c>
      <c r="G1541" t="inlineStr">
        <is>
          <t>Instagram</t>
        </is>
      </c>
      <c r="H1541" t="inlineStr">
        <is>
          <t>Sofía Prada</t>
        </is>
      </c>
      <c r="I1541" t="inlineStr">
        <is>
          <t>Perdido</t>
        </is>
      </c>
      <c r="J1541" s="28" t="n">
        <v>45768</v>
      </c>
      <c r="K1541" s="28" t="n">
        <v>45792</v>
      </c>
      <c r="L1541" t="inlineStr">
        <is>
          <t>No calificó para crédito</t>
        </is>
      </c>
    </row>
    <row r="1542">
      <c r="A1542" t="inlineStr">
        <is>
          <t>CLI-1540</t>
        </is>
      </c>
      <c r="B1542" t="inlineStr">
        <is>
          <t>Sebastián Henao Zuluaga</t>
        </is>
      </c>
      <c r="C1542" t="inlineStr">
        <is>
          <t>3044340354</t>
        </is>
      </c>
      <c r="D1542" t="inlineStr">
        <is>
          <t>sebastian.henao23@hotmail.com</t>
        </is>
      </c>
      <c r="E1542" t="inlineStr">
        <is>
          <t>Rionegro</t>
        </is>
      </c>
      <c r="F1542" t="inlineStr">
        <is>
          <t>PRY-005</t>
        </is>
      </c>
      <c r="G1542" t="inlineStr">
        <is>
          <t>Portal Web</t>
        </is>
      </c>
      <c r="H1542" t="inlineStr">
        <is>
          <t>Ana Quintero</t>
        </is>
      </c>
      <c r="I1542" t="inlineStr">
        <is>
          <t>Perdido</t>
        </is>
      </c>
      <c r="J1542" s="28" t="n">
        <v>45768</v>
      </c>
      <c r="K1542" s="28" t="n">
        <v>45781</v>
      </c>
      <c r="L1542" t="inlineStr">
        <is>
          <t>Sin respuesta tras 3 contactos</t>
        </is>
      </c>
    </row>
    <row r="1543">
      <c r="A1543" t="inlineStr">
        <is>
          <t>CLI-1541</t>
        </is>
      </c>
      <c r="B1543" t="inlineStr">
        <is>
          <t>Cristian Mejía Uribe</t>
        </is>
      </c>
      <c r="C1543" t="inlineStr">
        <is>
          <t>3249849907</t>
        </is>
      </c>
      <c r="D1543" t="inlineStr">
        <is>
          <t>cristian.mejia91@gmail.com</t>
        </is>
      </c>
      <c r="E1543" t="inlineStr">
        <is>
          <t>Sabaneta</t>
        </is>
      </c>
      <c r="F1543" t="inlineStr">
        <is>
          <t>PRY-001</t>
        </is>
      </c>
      <c r="G1543" t="inlineStr">
        <is>
          <t>Facebook</t>
        </is>
      </c>
      <c r="H1543" t="inlineStr">
        <is>
          <t>Sofía Prada</t>
        </is>
      </c>
      <c r="I1543" t="inlineStr">
        <is>
          <t>Perdido</t>
        </is>
      </c>
      <c r="J1543" s="28" t="n">
        <v>45768</v>
      </c>
      <c r="K1543" s="28" t="n">
        <v>45791</v>
      </c>
      <c r="L1543" t="inlineStr">
        <is>
          <t>No calificó para crédito</t>
        </is>
      </c>
    </row>
    <row r="1544">
      <c r="A1544" t="inlineStr">
        <is>
          <t>CLI-1542</t>
        </is>
      </c>
      <c r="B1544" t="inlineStr">
        <is>
          <t>Simón Agudelo Arango</t>
        </is>
      </c>
      <c r="C1544" t="inlineStr">
        <is>
          <t>3141502449</t>
        </is>
      </c>
      <c r="D1544" t="inlineStr">
        <is>
          <t>simon.agudelo65@yahoo.com</t>
        </is>
      </c>
      <c r="E1544" t="inlineStr">
        <is>
          <t>Rionegro</t>
        </is>
      </c>
      <c r="F1544" t="inlineStr">
        <is>
          <t>PRY-005</t>
        </is>
      </c>
      <c r="G1544" t="inlineStr">
        <is>
          <t>Portal Web</t>
        </is>
      </c>
      <c r="H1544" t="inlineStr">
        <is>
          <t>Miguel Salazar</t>
        </is>
      </c>
      <c r="I1544" t="inlineStr">
        <is>
          <t>Perdido</t>
        </is>
      </c>
      <c r="J1544" s="28" t="n">
        <v>45768</v>
      </c>
      <c r="K1544" s="28" t="n">
        <v>45786</v>
      </c>
      <c r="L1544" t="inlineStr">
        <is>
          <t>Presupuesto insuficiente</t>
        </is>
      </c>
    </row>
    <row r="1545">
      <c r="A1545" t="inlineStr">
        <is>
          <t>CLI-1543</t>
        </is>
      </c>
      <c r="B1545" t="inlineStr">
        <is>
          <t>Emilio Giraldo Quintero</t>
        </is>
      </c>
      <c r="C1545" t="inlineStr">
        <is>
          <t>3205846111</t>
        </is>
      </c>
      <c r="D1545" t="inlineStr">
        <is>
          <t>emilio.giraldo29@gmail.com</t>
        </is>
      </c>
      <c r="E1545" t="inlineStr">
        <is>
          <t>Medellín</t>
        </is>
      </c>
      <c r="F1545" t="inlineStr">
        <is>
          <t>PRY-003</t>
        </is>
      </c>
      <c r="G1545" t="inlineStr">
        <is>
          <t>Portal Web</t>
        </is>
      </c>
      <c r="H1545" t="inlineStr">
        <is>
          <t>Luis Bedoya</t>
        </is>
      </c>
      <c r="I1545" t="inlineStr">
        <is>
          <t>Perdido</t>
        </is>
      </c>
      <c r="J1545" s="28" t="n">
        <v>45769</v>
      </c>
      <c r="K1545" s="28" t="n">
        <v>45836</v>
      </c>
      <c r="L1545" t="inlineStr">
        <is>
          <t>Cambió de ciudad</t>
        </is>
      </c>
    </row>
    <row r="1546">
      <c r="A1546" t="inlineStr">
        <is>
          <t>CLI-1544</t>
        </is>
      </c>
      <c r="B1546" t="inlineStr">
        <is>
          <t>Hernán Peláez Ramírez</t>
        </is>
      </c>
      <c r="C1546" t="inlineStr">
        <is>
          <t>3158836953</t>
        </is>
      </c>
      <c r="D1546" t="inlineStr">
        <is>
          <t>hernan.pelaez68@gmail.com</t>
        </is>
      </c>
      <c r="E1546" t="inlineStr">
        <is>
          <t>Bello</t>
        </is>
      </c>
      <c r="F1546" t="inlineStr">
        <is>
          <t>PRY-007</t>
        </is>
      </c>
      <c r="G1546" t="inlineStr">
        <is>
          <t>Instagram</t>
        </is>
      </c>
      <c r="H1546" t="inlineStr">
        <is>
          <t>Juliana Vélez</t>
        </is>
      </c>
      <c r="I1546" t="inlineStr">
        <is>
          <t>Perdido</t>
        </is>
      </c>
      <c r="J1546" s="28" t="n">
        <v>45770</v>
      </c>
      <c r="K1546" s="28" t="n">
        <v>45819</v>
      </c>
      <c r="L1546" t="inlineStr">
        <is>
          <t>Eligió otro proyecto</t>
        </is>
      </c>
    </row>
    <row r="1547">
      <c r="A1547" t="inlineStr">
        <is>
          <t>CLI-1545</t>
        </is>
      </c>
      <c r="B1547" t="inlineStr">
        <is>
          <t>Luisa Rojas Ríos</t>
        </is>
      </c>
      <c r="C1547" t="inlineStr">
        <is>
          <t>3236848300</t>
        </is>
      </c>
      <c r="D1547" t="inlineStr">
        <is>
          <t>luisa.rojas4@gmail.com</t>
        </is>
      </c>
      <c r="E1547" t="inlineStr">
        <is>
          <t>Rionegro</t>
        </is>
      </c>
      <c r="F1547" t="inlineStr">
        <is>
          <t>PRY-005</t>
        </is>
      </c>
      <c r="G1547" t="inlineStr">
        <is>
          <t>Instagram</t>
        </is>
      </c>
      <c r="H1547" t="inlineStr">
        <is>
          <t>Paula Arenas</t>
        </is>
      </c>
      <c r="I1547" t="inlineStr">
        <is>
          <t>Perdido</t>
        </is>
      </c>
      <c r="J1547" s="28" t="n">
        <v>45770</v>
      </c>
      <c r="K1547" s="28" t="n">
        <v>45797</v>
      </c>
      <c r="L1547" t="inlineStr">
        <is>
          <t>Datos de contacto errados</t>
        </is>
      </c>
    </row>
    <row r="1548">
      <c r="A1548" t="inlineStr">
        <is>
          <t>CLI-1546</t>
        </is>
      </c>
      <c r="B1548" t="inlineStr">
        <is>
          <t>Manuela Gómez Bedoya</t>
        </is>
      </c>
      <c r="C1548" t="inlineStr">
        <is>
          <t>3106474179</t>
        </is>
      </c>
      <c r="D1548" t="inlineStr">
        <is>
          <t>manuela.gomez69@yahoo.com</t>
        </is>
      </c>
      <c r="E1548" t="inlineStr">
        <is>
          <t>Rionegro</t>
        </is>
      </c>
      <c r="F1548" t="inlineStr">
        <is>
          <t>PRY-005</t>
        </is>
      </c>
      <c r="G1548" t="inlineStr">
        <is>
          <t>Facebook</t>
        </is>
      </c>
      <c r="H1548" t="inlineStr">
        <is>
          <t>Paula Arenas</t>
        </is>
      </c>
      <c r="I1548" t="inlineStr">
        <is>
          <t>Perdido</t>
        </is>
      </c>
      <c r="J1548" s="28" t="n">
        <v>45770</v>
      </c>
      <c r="K1548" s="28" t="n">
        <v>45795</v>
      </c>
      <c r="L1548" t="inlineStr">
        <is>
          <t>Presupuesto insuficiente</t>
        </is>
      </c>
    </row>
    <row r="1549">
      <c r="A1549" t="inlineStr">
        <is>
          <t>CLI-1547</t>
        </is>
      </c>
      <c r="B1549" t="inlineStr">
        <is>
          <t>Valentina Montes Restrepo</t>
        </is>
      </c>
      <c r="C1549" t="inlineStr">
        <is>
          <t>3176411209</t>
        </is>
      </c>
      <c r="D1549" t="inlineStr">
        <is>
          <t>valentina.montes92@yahoo.com</t>
        </is>
      </c>
      <c r="E1549" t="inlineStr">
        <is>
          <t>Bello</t>
        </is>
      </c>
      <c r="F1549" t="inlineStr">
        <is>
          <t>PRY-006</t>
        </is>
      </c>
      <c r="G1549" t="inlineStr">
        <is>
          <t>Portal Web</t>
        </is>
      </c>
      <c r="H1549" t="inlineStr">
        <is>
          <t>Miguel Salazar</t>
        </is>
      </c>
      <c r="I1549" t="inlineStr">
        <is>
          <t>Ganado</t>
        </is>
      </c>
      <c r="J1549" s="28" t="n">
        <v>45771</v>
      </c>
      <c r="K1549" s="28" t="n">
        <v>45875</v>
      </c>
      <c r="L1549" t="inlineStr">
        <is>
          <t>Compró Local 36 en Plaza Bello</t>
        </is>
      </c>
    </row>
    <row r="1550">
      <c r="A1550" t="inlineStr">
        <is>
          <t>CLI-1548</t>
        </is>
      </c>
      <c r="B1550" t="inlineStr">
        <is>
          <t>Diana Restrepo Ríos</t>
        </is>
      </c>
      <c r="C1550" t="inlineStr">
        <is>
          <t>3173654320</t>
        </is>
      </c>
      <c r="D1550" t="inlineStr">
        <is>
          <t>diana.restrepo65@outlook.com</t>
        </is>
      </c>
      <c r="E1550" t="inlineStr">
        <is>
          <t>Rionegro</t>
        </is>
      </c>
      <c r="F1550" t="inlineStr">
        <is>
          <t>PRY-002</t>
        </is>
      </c>
      <c r="G1550" t="inlineStr">
        <is>
          <t>Facebook</t>
        </is>
      </c>
      <c r="H1550" t="inlineStr">
        <is>
          <t>Andrés Torres</t>
        </is>
      </c>
      <c r="I1550" t="inlineStr">
        <is>
          <t>Perdido</t>
        </is>
      </c>
      <c r="J1550" s="28" t="n">
        <v>45771</v>
      </c>
      <c r="K1550" s="28" t="n">
        <v>45782</v>
      </c>
      <c r="L1550" t="inlineStr">
        <is>
          <t>Presupuesto insuficiente</t>
        </is>
      </c>
    </row>
    <row r="1551">
      <c r="A1551" t="inlineStr">
        <is>
          <t>CLI-1549</t>
        </is>
      </c>
      <c r="B1551" t="inlineStr">
        <is>
          <t>Carolina Sánchez Cifuentes</t>
        </is>
      </c>
      <c r="C1551" t="inlineStr">
        <is>
          <t>3153018654</t>
        </is>
      </c>
      <c r="D1551" t="inlineStr">
        <is>
          <t>carolina.sanchez80@gmail.com</t>
        </is>
      </c>
      <c r="E1551" t="inlineStr">
        <is>
          <t>Medellín</t>
        </is>
      </c>
      <c r="F1551" t="inlineStr">
        <is>
          <t>PRY-004</t>
        </is>
      </c>
      <c r="G1551" t="inlineStr">
        <is>
          <t>Llamada directa</t>
        </is>
      </c>
      <c r="H1551" t="inlineStr">
        <is>
          <t>Luis Bedoya</t>
        </is>
      </c>
      <c r="I1551" t="inlineStr">
        <is>
          <t>Perdido</t>
        </is>
      </c>
      <c r="J1551" s="28" t="n">
        <v>45772</v>
      </c>
      <c r="K1551" s="28" t="n">
        <v>45796</v>
      </c>
      <c r="L1551" t="inlineStr">
        <is>
          <t>Buscaba arriendo, no compra</t>
        </is>
      </c>
    </row>
    <row r="1552">
      <c r="A1552" t="inlineStr">
        <is>
          <t>CLI-1550</t>
        </is>
      </c>
      <c r="B1552" t="inlineStr">
        <is>
          <t>Valentina Agudelo Álvarez</t>
        </is>
      </c>
      <c r="C1552" t="inlineStr">
        <is>
          <t>3006662301</t>
        </is>
      </c>
      <c r="D1552" t="inlineStr">
        <is>
          <t>valentina.agudelo91@gmail.com</t>
        </is>
      </c>
      <c r="E1552" t="inlineStr">
        <is>
          <t>Itagüí</t>
        </is>
      </c>
      <c r="F1552" t="inlineStr">
        <is>
          <t>PRY-005</t>
        </is>
      </c>
      <c r="G1552" t="inlineStr">
        <is>
          <t>Portal Web</t>
        </is>
      </c>
      <c r="H1552" t="inlineStr">
        <is>
          <t>Luis Bedoya</t>
        </is>
      </c>
      <c r="I1552" t="inlineStr">
        <is>
          <t>Perdido</t>
        </is>
      </c>
      <c r="J1552" s="28" t="n">
        <v>45772</v>
      </c>
      <c r="K1552" s="28" t="n">
        <v>45797</v>
      </c>
      <c r="L1552" t="inlineStr">
        <is>
          <t>Buscaba arriendo, no compra</t>
        </is>
      </c>
    </row>
    <row r="1553">
      <c r="A1553" t="inlineStr">
        <is>
          <t>CLI-1551</t>
        </is>
      </c>
      <c r="B1553" t="inlineStr">
        <is>
          <t>Camila Montoya Marín</t>
        </is>
      </c>
      <c r="C1553" t="inlineStr">
        <is>
          <t>3176576710</t>
        </is>
      </c>
      <c r="D1553" t="inlineStr">
        <is>
          <t>camila.montoya35@yahoo.com</t>
        </is>
      </c>
      <c r="E1553" t="inlineStr">
        <is>
          <t>Bello</t>
        </is>
      </c>
      <c r="F1553" t="inlineStr">
        <is>
          <t>PRY-004</t>
        </is>
      </c>
      <c r="G1553" t="inlineStr">
        <is>
          <t>Portal Web</t>
        </is>
      </c>
      <c r="H1553" t="inlineStr">
        <is>
          <t>Luis Bedoya</t>
        </is>
      </c>
      <c r="I1553" t="inlineStr">
        <is>
          <t>Perdido</t>
        </is>
      </c>
      <c r="J1553" s="28" t="n">
        <v>45773</v>
      </c>
      <c r="K1553" s="28" t="n">
        <v>45797</v>
      </c>
      <c r="L1553" t="inlineStr">
        <is>
          <t>Sin respuesta tras 3 contactos</t>
        </is>
      </c>
    </row>
    <row r="1554">
      <c r="A1554" t="inlineStr">
        <is>
          <t>CLI-1552</t>
        </is>
      </c>
      <c r="B1554" t="inlineStr">
        <is>
          <t>Luisa Osorio Cano</t>
        </is>
      </c>
      <c r="C1554" t="inlineStr">
        <is>
          <t>3137731089</t>
        </is>
      </c>
      <c r="D1554" t="inlineStr">
        <is>
          <t>luisa.osorio21@hotmail.com</t>
        </is>
      </c>
      <c r="E1554" t="inlineStr">
        <is>
          <t>Rionegro</t>
        </is>
      </c>
      <c r="F1554" t="inlineStr">
        <is>
          <t>PRY-005</t>
        </is>
      </c>
      <c r="G1554" t="inlineStr">
        <is>
          <t>Portal Web</t>
        </is>
      </c>
      <c r="H1554" t="inlineStr">
        <is>
          <t>Miguel Salazar</t>
        </is>
      </c>
      <c r="I1554" t="inlineStr">
        <is>
          <t>Perdido</t>
        </is>
      </c>
      <c r="J1554" s="28" t="n">
        <v>45774</v>
      </c>
      <c r="K1554" s="28" t="n">
        <v>45850</v>
      </c>
      <c r="L1554" t="inlineStr">
        <is>
          <t>Desistió de la compra</t>
        </is>
      </c>
    </row>
    <row r="1555">
      <c r="A1555" t="inlineStr">
        <is>
          <t>CLI-1553</t>
        </is>
      </c>
      <c r="B1555" t="inlineStr">
        <is>
          <t>Iván Giraldo Quintero</t>
        </is>
      </c>
      <c r="C1555" t="inlineStr">
        <is>
          <t>3232178077</t>
        </is>
      </c>
      <c r="D1555" t="inlineStr">
        <is>
          <t>ivan.giraldo43@hotmail.com</t>
        </is>
      </c>
      <c r="E1555" t="inlineStr">
        <is>
          <t>Envigado</t>
        </is>
      </c>
      <c r="F1555" t="inlineStr">
        <is>
          <t>PRY-007</t>
        </is>
      </c>
      <c r="G1555" t="inlineStr">
        <is>
          <t>Instagram</t>
        </is>
      </c>
      <c r="H1555" t="inlineStr">
        <is>
          <t>Ana Quintero</t>
        </is>
      </c>
      <c r="I1555" t="inlineStr">
        <is>
          <t>Perdido</t>
        </is>
      </c>
      <c r="J1555" s="28" t="n">
        <v>45774</v>
      </c>
      <c r="K1555" s="28" t="n">
        <v>45780</v>
      </c>
      <c r="L1555" t="inlineStr">
        <is>
          <t>Buscaba arriendo, no compra</t>
        </is>
      </c>
    </row>
    <row r="1556">
      <c r="A1556" t="inlineStr">
        <is>
          <t>CLI-1554</t>
        </is>
      </c>
      <c r="B1556" t="inlineStr">
        <is>
          <t>Sandra Ríos Valencia</t>
        </is>
      </c>
      <c r="C1556" t="inlineStr">
        <is>
          <t>3132766876</t>
        </is>
      </c>
      <c r="D1556" t="inlineStr">
        <is>
          <t>sandra.rios62@outlook.com</t>
        </is>
      </c>
      <c r="E1556" t="inlineStr">
        <is>
          <t>La Estrella</t>
        </is>
      </c>
      <c r="F1556" t="inlineStr">
        <is>
          <t>PRY-002</t>
        </is>
      </c>
      <c r="G1556" t="inlineStr">
        <is>
          <t>Portal Web</t>
        </is>
      </c>
      <c r="H1556" t="inlineStr">
        <is>
          <t>Sofía Prada</t>
        </is>
      </c>
      <c r="I1556" t="inlineStr">
        <is>
          <t>Perdido</t>
        </is>
      </c>
      <c r="J1556" s="28" t="n">
        <v>45774</v>
      </c>
      <c r="K1556" s="28" t="n">
        <v>45791</v>
      </c>
      <c r="L1556" t="inlineStr">
        <is>
          <t>Buscaba arriendo, no compra</t>
        </is>
      </c>
    </row>
    <row r="1557">
      <c r="A1557" t="inlineStr">
        <is>
          <t>CLI-1555</t>
        </is>
      </c>
      <c r="B1557" t="inlineStr">
        <is>
          <t>Marcela Pérez Echeverri</t>
        </is>
      </c>
      <c r="C1557" t="inlineStr">
        <is>
          <t>3043387028</t>
        </is>
      </c>
      <c r="D1557" t="inlineStr">
        <is>
          <t>marcela.perez89@gmail.com</t>
        </is>
      </c>
      <c r="E1557" t="inlineStr">
        <is>
          <t>Itagüí</t>
        </is>
      </c>
      <c r="F1557" t="inlineStr">
        <is>
          <t>PRY-008</t>
        </is>
      </c>
      <c r="G1557" t="inlineStr">
        <is>
          <t>Instagram</t>
        </is>
      </c>
      <c r="H1557" t="inlineStr">
        <is>
          <t>Luis Bedoya</t>
        </is>
      </c>
      <c r="I1557" t="inlineStr">
        <is>
          <t>Perdido</t>
        </is>
      </c>
      <c r="J1557" s="28" t="n">
        <v>45774</v>
      </c>
      <c r="K1557" s="28" t="n">
        <v>45780</v>
      </c>
      <c r="L1557" t="inlineStr">
        <is>
          <t>No calificó para crédito</t>
        </is>
      </c>
    </row>
    <row r="1558">
      <c r="A1558" t="inlineStr">
        <is>
          <t>CLI-1556</t>
        </is>
      </c>
      <c r="B1558" t="inlineStr">
        <is>
          <t>Jhon Vargas Henao</t>
        </is>
      </c>
      <c r="C1558" t="inlineStr">
        <is>
          <t>3134613434</t>
        </is>
      </c>
      <c r="D1558" t="inlineStr">
        <is>
          <t>jhon.vargas68@yahoo.com</t>
        </is>
      </c>
      <c r="E1558" t="inlineStr">
        <is>
          <t>Envigado</t>
        </is>
      </c>
      <c r="F1558" t="inlineStr">
        <is>
          <t>PRY-007</t>
        </is>
      </c>
      <c r="G1558" t="inlineStr">
        <is>
          <t>Llamada directa</t>
        </is>
      </c>
      <c r="H1558" t="inlineStr">
        <is>
          <t>Luis Bedoya</t>
        </is>
      </c>
      <c r="I1558" t="inlineStr">
        <is>
          <t>Ganado</t>
        </is>
      </c>
      <c r="J1558" s="28" t="n">
        <v>45775</v>
      </c>
      <c r="K1558" s="28" t="n">
        <v>45878</v>
      </c>
      <c r="L1558" t="inlineStr">
        <is>
          <t>Compró Apto 701 en Mirador de Envigado</t>
        </is>
      </c>
    </row>
    <row r="1559">
      <c r="A1559" t="inlineStr">
        <is>
          <t>CLI-1557</t>
        </is>
      </c>
      <c r="B1559" t="inlineStr">
        <is>
          <t>Hernán Henao Franco</t>
        </is>
      </c>
      <c r="C1559" t="inlineStr">
        <is>
          <t>3139855652</t>
        </is>
      </c>
      <c r="D1559" t="inlineStr">
        <is>
          <t>hernan.henao85@outlook.com</t>
        </is>
      </c>
      <c r="E1559" t="inlineStr">
        <is>
          <t>Envigado</t>
        </is>
      </c>
      <c r="F1559" t="inlineStr">
        <is>
          <t>PRY-005</t>
        </is>
      </c>
      <c r="G1559" t="inlineStr">
        <is>
          <t>Referido</t>
        </is>
      </c>
      <c r="H1559" t="inlineStr">
        <is>
          <t>Juliana Vélez</t>
        </is>
      </c>
      <c r="I1559" t="inlineStr">
        <is>
          <t>Perdido</t>
        </is>
      </c>
      <c r="J1559" s="28" t="n">
        <v>45775</v>
      </c>
      <c r="K1559" s="28" t="n">
        <v>45836</v>
      </c>
      <c r="L1559" t="inlineStr">
        <is>
          <t>Crédito no aprobado</t>
        </is>
      </c>
    </row>
    <row r="1560">
      <c r="A1560" t="inlineStr">
        <is>
          <t>CLI-1558</t>
        </is>
      </c>
      <c r="B1560" t="inlineStr">
        <is>
          <t>Óscar Giraldo Henao</t>
        </is>
      </c>
      <c r="C1560" t="inlineStr">
        <is>
          <t>3132327051</t>
        </is>
      </c>
      <c r="D1560" t="inlineStr">
        <is>
          <t>oscar.giraldo8@hotmail.com</t>
        </is>
      </c>
      <c r="E1560" t="inlineStr">
        <is>
          <t>Rionegro</t>
        </is>
      </c>
      <c r="F1560" t="inlineStr">
        <is>
          <t>PRY-003</t>
        </is>
      </c>
      <c r="G1560" t="inlineStr">
        <is>
          <t>Feria Inmobiliaria</t>
        </is>
      </c>
      <c r="H1560" t="inlineStr">
        <is>
          <t>Miguel Salazar</t>
        </is>
      </c>
      <c r="I1560" t="inlineStr">
        <is>
          <t>Perdido</t>
        </is>
      </c>
      <c r="J1560" s="28" t="n">
        <v>45775</v>
      </c>
      <c r="K1560" s="28" t="n">
        <v>45801</v>
      </c>
      <c r="L1560" t="inlineStr">
        <is>
          <t>No calificó para crédito</t>
        </is>
      </c>
    </row>
    <row r="1561">
      <c r="A1561" t="inlineStr">
        <is>
          <t>CLI-1559</t>
        </is>
      </c>
      <c r="B1561" t="inlineStr">
        <is>
          <t>Felipe Palacio Correa</t>
        </is>
      </c>
      <c r="C1561" t="inlineStr">
        <is>
          <t>3241299530</t>
        </is>
      </c>
      <c r="D1561" t="inlineStr">
        <is>
          <t>felipe.palacio28@yahoo.com</t>
        </is>
      </c>
      <c r="E1561" t="inlineStr">
        <is>
          <t>Itagüí</t>
        </is>
      </c>
      <c r="F1561" t="inlineStr">
        <is>
          <t>PRY-008</t>
        </is>
      </c>
      <c r="G1561" t="inlineStr">
        <is>
          <t>Llamada directa</t>
        </is>
      </c>
      <c r="H1561" t="inlineStr">
        <is>
          <t>Daniela Ríos</t>
        </is>
      </c>
      <c r="I1561" t="inlineStr">
        <is>
          <t>Perdido</t>
        </is>
      </c>
      <c r="J1561" s="28" t="n">
        <v>45776</v>
      </c>
      <c r="K1561" s="28" t="n">
        <v>45788</v>
      </c>
      <c r="L1561" t="inlineStr">
        <is>
          <t>Sin respuesta tras 3 contactos</t>
        </is>
      </c>
    </row>
    <row r="1562">
      <c r="A1562" t="inlineStr">
        <is>
          <t>CLI-1560</t>
        </is>
      </c>
      <c r="B1562" t="inlineStr">
        <is>
          <t>Liliana Cifuentes Rojas</t>
        </is>
      </c>
      <c r="C1562" t="inlineStr">
        <is>
          <t>3176405626</t>
        </is>
      </c>
      <c r="D1562" t="inlineStr">
        <is>
          <t>liliana.cifuentes26@yahoo.com</t>
        </is>
      </c>
      <c r="E1562" t="inlineStr">
        <is>
          <t>Medellín</t>
        </is>
      </c>
      <c r="F1562" t="inlineStr">
        <is>
          <t>PRY-001</t>
        </is>
      </c>
      <c r="G1562" t="inlineStr">
        <is>
          <t>Instagram</t>
        </is>
      </c>
      <c r="H1562" t="inlineStr">
        <is>
          <t>Andrés Torres</t>
        </is>
      </c>
      <c r="I1562" t="inlineStr">
        <is>
          <t>Perdido</t>
        </is>
      </c>
      <c r="J1562" s="28" t="n">
        <v>45776</v>
      </c>
      <c r="K1562" s="28" t="n">
        <v>45785</v>
      </c>
      <c r="L1562" t="inlineStr">
        <is>
          <t>Buscaba arriendo, no compra</t>
        </is>
      </c>
    </row>
    <row r="1563">
      <c r="A1563" t="inlineStr">
        <is>
          <t>CLI-1561</t>
        </is>
      </c>
      <c r="B1563" t="inlineStr">
        <is>
          <t>José Gómez Higuita</t>
        </is>
      </c>
      <c r="C1563" t="inlineStr">
        <is>
          <t>3147234304</t>
        </is>
      </c>
      <c r="D1563" t="inlineStr">
        <is>
          <t>jose.gomez72@hotmail.com</t>
        </is>
      </c>
      <c r="E1563" t="inlineStr">
        <is>
          <t>La Estrella</t>
        </is>
      </c>
      <c r="F1563" t="inlineStr">
        <is>
          <t>PRY-003</t>
        </is>
      </c>
      <c r="G1563" t="inlineStr">
        <is>
          <t>Instagram</t>
        </is>
      </c>
      <c r="H1563" t="inlineStr">
        <is>
          <t>Sofía Prada</t>
        </is>
      </c>
      <c r="I1563" t="inlineStr">
        <is>
          <t>Perdido</t>
        </is>
      </c>
      <c r="J1563" s="28" t="n">
        <v>45776</v>
      </c>
      <c r="K1563" s="28" t="n">
        <v>45799</v>
      </c>
      <c r="L1563" t="inlineStr">
        <is>
          <t>No calificó para crédito</t>
        </is>
      </c>
    </row>
    <row r="1564">
      <c r="A1564" t="inlineStr">
        <is>
          <t>CLI-1562</t>
        </is>
      </c>
      <c r="B1564" t="inlineStr">
        <is>
          <t>Katherine Osorio Jaramillo</t>
        </is>
      </c>
      <c r="C1564" t="inlineStr">
        <is>
          <t>3151430670</t>
        </is>
      </c>
      <c r="D1564" t="inlineStr">
        <is>
          <t>katherine.osorio29@hotmail.com</t>
        </is>
      </c>
      <c r="E1564" t="inlineStr">
        <is>
          <t>Rionegro</t>
        </is>
      </c>
      <c r="F1564" t="inlineStr">
        <is>
          <t>PRY-005</t>
        </is>
      </c>
      <c r="G1564" t="inlineStr">
        <is>
          <t>Instagram</t>
        </is>
      </c>
      <c r="H1564" t="inlineStr">
        <is>
          <t>Sofía Prada</t>
        </is>
      </c>
      <c r="I1564" t="inlineStr">
        <is>
          <t>Perdido</t>
        </is>
      </c>
      <c r="J1564" s="28" t="n">
        <v>45777</v>
      </c>
      <c r="K1564" s="28" t="n">
        <v>45874</v>
      </c>
      <c r="L1564" t="inlineStr">
        <is>
          <t>No volvió a responder</t>
        </is>
      </c>
    </row>
    <row r="1565">
      <c r="A1565" t="inlineStr">
        <is>
          <t>CLI-1563</t>
        </is>
      </c>
      <c r="B1565" t="inlineStr">
        <is>
          <t>Laura Montes Montes</t>
        </is>
      </c>
      <c r="C1565" t="inlineStr">
        <is>
          <t>3177037035</t>
        </is>
      </c>
      <c r="D1565" t="inlineStr">
        <is>
          <t>laura.montes94@outlook.com</t>
        </is>
      </c>
      <c r="E1565" t="inlineStr">
        <is>
          <t>Medellín</t>
        </is>
      </c>
      <c r="F1565" t="inlineStr">
        <is>
          <t>PRY-003</t>
        </is>
      </c>
      <c r="G1565" t="inlineStr">
        <is>
          <t>Portal Web</t>
        </is>
      </c>
      <c r="H1565" t="inlineStr">
        <is>
          <t>Luis Bedoya</t>
        </is>
      </c>
      <c r="I1565" t="inlineStr">
        <is>
          <t>Ganado</t>
        </is>
      </c>
      <c r="J1565" s="28" t="n">
        <v>45777</v>
      </c>
      <c r="K1565" s="28" t="n">
        <v>45882</v>
      </c>
      <c r="L1565" t="inlineStr">
        <is>
          <t>Compró Apto 1603 en Conecta Laureles</t>
        </is>
      </c>
    </row>
    <row r="1566">
      <c r="A1566" t="inlineStr">
        <is>
          <t>CLI-1564</t>
        </is>
      </c>
      <c r="B1566" t="inlineStr">
        <is>
          <t>Nicolás Gómez Álvarez</t>
        </is>
      </c>
      <c r="C1566" t="inlineStr">
        <is>
          <t>3235643190</t>
        </is>
      </c>
      <c r="D1566" t="inlineStr">
        <is>
          <t>nicolas.gomez57@gmail.com</t>
        </is>
      </c>
      <c r="E1566" t="inlineStr">
        <is>
          <t>Medellín</t>
        </is>
      </c>
      <c r="F1566" t="inlineStr">
        <is>
          <t>PRY-001</t>
        </is>
      </c>
      <c r="G1566" t="inlineStr">
        <is>
          <t>Feria Inmobiliaria</t>
        </is>
      </c>
      <c r="H1566" t="inlineStr">
        <is>
          <t>Paula Arenas</t>
        </is>
      </c>
      <c r="I1566" t="inlineStr">
        <is>
          <t>Perdido</t>
        </is>
      </c>
      <c r="J1566" s="28" t="n">
        <v>45777</v>
      </c>
      <c r="K1566" s="28" t="n">
        <v>45795</v>
      </c>
      <c r="L1566" t="inlineStr">
        <is>
          <t>Sin respuesta tras 3 contactos</t>
        </is>
      </c>
    </row>
    <row r="1567">
      <c r="A1567" t="inlineStr">
        <is>
          <t>CLI-1565</t>
        </is>
      </c>
      <c r="B1567" t="inlineStr">
        <is>
          <t>Esteban López Álvarez</t>
        </is>
      </c>
      <c r="C1567" t="inlineStr">
        <is>
          <t>3156480896</t>
        </is>
      </c>
      <c r="D1567" t="inlineStr">
        <is>
          <t>esteban.lopez36@gmail.com</t>
        </is>
      </c>
      <c r="E1567" t="inlineStr">
        <is>
          <t>Itagüí</t>
        </is>
      </c>
      <c r="F1567" t="inlineStr">
        <is>
          <t>PRY-007</t>
        </is>
      </c>
      <c r="G1567" t="inlineStr">
        <is>
          <t>Portal Web</t>
        </is>
      </c>
      <c r="H1567" t="inlineStr">
        <is>
          <t>Luis Bedoya</t>
        </is>
      </c>
      <c r="I1567" t="inlineStr">
        <is>
          <t>Perdido</t>
        </is>
      </c>
      <c r="J1567" s="28" t="n">
        <v>45778</v>
      </c>
      <c r="K1567" s="28" t="n">
        <v>45789</v>
      </c>
      <c r="L1567" t="inlineStr">
        <is>
          <t>No calificó para crédito</t>
        </is>
      </c>
    </row>
    <row r="1568">
      <c r="A1568" t="inlineStr">
        <is>
          <t>CLI-1566</t>
        </is>
      </c>
      <c r="B1568" t="inlineStr">
        <is>
          <t>Tomás Quintero Arango</t>
        </is>
      </c>
      <c r="C1568" t="inlineStr">
        <is>
          <t>3155909047</t>
        </is>
      </c>
      <c r="D1568" t="inlineStr">
        <is>
          <t>tomas.quintero43@hotmail.com</t>
        </is>
      </c>
      <c r="E1568" t="inlineStr">
        <is>
          <t>Rionegro</t>
        </is>
      </c>
      <c r="F1568" t="inlineStr">
        <is>
          <t>PRY-005</t>
        </is>
      </c>
      <c r="G1568" t="inlineStr">
        <is>
          <t>Portal Web</t>
        </is>
      </c>
      <c r="H1568" t="inlineStr">
        <is>
          <t>Sofía Prada</t>
        </is>
      </c>
      <c r="I1568" t="inlineStr">
        <is>
          <t>Perdido</t>
        </is>
      </c>
      <c r="J1568" s="28" t="n">
        <v>45778</v>
      </c>
      <c r="K1568" s="28" t="n">
        <v>45791</v>
      </c>
      <c r="L1568" t="inlineStr">
        <is>
          <t>No calificó para crédito</t>
        </is>
      </c>
    </row>
    <row r="1569">
      <c r="A1569" t="inlineStr">
        <is>
          <t>CLI-1567</t>
        </is>
      </c>
      <c r="B1569" t="inlineStr">
        <is>
          <t>José Betancur Bedoya</t>
        </is>
      </c>
      <c r="C1569" t="inlineStr">
        <is>
          <t>3226701282</t>
        </is>
      </c>
      <c r="D1569" t="inlineStr">
        <is>
          <t>jose.betancur51@gmail.com</t>
        </is>
      </c>
      <c r="E1569" t="inlineStr">
        <is>
          <t>Itagüí</t>
        </is>
      </c>
      <c r="F1569" t="inlineStr">
        <is>
          <t>PRY-008</t>
        </is>
      </c>
      <c r="G1569" t="inlineStr">
        <is>
          <t>Referido</t>
        </is>
      </c>
      <c r="H1569" t="inlineStr">
        <is>
          <t>Juliana Vélez</t>
        </is>
      </c>
      <c r="I1569" t="inlineStr">
        <is>
          <t>Ganado</t>
        </is>
      </c>
      <c r="J1569" s="28" t="n">
        <v>45779</v>
      </c>
      <c r="K1569" s="28" t="n">
        <v>45898</v>
      </c>
      <c r="L1569" t="inlineStr">
        <is>
          <t>Compró Casa 49 en Valle Verde Itagüí</t>
        </is>
      </c>
    </row>
    <row r="1570">
      <c r="A1570" t="inlineStr">
        <is>
          <t>CLI-1568</t>
        </is>
      </c>
      <c r="B1570" t="inlineStr">
        <is>
          <t>Tomás Ochoa Mejía</t>
        </is>
      </c>
      <c r="C1570" t="inlineStr">
        <is>
          <t>3016505022</t>
        </is>
      </c>
      <c r="D1570" t="inlineStr">
        <is>
          <t>tomas.ochoa80@gmail.com</t>
        </is>
      </c>
      <c r="E1570" t="inlineStr">
        <is>
          <t>Medellín</t>
        </is>
      </c>
      <c r="F1570" t="inlineStr">
        <is>
          <t>PRY-001</t>
        </is>
      </c>
      <c r="G1570" t="inlineStr">
        <is>
          <t>Instagram</t>
        </is>
      </c>
      <c r="H1570" t="inlineStr">
        <is>
          <t>Luis Bedoya</t>
        </is>
      </c>
      <c r="I1570" t="inlineStr">
        <is>
          <t>Perdido</t>
        </is>
      </c>
      <c r="J1570" s="28" t="n">
        <v>45779</v>
      </c>
      <c r="K1570" s="28" t="n">
        <v>45799</v>
      </c>
      <c r="L1570" t="inlineStr">
        <is>
          <t>Sin respuesta tras 3 contactos</t>
        </is>
      </c>
    </row>
    <row r="1571">
      <c r="A1571" t="inlineStr">
        <is>
          <t>CLI-1569</t>
        </is>
      </c>
      <c r="B1571" t="inlineStr">
        <is>
          <t>Carlos Duque Betancur</t>
        </is>
      </c>
      <c r="C1571" t="inlineStr">
        <is>
          <t>3049039435</t>
        </is>
      </c>
      <c r="D1571" t="inlineStr">
        <is>
          <t>carlos.duque27@gmail.com</t>
        </is>
      </c>
      <c r="E1571" t="inlineStr">
        <is>
          <t>La Estrella</t>
        </is>
      </c>
      <c r="F1571" t="inlineStr">
        <is>
          <t>PRY-006</t>
        </is>
      </c>
      <c r="G1571" t="inlineStr">
        <is>
          <t>Portal Web</t>
        </is>
      </c>
      <c r="H1571" t="inlineStr">
        <is>
          <t>Paula Arenas</t>
        </is>
      </c>
      <c r="I1571" t="inlineStr">
        <is>
          <t>Ganado</t>
        </is>
      </c>
      <c r="J1571" s="28" t="n">
        <v>45780</v>
      </c>
      <c r="K1571" s="28" t="n">
        <v>45923</v>
      </c>
      <c r="L1571" t="inlineStr">
        <is>
          <t>Compró Local 26 en Plaza Bello</t>
        </is>
      </c>
    </row>
    <row r="1572">
      <c r="A1572" t="inlineStr">
        <is>
          <t>CLI-1570</t>
        </is>
      </c>
      <c r="B1572" t="inlineStr">
        <is>
          <t>Natalia Correa Vásquez</t>
        </is>
      </c>
      <c r="C1572" t="inlineStr">
        <is>
          <t>3049118401</t>
        </is>
      </c>
      <c r="D1572" t="inlineStr">
        <is>
          <t>natalia.correa43@outlook.com</t>
        </is>
      </c>
      <c r="E1572" t="inlineStr">
        <is>
          <t>Envigado</t>
        </is>
      </c>
      <c r="F1572" t="inlineStr">
        <is>
          <t>PRY-007</t>
        </is>
      </c>
      <c r="G1572" t="inlineStr">
        <is>
          <t>Llamada directa</t>
        </is>
      </c>
      <c r="H1572" t="inlineStr">
        <is>
          <t>Sofía Prada</t>
        </is>
      </c>
      <c r="I1572" t="inlineStr">
        <is>
          <t>Perdido</t>
        </is>
      </c>
      <c r="J1572" s="28" t="n">
        <v>45780</v>
      </c>
      <c r="K1572" s="28" t="n">
        <v>45786</v>
      </c>
      <c r="L1572" t="inlineStr">
        <is>
          <t>Datos de contacto errados</t>
        </is>
      </c>
    </row>
    <row r="1573">
      <c r="A1573" t="inlineStr">
        <is>
          <t>CLI-1571</t>
        </is>
      </c>
      <c r="B1573" t="inlineStr">
        <is>
          <t>Hernán Muñoz Quintero</t>
        </is>
      </c>
      <c r="C1573" t="inlineStr">
        <is>
          <t>3146938275</t>
        </is>
      </c>
      <c r="D1573" t="inlineStr">
        <is>
          <t>hernan.munoz1@outlook.com</t>
        </is>
      </c>
      <c r="E1573" t="inlineStr">
        <is>
          <t>Medellín</t>
        </is>
      </c>
      <c r="F1573" t="inlineStr">
        <is>
          <t>PRY-002</t>
        </is>
      </c>
      <c r="G1573" t="inlineStr">
        <is>
          <t>Facebook</t>
        </is>
      </c>
      <c r="H1573" t="inlineStr">
        <is>
          <t>Andrés Torres</t>
        </is>
      </c>
      <c r="I1573" t="inlineStr">
        <is>
          <t>Perdido</t>
        </is>
      </c>
      <c r="J1573" s="28" t="n">
        <v>45780</v>
      </c>
      <c r="K1573" s="28" t="n">
        <v>45791</v>
      </c>
      <c r="L1573" t="inlineStr">
        <is>
          <t>Sin respuesta tras 3 contactos</t>
        </is>
      </c>
    </row>
    <row r="1574">
      <c r="A1574" t="inlineStr">
        <is>
          <t>CLI-1572</t>
        </is>
      </c>
      <c r="B1574" t="inlineStr">
        <is>
          <t>Camila Echeverri Palacio</t>
        </is>
      </c>
      <c r="C1574" t="inlineStr">
        <is>
          <t>3157039443</t>
        </is>
      </c>
      <c r="D1574" t="inlineStr">
        <is>
          <t>camila.echeverri12@yahoo.com</t>
        </is>
      </c>
      <c r="E1574" t="inlineStr">
        <is>
          <t>Rionegro</t>
        </is>
      </c>
      <c r="F1574" t="inlineStr">
        <is>
          <t>PRY-003</t>
        </is>
      </c>
      <c r="G1574" t="inlineStr">
        <is>
          <t>Instagram</t>
        </is>
      </c>
      <c r="H1574" t="inlineStr">
        <is>
          <t>Paula Arenas</t>
        </is>
      </c>
      <c r="I1574" t="inlineStr">
        <is>
          <t>Perdido</t>
        </is>
      </c>
      <c r="J1574" s="28" t="n">
        <v>45780</v>
      </c>
      <c r="K1574" s="28" t="n">
        <v>45785</v>
      </c>
      <c r="L1574" t="inlineStr">
        <is>
          <t>Datos de contacto errados</t>
        </is>
      </c>
    </row>
    <row r="1575">
      <c r="A1575" t="inlineStr">
        <is>
          <t>CLI-1573</t>
        </is>
      </c>
      <c r="B1575" t="inlineStr">
        <is>
          <t>Alejandro Giraldo Uribe</t>
        </is>
      </c>
      <c r="C1575" t="inlineStr">
        <is>
          <t>3144198488</t>
        </is>
      </c>
      <c r="D1575" t="inlineStr">
        <is>
          <t>alejandro.giraldo55@outlook.com</t>
        </is>
      </c>
      <c r="E1575" t="inlineStr">
        <is>
          <t>Itagüí</t>
        </is>
      </c>
      <c r="F1575" t="inlineStr">
        <is>
          <t>PRY-008</t>
        </is>
      </c>
      <c r="G1575" t="inlineStr">
        <is>
          <t>Portal Web</t>
        </is>
      </c>
      <c r="H1575" t="inlineStr">
        <is>
          <t>Ana Quintero</t>
        </is>
      </c>
      <c r="I1575" t="inlineStr">
        <is>
          <t>Perdido</t>
        </is>
      </c>
      <c r="J1575" s="28" t="n">
        <v>45780</v>
      </c>
      <c r="K1575" s="28" t="n">
        <v>45791</v>
      </c>
      <c r="L1575" t="inlineStr">
        <is>
          <t>No calificó para crédito</t>
        </is>
      </c>
    </row>
    <row r="1576">
      <c r="A1576" t="inlineStr">
        <is>
          <t>CLI-1574</t>
        </is>
      </c>
      <c r="B1576" t="inlineStr">
        <is>
          <t>María Echeverri Zapata</t>
        </is>
      </c>
      <c r="C1576" t="inlineStr">
        <is>
          <t>3006623470</t>
        </is>
      </c>
      <c r="D1576" t="inlineStr">
        <is>
          <t>maria.echeverri67@outlook.com</t>
        </is>
      </c>
      <c r="E1576" t="inlineStr">
        <is>
          <t>Medellín</t>
        </is>
      </c>
      <c r="F1576" t="inlineStr">
        <is>
          <t>PRY-003</t>
        </is>
      </c>
      <c r="G1576" t="inlineStr">
        <is>
          <t>Feria Inmobiliaria</t>
        </is>
      </c>
      <c r="H1576" t="inlineStr">
        <is>
          <t>Santiago Muñoz</t>
        </is>
      </c>
      <c r="I1576" t="inlineStr">
        <is>
          <t>Ganado</t>
        </is>
      </c>
      <c r="J1576" s="28" t="n">
        <v>45781</v>
      </c>
      <c r="K1576" s="28" t="n">
        <v>45861</v>
      </c>
      <c r="L1576" t="inlineStr">
        <is>
          <t>Compró Apto 2205 en Conecta Laureles</t>
        </is>
      </c>
    </row>
    <row r="1577">
      <c r="A1577" t="inlineStr">
        <is>
          <t>CLI-1575</t>
        </is>
      </c>
      <c r="B1577" t="inlineStr">
        <is>
          <t>Sandra Gómez Ramírez</t>
        </is>
      </c>
      <c r="C1577" t="inlineStr">
        <is>
          <t>3246657198</t>
        </is>
      </c>
      <c r="D1577" t="inlineStr">
        <is>
          <t>sandra.gomez8@outlook.com</t>
        </is>
      </c>
      <c r="E1577" t="inlineStr">
        <is>
          <t>Envigado</t>
        </is>
      </c>
      <c r="F1577" t="inlineStr">
        <is>
          <t>PRY-007</t>
        </is>
      </c>
      <c r="G1577" t="inlineStr">
        <is>
          <t>Feria Inmobiliaria</t>
        </is>
      </c>
      <c r="H1577" t="inlineStr">
        <is>
          <t>Luis Bedoya</t>
        </is>
      </c>
      <c r="I1577" t="inlineStr">
        <is>
          <t>Ganado</t>
        </is>
      </c>
      <c r="J1577" s="28" t="n">
        <v>45781</v>
      </c>
      <c r="K1577" s="28" t="n">
        <v>45940</v>
      </c>
      <c r="L1577" t="inlineStr">
        <is>
          <t>Compró Apto 1404 en Mirador de Envigado</t>
        </is>
      </c>
    </row>
    <row r="1578">
      <c r="A1578" t="inlineStr">
        <is>
          <t>CLI-1576</t>
        </is>
      </c>
      <c r="B1578" t="inlineStr">
        <is>
          <t>Sofía Giraldo Escobar</t>
        </is>
      </c>
      <c r="C1578" t="inlineStr">
        <is>
          <t>3046078828</t>
        </is>
      </c>
      <c r="D1578" t="inlineStr">
        <is>
          <t>sofia.giraldo10@yahoo.com</t>
        </is>
      </c>
      <c r="E1578" t="inlineStr">
        <is>
          <t>Rionegro</t>
        </is>
      </c>
      <c r="F1578" t="inlineStr">
        <is>
          <t>PRY-003</t>
        </is>
      </c>
      <c r="G1578" t="inlineStr">
        <is>
          <t>Portal Web</t>
        </is>
      </c>
      <c r="H1578" t="inlineStr">
        <is>
          <t>Sofía Prada</t>
        </is>
      </c>
      <c r="I1578" t="inlineStr">
        <is>
          <t>Ganado</t>
        </is>
      </c>
      <c r="J1578" s="28" t="n">
        <v>45781</v>
      </c>
      <c r="K1578" s="28" t="n">
        <v>45895</v>
      </c>
      <c r="L1578" t="inlineStr">
        <is>
          <t>Compró Apto 204 en Conecta Laureles</t>
        </is>
      </c>
    </row>
    <row r="1579">
      <c r="A1579" t="inlineStr">
        <is>
          <t>CLI-1577</t>
        </is>
      </c>
      <c r="B1579" t="inlineStr">
        <is>
          <t>Lorena Correa Echeverri</t>
        </is>
      </c>
      <c r="C1579" t="inlineStr">
        <is>
          <t>3044133324</t>
        </is>
      </c>
      <c r="D1579" t="inlineStr">
        <is>
          <t>lorena.correa19@gmail.com</t>
        </is>
      </c>
      <c r="E1579" t="inlineStr">
        <is>
          <t>Bello</t>
        </is>
      </c>
      <c r="F1579" t="inlineStr">
        <is>
          <t>PRY-008</t>
        </is>
      </c>
      <c r="G1579" t="inlineStr">
        <is>
          <t>Facebook</t>
        </is>
      </c>
      <c r="H1579" t="inlineStr">
        <is>
          <t>Sofía Prada</t>
        </is>
      </c>
      <c r="I1579" t="inlineStr">
        <is>
          <t>Perdido</t>
        </is>
      </c>
      <c r="J1579" s="28" t="n">
        <v>45781</v>
      </c>
      <c r="K1579" s="28" t="n">
        <v>45792</v>
      </c>
      <c r="L1579" t="inlineStr">
        <is>
          <t>Sin respuesta tras 3 contactos</t>
        </is>
      </c>
    </row>
    <row r="1580">
      <c r="A1580" t="inlineStr">
        <is>
          <t>CLI-1578</t>
        </is>
      </c>
      <c r="B1580" t="inlineStr">
        <is>
          <t>Fernando Betancur Londoño</t>
        </is>
      </c>
      <c r="C1580" t="inlineStr">
        <is>
          <t>3002057637</t>
        </is>
      </c>
      <c r="D1580" t="inlineStr">
        <is>
          <t>fernando.betancur85@yahoo.com</t>
        </is>
      </c>
      <c r="E1580" t="inlineStr">
        <is>
          <t>Medellín</t>
        </is>
      </c>
      <c r="F1580" t="inlineStr">
        <is>
          <t>PRY-001</t>
        </is>
      </c>
      <c r="G1580" t="inlineStr">
        <is>
          <t>Instagram</t>
        </is>
      </c>
      <c r="H1580" t="inlineStr">
        <is>
          <t>Luis Bedoya</t>
        </is>
      </c>
      <c r="I1580" t="inlineStr">
        <is>
          <t>Perdido</t>
        </is>
      </c>
      <c r="J1580" s="28" t="n">
        <v>45781</v>
      </c>
      <c r="K1580" s="28" t="n">
        <v>45810</v>
      </c>
      <c r="L1580" t="inlineStr">
        <is>
          <t>Sin respuesta tras 3 contactos</t>
        </is>
      </c>
    </row>
    <row r="1581">
      <c r="A1581" t="inlineStr">
        <is>
          <t>CLI-1579</t>
        </is>
      </c>
      <c r="B1581" t="inlineStr">
        <is>
          <t>Sofía Uribe Arango</t>
        </is>
      </c>
      <c r="C1581" t="inlineStr">
        <is>
          <t>3003909440</t>
        </is>
      </c>
      <c r="D1581" t="inlineStr">
        <is>
          <t>sofia.uribe33@yahoo.com</t>
        </is>
      </c>
      <c r="E1581" t="inlineStr">
        <is>
          <t>Medellín</t>
        </is>
      </c>
      <c r="F1581" t="inlineStr">
        <is>
          <t>PRY-002</t>
        </is>
      </c>
      <c r="G1581" t="inlineStr">
        <is>
          <t>Facebook</t>
        </is>
      </c>
      <c r="H1581" t="inlineStr">
        <is>
          <t>Sofía Prada</t>
        </is>
      </c>
      <c r="I1581" t="inlineStr">
        <is>
          <t>Perdido</t>
        </is>
      </c>
      <c r="J1581" s="28" t="n">
        <v>45781</v>
      </c>
      <c r="K1581" s="28" t="n">
        <v>45807</v>
      </c>
      <c r="L1581" t="inlineStr">
        <is>
          <t>Datos de contacto errados</t>
        </is>
      </c>
    </row>
    <row r="1582">
      <c r="A1582" t="inlineStr">
        <is>
          <t>CLI-1580</t>
        </is>
      </c>
      <c r="B1582" t="inlineStr">
        <is>
          <t>Cristian Salazar Mejía</t>
        </is>
      </c>
      <c r="C1582" t="inlineStr">
        <is>
          <t>3249056842</t>
        </is>
      </c>
      <c r="D1582" t="inlineStr">
        <is>
          <t>cristian.salazar20@gmail.com</t>
        </is>
      </c>
      <c r="E1582" t="inlineStr">
        <is>
          <t>Medellín</t>
        </is>
      </c>
      <c r="F1582" t="inlineStr">
        <is>
          <t>PRY-003</t>
        </is>
      </c>
      <c r="G1582" t="inlineStr">
        <is>
          <t>Instagram</t>
        </is>
      </c>
      <c r="H1582" t="inlineStr">
        <is>
          <t>Daniela Ríos</t>
        </is>
      </c>
      <c r="I1582" t="inlineStr">
        <is>
          <t>Perdido</t>
        </is>
      </c>
      <c r="J1582" s="28" t="n">
        <v>45781</v>
      </c>
      <c r="K1582" s="28" t="n">
        <v>45803</v>
      </c>
      <c r="L1582" t="inlineStr">
        <is>
          <t>Sin respuesta tras 3 contactos</t>
        </is>
      </c>
    </row>
    <row r="1583">
      <c r="A1583" t="inlineStr">
        <is>
          <t>CLI-1581</t>
        </is>
      </c>
      <c r="B1583" t="inlineStr">
        <is>
          <t>Carolina Toro Sánchez</t>
        </is>
      </c>
      <c r="C1583" t="inlineStr">
        <is>
          <t>3001074308</t>
        </is>
      </c>
      <c r="D1583" t="inlineStr">
        <is>
          <t>carolina.toro61@outlook.com</t>
        </is>
      </c>
      <c r="E1583" t="inlineStr">
        <is>
          <t>Medellín</t>
        </is>
      </c>
      <c r="F1583" t="inlineStr">
        <is>
          <t>PRY-003</t>
        </is>
      </c>
      <c r="G1583" t="inlineStr">
        <is>
          <t>Llamada directa</t>
        </is>
      </c>
      <c r="H1583" t="inlineStr">
        <is>
          <t>Ana Quintero</t>
        </is>
      </c>
      <c r="I1583" t="inlineStr">
        <is>
          <t>Perdido</t>
        </is>
      </c>
      <c r="J1583" s="28" t="n">
        <v>45782</v>
      </c>
      <c r="K1583" s="28" t="n">
        <v>45835</v>
      </c>
      <c r="L1583" t="inlineStr">
        <is>
          <t>Eligió otro proyecto</t>
        </is>
      </c>
    </row>
    <row r="1584">
      <c r="A1584" t="inlineStr">
        <is>
          <t>CLI-1582</t>
        </is>
      </c>
      <c r="B1584" t="inlineStr">
        <is>
          <t>Liliana Bedoya Vélez</t>
        </is>
      </c>
      <c r="C1584" t="inlineStr">
        <is>
          <t>3241302840</t>
        </is>
      </c>
      <c r="D1584" t="inlineStr">
        <is>
          <t>liliana.bedoya56@yahoo.com</t>
        </is>
      </c>
      <c r="E1584" t="inlineStr">
        <is>
          <t>La Estrella</t>
        </is>
      </c>
      <c r="F1584" t="inlineStr">
        <is>
          <t>PRY-003</t>
        </is>
      </c>
      <c r="G1584" t="inlineStr">
        <is>
          <t>Instagram</t>
        </is>
      </c>
      <c r="H1584" t="inlineStr">
        <is>
          <t>Miguel Salazar</t>
        </is>
      </c>
      <c r="I1584" t="inlineStr">
        <is>
          <t>Perdido</t>
        </is>
      </c>
      <c r="J1584" s="28" t="n">
        <v>45782</v>
      </c>
      <c r="K1584" s="28" t="n">
        <v>45788</v>
      </c>
      <c r="L1584" t="inlineStr">
        <is>
          <t>No calificó para crédito</t>
        </is>
      </c>
    </row>
    <row r="1585">
      <c r="A1585" t="inlineStr">
        <is>
          <t>CLI-1583</t>
        </is>
      </c>
      <c r="B1585" t="inlineStr">
        <is>
          <t>Sebastián Cano Betancur</t>
        </is>
      </c>
      <c r="C1585" t="inlineStr">
        <is>
          <t>3156772393</t>
        </is>
      </c>
      <c r="D1585" t="inlineStr">
        <is>
          <t>sebastian.cano15@yahoo.com</t>
        </is>
      </c>
      <c r="E1585" t="inlineStr">
        <is>
          <t>Bello</t>
        </is>
      </c>
      <c r="F1585" t="inlineStr">
        <is>
          <t>PRY-007</t>
        </is>
      </c>
      <c r="G1585" t="inlineStr">
        <is>
          <t>Instagram</t>
        </is>
      </c>
      <c r="H1585" t="inlineStr">
        <is>
          <t>Luis Bedoya</t>
        </is>
      </c>
      <c r="I1585" t="inlineStr">
        <is>
          <t>Perdido</t>
        </is>
      </c>
      <c r="J1585" s="28" t="n">
        <v>45782</v>
      </c>
      <c r="K1585" s="28" t="n">
        <v>45804</v>
      </c>
      <c r="L1585" t="inlineStr">
        <is>
          <t>Sin respuesta tras 3 contactos</t>
        </is>
      </c>
    </row>
    <row r="1586">
      <c r="A1586" t="inlineStr">
        <is>
          <t>CLI-1584</t>
        </is>
      </c>
      <c r="B1586" t="inlineStr">
        <is>
          <t>Laura Cano Sánchez</t>
        </is>
      </c>
      <c r="C1586" t="inlineStr">
        <is>
          <t>3174729399</t>
        </is>
      </c>
      <c r="D1586" t="inlineStr">
        <is>
          <t>laura.cano37@outlook.com</t>
        </is>
      </c>
      <c r="E1586" t="inlineStr">
        <is>
          <t>Sabaneta</t>
        </is>
      </c>
      <c r="F1586" t="inlineStr">
        <is>
          <t>PRY-008</t>
        </is>
      </c>
      <c r="G1586" t="inlineStr">
        <is>
          <t>Portal Web</t>
        </is>
      </c>
      <c r="H1586" t="inlineStr">
        <is>
          <t>Daniela Ríos</t>
        </is>
      </c>
      <c r="I1586" t="inlineStr">
        <is>
          <t>Ganado</t>
        </is>
      </c>
      <c r="J1586" s="28" t="n">
        <v>45783</v>
      </c>
      <c r="K1586" s="28" t="n">
        <v>45855</v>
      </c>
      <c r="L1586" t="inlineStr">
        <is>
          <t>Compró Casa 25 en Valle Verde Itagüí</t>
        </is>
      </c>
    </row>
    <row r="1587">
      <c r="A1587" t="inlineStr">
        <is>
          <t>CLI-1585</t>
        </is>
      </c>
      <c r="B1587" t="inlineStr">
        <is>
          <t>Daniela Quintero Bedoya</t>
        </is>
      </c>
      <c r="C1587" t="inlineStr">
        <is>
          <t>3233204297</t>
        </is>
      </c>
      <c r="D1587" t="inlineStr">
        <is>
          <t>daniela.quintero48@yahoo.com</t>
        </is>
      </c>
      <c r="E1587" t="inlineStr">
        <is>
          <t>Medellín</t>
        </is>
      </c>
      <c r="F1587" t="inlineStr">
        <is>
          <t>PRY-001</t>
        </is>
      </c>
      <c r="G1587" t="inlineStr">
        <is>
          <t>Instagram</t>
        </is>
      </c>
      <c r="H1587" t="inlineStr">
        <is>
          <t>Sofía Prada</t>
        </is>
      </c>
      <c r="I1587" t="inlineStr">
        <is>
          <t>Ganado</t>
        </is>
      </c>
      <c r="J1587" s="28" t="n">
        <v>45783</v>
      </c>
      <c r="K1587" s="28" t="n">
        <v>45926</v>
      </c>
      <c r="L1587" t="inlineStr">
        <is>
          <t>Compró Apto 606 en Torres del Poblado</t>
        </is>
      </c>
    </row>
    <row r="1588">
      <c r="A1588" t="inlineStr">
        <is>
          <t>CLI-1586</t>
        </is>
      </c>
      <c r="B1588" t="inlineStr">
        <is>
          <t>Óscar Muñoz Restrepo</t>
        </is>
      </c>
      <c r="C1588" t="inlineStr">
        <is>
          <t>3248600957</t>
        </is>
      </c>
      <c r="D1588" t="inlineStr">
        <is>
          <t>oscar.munoz30@hotmail.com</t>
        </is>
      </c>
      <c r="E1588" t="inlineStr">
        <is>
          <t>Medellín</t>
        </is>
      </c>
      <c r="F1588" t="inlineStr">
        <is>
          <t>PRY-002</t>
        </is>
      </c>
      <c r="G1588" t="inlineStr">
        <is>
          <t>Llamada directa</t>
        </is>
      </c>
      <c r="H1588" t="inlineStr">
        <is>
          <t>Luis Bedoya</t>
        </is>
      </c>
      <c r="I1588" t="inlineStr">
        <is>
          <t>Perdido</t>
        </is>
      </c>
      <c r="J1588" s="28" t="n">
        <v>45783</v>
      </c>
      <c r="K1588" s="28" t="n">
        <v>45791</v>
      </c>
      <c r="L1588" t="inlineStr">
        <is>
          <t>Sin respuesta tras 3 contactos</t>
        </is>
      </c>
    </row>
    <row r="1589">
      <c r="A1589" t="inlineStr">
        <is>
          <t>CLI-1587</t>
        </is>
      </c>
      <c r="B1589" t="inlineStr">
        <is>
          <t>Simón Sánchez Vásquez</t>
        </is>
      </c>
      <c r="C1589" t="inlineStr">
        <is>
          <t>3178416579</t>
        </is>
      </c>
      <c r="D1589" t="inlineStr">
        <is>
          <t>simon.sanchez77@gmail.com</t>
        </is>
      </c>
      <c r="E1589" t="inlineStr">
        <is>
          <t>Rionegro</t>
        </is>
      </c>
      <c r="F1589" t="inlineStr">
        <is>
          <t>PRY-005</t>
        </is>
      </c>
      <c r="G1589" t="inlineStr">
        <is>
          <t>Portal Web</t>
        </is>
      </c>
      <c r="H1589" t="inlineStr">
        <is>
          <t>Luis Bedoya</t>
        </is>
      </c>
      <c r="I1589" t="inlineStr">
        <is>
          <t>Ganado</t>
        </is>
      </c>
      <c r="J1589" s="28" t="n">
        <v>45784</v>
      </c>
      <c r="K1589" s="28" t="n">
        <v>45890</v>
      </c>
      <c r="L1589" t="inlineStr">
        <is>
          <t>Compró Casa 22 en Ciudadela Rionegro</t>
        </is>
      </c>
    </row>
    <row r="1590">
      <c r="A1590" t="inlineStr">
        <is>
          <t>CLI-1588</t>
        </is>
      </c>
      <c r="B1590" t="inlineStr">
        <is>
          <t>Liliana Cifuentes Castaño</t>
        </is>
      </c>
      <c r="C1590" t="inlineStr">
        <is>
          <t>3206329502</t>
        </is>
      </c>
      <c r="D1590" t="inlineStr">
        <is>
          <t>liliana.cifuentes8@yahoo.com</t>
        </is>
      </c>
      <c r="E1590" t="inlineStr">
        <is>
          <t>Itagüí</t>
        </is>
      </c>
      <c r="F1590" t="inlineStr">
        <is>
          <t>PRY-008</t>
        </is>
      </c>
      <c r="G1590" t="inlineStr">
        <is>
          <t>Referido</t>
        </is>
      </c>
      <c r="H1590" t="inlineStr">
        <is>
          <t>Ana Quintero</t>
        </is>
      </c>
      <c r="I1590" t="inlineStr">
        <is>
          <t>Ganado</t>
        </is>
      </c>
      <c r="J1590" s="28" t="n">
        <v>45784</v>
      </c>
      <c r="K1590" s="28" t="n">
        <v>45852</v>
      </c>
      <c r="L1590" t="inlineStr">
        <is>
          <t>Compró Casa 21 en Valle Verde Itagüí</t>
        </is>
      </c>
    </row>
    <row r="1591">
      <c r="A1591" t="inlineStr">
        <is>
          <t>CLI-1589</t>
        </is>
      </c>
      <c r="B1591" t="inlineStr">
        <is>
          <t>Camila Sánchez Mejía</t>
        </is>
      </c>
      <c r="C1591" t="inlineStr">
        <is>
          <t>3228097772</t>
        </is>
      </c>
      <c r="D1591" t="inlineStr">
        <is>
          <t>camila.sanchez83@outlook.com</t>
        </is>
      </c>
      <c r="E1591" t="inlineStr">
        <is>
          <t>Rionegro</t>
        </is>
      </c>
      <c r="F1591" t="inlineStr">
        <is>
          <t>PRY-005</t>
        </is>
      </c>
      <c r="G1591" t="inlineStr">
        <is>
          <t>Referido</t>
        </is>
      </c>
      <c r="H1591" t="inlineStr">
        <is>
          <t>Miguel Salazar</t>
        </is>
      </c>
      <c r="I1591" t="inlineStr">
        <is>
          <t>Ganado</t>
        </is>
      </c>
      <c r="J1591" s="28" t="n">
        <v>45784</v>
      </c>
      <c r="K1591" s="28" t="n">
        <v>45921</v>
      </c>
      <c r="L1591" t="inlineStr">
        <is>
          <t>Compró Casa 19 en Ciudadela Rionegro</t>
        </is>
      </c>
    </row>
    <row r="1592">
      <c r="A1592" t="inlineStr">
        <is>
          <t>CLI-1590</t>
        </is>
      </c>
      <c r="B1592" t="inlineStr">
        <is>
          <t>Verónica Valencia Ramírez</t>
        </is>
      </c>
      <c r="C1592" t="inlineStr">
        <is>
          <t>3247693908</t>
        </is>
      </c>
      <c r="D1592" t="inlineStr">
        <is>
          <t>veronica.valencia20@hotmail.com</t>
        </is>
      </c>
      <c r="E1592" t="inlineStr">
        <is>
          <t>Rionegro</t>
        </is>
      </c>
      <c r="F1592" t="inlineStr">
        <is>
          <t>PRY-005</t>
        </is>
      </c>
      <c r="G1592" t="inlineStr">
        <is>
          <t>Referido</t>
        </is>
      </c>
      <c r="H1592" t="inlineStr">
        <is>
          <t>Luis Bedoya</t>
        </is>
      </c>
      <c r="I1592" t="inlineStr">
        <is>
          <t>Ganado</t>
        </is>
      </c>
      <c r="J1592" s="28" t="n">
        <v>45784</v>
      </c>
      <c r="K1592" s="28" t="n">
        <v>45949</v>
      </c>
      <c r="L1592" t="inlineStr">
        <is>
          <t>Compró Apto 205 en Ciudadela Rionegro</t>
        </is>
      </c>
    </row>
    <row r="1593">
      <c r="A1593" t="inlineStr">
        <is>
          <t>CLI-1591</t>
        </is>
      </c>
      <c r="B1593" t="inlineStr">
        <is>
          <t>Gloria Restrepo Sánchez</t>
        </is>
      </c>
      <c r="C1593" t="inlineStr">
        <is>
          <t>3242097740</t>
        </is>
      </c>
      <c r="D1593" t="inlineStr">
        <is>
          <t>gloria.restrepo28@hotmail.com</t>
        </is>
      </c>
      <c r="E1593" t="inlineStr">
        <is>
          <t>Rionegro</t>
        </is>
      </c>
      <c r="F1593" t="inlineStr">
        <is>
          <t>PRY-005</t>
        </is>
      </c>
      <c r="G1593" t="inlineStr">
        <is>
          <t>Facebook</t>
        </is>
      </c>
      <c r="H1593" t="inlineStr">
        <is>
          <t>Daniela Ríos</t>
        </is>
      </c>
      <c r="I1593" t="inlineStr">
        <is>
          <t>Perdido</t>
        </is>
      </c>
      <c r="J1593" s="28" t="n">
        <v>45784</v>
      </c>
      <c r="K1593" s="28" t="n">
        <v>45807</v>
      </c>
      <c r="L1593" t="inlineStr">
        <is>
          <t>No calificó para crédito</t>
        </is>
      </c>
    </row>
    <row r="1594">
      <c r="A1594" t="inlineStr">
        <is>
          <t>CLI-1592</t>
        </is>
      </c>
      <c r="B1594" t="inlineStr">
        <is>
          <t>David Toro Álvarez</t>
        </is>
      </c>
      <c r="C1594" t="inlineStr">
        <is>
          <t>3006928841</t>
        </is>
      </c>
      <c r="D1594" t="inlineStr">
        <is>
          <t>david.toro39@yahoo.com</t>
        </is>
      </c>
      <c r="E1594" t="inlineStr">
        <is>
          <t>La Estrella</t>
        </is>
      </c>
      <c r="F1594" t="inlineStr">
        <is>
          <t>PRY-002</t>
        </is>
      </c>
      <c r="G1594" t="inlineStr">
        <is>
          <t>Portal Web</t>
        </is>
      </c>
      <c r="H1594" t="inlineStr">
        <is>
          <t>Luis Bedoya</t>
        </is>
      </c>
      <c r="I1594" t="inlineStr">
        <is>
          <t>Ganado</t>
        </is>
      </c>
      <c r="J1594" s="28" t="n">
        <v>45785</v>
      </c>
      <c r="K1594" s="28" t="n">
        <v>45971</v>
      </c>
      <c r="L1594" t="inlineStr">
        <is>
          <t>Compró Casa 47 en Reserva Santa Elena</t>
        </is>
      </c>
    </row>
    <row r="1595">
      <c r="A1595" t="inlineStr">
        <is>
          <t>CLI-1593</t>
        </is>
      </c>
      <c r="B1595" t="inlineStr">
        <is>
          <t>Esteban Valencia Montes</t>
        </is>
      </c>
      <c r="C1595" t="inlineStr">
        <is>
          <t>3154820222</t>
        </is>
      </c>
      <c r="D1595" t="inlineStr">
        <is>
          <t>esteban.valencia3@hotmail.com</t>
        </is>
      </c>
      <c r="E1595" t="inlineStr">
        <is>
          <t>Rionegro</t>
        </is>
      </c>
      <c r="F1595" t="inlineStr">
        <is>
          <t>PRY-005</t>
        </is>
      </c>
      <c r="G1595" t="inlineStr">
        <is>
          <t>Instagram</t>
        </is>
      </c>
      <c r="H1595" t="inlineStr">
        <is>
          <t>Santiago Muñoz</t>
        </is>
      </c>
      <c r="I1595" t="inlineStr">
        <is>
          <t>Perdido</t>
        </is>
      </c>
      <c r="J1595" s="28" t="n">
        <v>45785</v>
      </c>
      <c r="K1595" s="28" t="n">
        <v>45790</v>
      </c>
      <c r="L1595" t="inlineStr">
        <is>
          <t>Sin respuesta tras 3 contactos</t>
        </is>
      </c>
    </row>
    <row r="1596">
      <c r="A1596" t="inlineStr">
        <is>
          <t>CLI-1594</t>
        </is>
      </c>
      <c r="B1596" t="inlineStr">
        <is>
          <t>Carolina Bedoya Salazar</t>
        </is>
      </c>
      <c r="C1596" t="inlineStr">
        <is>
          <t>3041999810</t>
        </is>
      </c>
      <c r="D1596" t="inlineStr">
        <is>
          <t>carolina.bedoya53@outlook.com</t>
        </is>
      </c>
      <c r="E1596" t="inlineStr">
        <is>
          <t>Medellín</t>
        </is>
      </c>
      <c r="F1596" t="inlineStr">
        <is>
          <t>PRY-002</t>
        </is>
      </c>
      <c r="G1596" t="inlineStr">
        <is>
          <t>Portal Web</t>
        </is>
      </c>
      <c r="H1596" t="inlineStr">
        <is>
          <t>Andrés Torres</t>
        </is>
      </c>
      <c r="I1596" t="inlineStr">
        <is>
          <t>Perdido</t>
        </is>
      </c>
      <c r="J1596" s="28" t="n">
        <v>45785</v>
      </c>
      <c r="K1596" s="28" t="n">
        <v>45812</v>
      </c>
      <c r="L1596" t="inlineStr">
        <is>
          <t>Sin respuesta tras 3 contactos</t>
        </is>
      </c>
    </row>
    <row r="1597">
      <c r="A1597" t="inlineStr">
        <is>
          <t>CLI-1595</t>
        </is>
      </c>
      <c r="B1597" t="inlineStr">
        <is>
          <t>Camila Marín Ríos</t>
        </is>
      </c>
      <c r="C1597" t="inlineStr">
        <is>
          <t>3151735629</t>
        </is>
      </c>
      <c r="D1597" t="inlineStr">
        <is>
          <t>camila.marin74@outlook.com</t>
        </is>
      </c>
      <c r="E1597" t="inlineStr">
        <is>
          <t>Itagüí</t>
        </is>
      </c>
      <c r="F1597" t="inlineStr">
        <is>
          <t>PRY-008</t>
        </is>
      </c>
      <c r="G1597" t="inlineStr">
        <is>
          <t>Instagram</t>
        </is>
      </c>
      <c r="H1597" t="inlineStr">
        <is>
          <t>Luis Bedoya</t>
        </is>
      </c>
      <c r="I1597" t="inlineStr">
        <is>
          <t>Perdido</t>
        </is>
      </c>
      <c r="J1597" s="28" t="n">
        <v>45786</v>
      </c>
      <c r="K1597" s="28" t="n">
        <v>45842</v>
      </c>
      <c r="L1597" t="inlineStr">
        <is>
          <t>Precio fuera de presupuesto</t>
        </is>
      </c>
    </row>
    <row r="1598">
      <c r="A1598" t="inlineStr">
        <is>
          <t>CLI-1596</t>
        </is>
      </c>
      <c r="B1598" t="inlineStr">
        <is>
          <t>Manuela Vélez Osorio</t>
        </is>
      </c>
      <c r="C1598" t="inlineStr">
        <is>
          <t>3231777865</t>
        </is>
      </c>
      <c r="D1598" t="inlineStr">
        <is>
          <t>manuela.velez80@yahoo.com</t>
        </is>
      </c>
      <c r="E1598" t="inlineStr">
        <is>
          <t>Rionegro</t>
        </is>
      </c>
      <c r="F1598" t="inlineStr">
        <is>
          <t>PRY-005</t>
        </is>
      </c>
      <c r="G1598" t="inlineStr">
        <is>
          <t>Llamada directa</t>
        </is>
      </c>
      <c r="H1598" t="inlineStr">
        <is>
          <t>Miguel Salazar</t>
        </is>
      </c>
      <c r="I1598" t="inlineStr">
        <is>
          <t>Perdido</t>
        </is>
      </c>
      <c r="J1598" s="28" t="n">
        <v>45786</v>
      </c>
      <c r="K1598" s="28" t="n">
        <v>45807</v>
      </c>
      <c r="L1598" t="inlineStr">
        <is>
          <t>Datos de contacto errados</t>
        </is>
      </c>
    </row>
    <row r="1599">
      <c r="A1599" t="inlineStr">
        <is>
          <t>CLI-1597</t>
        </is>
      </c>
      <c r="B1599" t="inlineStr">
        <is>
          <t>Nicolás Montes Palacio</t>
        </is>
      </c>
      <c r="C1599" t="inlineStr">
        <is>
          <t>3004654959</t>
        </is>
      </c>
      <c r="D1599" t="inlineStr">
        <is>
          <t>nicolas.montes8@hotmail.com</t>
        </is>
      </c>
      <c r="E1599" t="inlineStr">
        <is>
          <t>Rionegro</t>
        </is>
      </c>
      <c r="F1599" t="inlineStr">
        <is>
          <t>PRY-005</t>
        </is>
      </c>
      <c r="G1599" t="inlineStr">
        <is>
          <t>Facebook</t>
        </is>
      </c>
      <c r="H1599" t="inlineStr">
        <is>
          <t>Daniela Ríos</t>
        </is>
      </c>
      <c r="I1599" t="inlineStr">
        <is>
          <t>Perdido</t>
        </is>
      </c>
      <c r="J1599" s="28" t="n">
        <v>45786</v>
      </c>
      <c r="K1599" s="28" t="n">
        <v>45813</v>
      </c>
      <c r="L1599" t="inlineStr">
        <is>
          <t>Datos de contacto errados</t>
        </is>
      </c>
    </row>
    <row r="1600">
      <c r="A1600" t="inlineStr">
        <is>
          <t>CLI-1598</t>
        </is>
      </c>
      <c r="B1600" t="inlineStr">
        <is>
          <t>Santiago Restrepo Peláez</t>
        </is>
      </c>
      <c r="C1600" t="inlineStr">
        <is>
          <t>3108165519</t>
        </is>
      </c>
      <c r="D1600" t="inlineStr">
        <is>
          <t>santiago.restrepo43@outlook.com</t>
        </is>
      </c>
      <c r="E1600" t="inlineStr">
        <is>
          <t>Itagüí</t>
        </is>
      </c>
      <c r="F1600" t="inlineStr">
        <is>
          <t>PRY-008</t>
        </is>
      </c>
      <c r="G1600" t="inlineStr">
        <is>
          <t>Instagram</t>
        </is>
      </c>
      <c r="H1600" t="inlineStr">
        <is>
          <t>Juliana Vélez</t>
        </is>
      </c>
      <c r="I1600" t="inlineStr">
        <is>
          <t>Perdido</t>
        </is>
      </c>
      <c r="J1600" s="28" t="n">
        <v>45786</v>
      </c>
      <c r="K1600" s="28" t="n">
        <v>45805</v>
      </c>
      <c r="L1600" t="inlineStr">
        <is>
          <t>Sin respuesta tras 3 contactos</t>
        </is>
      </c>
    </row>
    <row r="1601">
      <c r="A1601" t="inlineStr">
        <is>
          <t>CLI-1599</t>
        </is>
      </c>
      <c r="B1601" t="inlineStr">
        <is>
          <t>Mateo Duque Betancur</t>
        </is>
      </c>
      <c r="C1601" t="inlineStr">
        <is>
          <t>3046282437</t>
        </is>
      </c>
      <c r="D1601" t="inlineStr">
        <is>
          <t>mateo.duque55@hotmail.com</t>
        </is>
      </c>
      <c r="E1601" t="inlineStr">
        <is>
          <t>Rionegro</t>
        </is>
      </c>
      <c r="F1601" t="inlineStr">
        <is>
          <t>PRY-003</t>
        </is>
      </c>
      <c r="G1601" t="inlineStr">
        <is>
          <t>Facebook</t>
        </is>
      </c>
      <c r="H1601" t="inlineStr">
        <is>
          <t>Paula Arenas</t>
        </is>
      </c>
      <c r="I1601" t="inlineStr">
        <is>
          <t>Ganado</t>
        </is>
      </c>
      <c r="J1601" s="28" t="n">
        <v>45787</v>
      </c>
      <c r="K1601" s="28" t="n">
        <v>45886</v>
      </c>
      <c r="L1601" t="inlineStr">
        <is>
          <t>Compró Apto 1103 en Conecta Laureles</t>
        </is>
      </c>
    </row>
    <row r="1602">
      <c r="A1602" t="inlineStr">
        <is>
          <t>CLI-1600</t>
        </is>
      </c>
      <c r="B1602" t="inlineStr">
        <is>
          <t>Paula Ramírez Agudelo</t>
        </is>
      </c>
      <c r="C1602" t="inlineStr">
        <is>
          <t>3019476318</t>
        </is>
      </c>
      <c r="D1602" t="inlineStr">
        <is>
          <t>paula.ramirez43@yahoo.com</t>
        </is>
      </c>
      <c r="E1602" t="inlineStr">
        <is>
          <t>Itagüí</t>
        </is>
      </c>
      <c r="F1602" t="inlineStr">
        <is>
          <t>PRY-001</t>
        </is>
      </c>
      <c r="G1602" t="inlineStr">
        <is>
          <t>Portal Web</t>
        </is>
      </c>
      <c r="H1602" t="inlineStr">
        <is>
          <t>Santiago Muñoz</t>
        </is>
      </c>
      <c r="I1602" t="inlineStr">
        <is>
          <t>Perdido</t>
        </is>
      </c>
      <c r="J1602" s="28" t="n">
        <v>45787</v>
      </c>
      <c r="K1602" s="28" t="n">
        <v>45816</v>
      </c>
      <c r="L1602" t="inlineStr">
        <is>
          <t>Sin respuesta tras 3 contactos</t>
        </is>
      </c>
    </row>
    <row r="1603">
      <c r="A1603" t="inlineStr">
        <is>
          <t>CLI-1601</t>
        </is>
      </c>
      <c r="B1603" t="inlineStr">
        <is>
          <t>Natalia Muñoz Jaramillo</t>
        </is>
      </c>
      <c r="C1603" t="inlineStr">
        <is>
          <t>3159886659</t>
        </is>
      </c>
      <c r="D1603" t="inlineStr">
        <is>
          <t>natalia.munoz25@hotmail.com</t>
        </is>
      </c>
      <c r="E1603" t="inlineStr">
        <is>
          <t>Medellín</t>
        </is>
      </c>
      <c r="F1603" t="inlineStr">
        <is>
          <t>PRY-003</t>
        </is>
      </c>
      <c r="G1603" t="inlineStr">
        <is>
          <t>Llamada directa</t>
        </is>
      </c>
      <c r="H1603" t="inlineStr">
        <is>
          <t>Luis Bedoya</t>
        </is>
      </c>
      <c r="I1603" t="inlineStr">
        <is>
          <t>Perdido</t>
        </is>
      </c>
      <c r="J1603" s="28" t="n">
        <v>45787</v>
      </c>
      <c r="K1603" s="28" t="n">
        <v>45817</v>
      </c>
      <c r="L1603" t="inlineStr">
        <is>
          <t>Buscaba arriendo, no compra</t>
        </is>
      </c>
    </row>
    <row r="1604">
      <c r="A1604" t="inlineStr">
        <is>
          <t>CLI-1602</t>
        </is>
      </c>
      <c r="B1604" t="inlineStr">
        <is>
          <t>Catalina Salazar Espinosa</t>
        </is>
      </c>
      <c r="C1604" t="inlineStr">
        <is>
          <t>3152174116</t>
        </is>
      </c>
      <c r="D1604" t="inlineStr">
        <is>
          <t>catalina.salazar69@yahoo.com</t>
        </is>
      </c>
      <c r="E1604" t="inlineStr">
        <is>
          <t>Medellín</t>
        </is>
      </c>
      <c r="F1604" t="inlineStr">
        <is>
          <t>PRY-003</t>
        </is>
      </c>
      <c r="G1604" t="inlineStr">
        <is>
          <t>Feria Inmobiliaria</t>
        </is>
      </c>
      <c r="H1604" t="inlineStr">
        <is>
          <t>Andrés Torres</t>
        </is>
      </c>
      <c r="I1604" t="inlineStr">
        <is>
          <t>Perdido</t>
        </is>
      </c>
      <c r="J1604" s="28" t="n">
        <v>45788</v>
      </c>
      <c r="K1604" s="28" t="n">
        <v>45870</v>
      </c>
      <c r="L1604" t="inlineStr">
        <is>
          <t>Eligió otro proyecto</t>
        </is>
      </c>
    </row>
    <row r="1605">
      <c r="A1605" t="inlineStr">
        <is>
          <t>CLI-1603</t>
        </is>
      </c>
      <c r="B1605" t="inlineStr">
        <is>
          <t>Natalia Vargas Pérez</t>
        </is>
      </c>
      <c r="C1605" t="inlineStr">
        <is>
          <t>3106347611</t>
        </is>
      </c>
      <c r="D1605" t="inlineStr">
        <is>
          <t>natalia.vargas95@outlook.com</t>
        </is>
      </c>
      <c r="E1605" t="inlineStr">
        <is>
          <t>Bello</t>
        </is>
      </c>
      <c r="F1605" t="inlineStr">
        <is>
          <t>PRY-008</t>
        </is>
      </c>
      <c r="G1605" t="inlineStr">
        <is>
          <t>Referido</t>
        </is>
      </c>
      <c r="H1605" t="inlineStr">
        <is>
          <t>Andrés Torres</t>
        </is>
      </c>
      <c r="I1605" t="inlineStr">
        <is>
          <t>Ganado</t>
        </is>
      </c>
      <c r="J1605" s="28" t="n">
        <v>45788</v>
      </c>
      <c r="K1605" s="28" t="n">
        <v>45892</v>
      </c>
      <c r="L1605" t="inlineStr">
        <is>
          <t>Compró Casa 101 en Valle Verde Itagüí</t>
        </is>
      </c>
    </row>
    <row r="1606">
      <c r="A1606" t="inlineStr">
        <is>
          <t>CLI-1604</t>
        </is>
      </c>
      <c r="B1606" t="inlineStr">
        <is>
          <t>Cristian Uribe Jaramillo</t>
        </is>
      </c>
      <c r="C1606" t="inlineStr">
        <is>
          <t>3007610413</t>
        </is>
      </c>
      <c r="D1606" t="inlineStr">
        <is>
          <t>cristian.uribe13@outlook.com</t>
        </is>
      </c>
      <c r="E1606" t="inlineStr">
        <is>
          <t>Rionegro</t>
        </is>
      </c>
      <c r="F1606" t="inlineStr">
        <is>
          <t>PRY-005</t>
        </is>
      </c>
      <c r="G1606" t="inlineStr">
        <is>
          <t>Instagram</t>
        </is>
      </c>
      <c r="H1606" t="inlineStr">
        <is>
          <t>Daniela Ríos</t>
        </is>
      </c>
      <c r="I1606" t="inlineStr">
        <is>
          <t>Ganado</t>
        </is>
      </c>
      <c r="J1606" s="28" t="n">
        <v>45788</v>
      </c>
      <c r="K1606" s="28" t="n">
        <v>45897</v>
      </c>
      <c r="L1606" t="inlineStr">
        <is>
          <t>Compró Apto 507 en Ciudadela Rionegro</t>
        </is>
      </c>
    </row>
    <row r="1607">
      <c r="A1607" t="inlineStr">
        <is>
          <t>CLI-1605</t>
        </is>
      </c>
      <c r="B1607" t="inlineStr">
        <is>
          <t>Ricardo Bedoya Cardona</t>
        </is>
      </c>
      <c r="C1607" t="inlineStr">
        <is>
          <t>3133695216</t>
        </is>
      </c>
      <c r="D1607" t="inlineStr">
        <is>
          <t>ricardo.bedoya49@yahoo.com</t>
        </is>
      </c>
      <c r="E1607" t="inlineStr">
        <is>
          <t>Rionegro</t>
        </is>
      </c>
      <c r="F1607" t="inlineStr">
        <is>
          <t>PRY-005</t>
        </is>
      </c>
      <c r="G1607" t="inlineStr">
        <is>
          <t>Feria Inmobiliaria</t>
        </is>
      </c>
      <c r="H1607" t="inlineStr">
        <is>
          <t>Miguel Salazar</t>
        </is>
      </c>
      <c r="I1607" t="inlineStr">
        <is>
          <t>Perdido</t>
        </is>
      </c>
      <c r="J1607" s="28" t="n">
        <v>45788</v>
      </c>
      <c r="K1607" s="28" t="n">
        <v>45803</v>
      </c>
      <c r="L1607" t="inlineStr">
        <is>
          <t>Sin respuesta tras 3 contactos</t>
        </is>
      </c>
    </row>
    <row r="1608">
      <c r="A1608" t="inlineStr">
        <is>
          <t>CLI-1606</t>
        </is>
      </c>
      <c r="B1608" t="inlineStr">
        <is>
          <t>Manuela Cifuentes Duque</t>
        </is>
      </c>
      <c r="C1608" t="inlineStr">
        <is>
          <t>3102090802</t>
        </is>
      </c>
      <c r="D1608" t="inlineStr">
        <is>
          <t>manuela.cifuentes8@yahoo.com</t>
        </is>
      </c>
      <c r="E1608" t="inlineStr">
        <is>
          <t>Medellín</t>
        </is>
      </c>
      <c r="F1608" t="inlineStr">
        <is>
          <t>PRY-003</t>
        </is>
      </c>
      <c r="G1608" t="inlineStr">
        <is>
          <t>Portal Web</t>
        </is>
      </c>
      <c r="H1608" t="inlineStr">
        <is>
          <t>Sofía Prada</t>
        </is>
      </c>
      <c r="I1608" t="inlineStr">
        <is>
          <t>Perdido</t>
        </is>
      </c>
      <c r="J1608" s="28" t="n">
        <v>45788</v>
      </c>
      <c r="K1608" s="28" t="n">
        <v>45813</v>
      </c>
      <c r="L1608" t="inlineStr">
        <is>
          <t>Sin respuesta tras 3 contactos</t>
        </is>
      </c>
    </row>
    <row r="1609">
      <c r="A1609" t="inlineStr">
        <is>
          <t>CLI-1607</t>
        </is>
      </c>
      <c r="B1609" t="inlineStr">
        <is>
          <t>Manuela Marín Cifuentes</t>
        </is>
      </c>
      <c r="C1609" t="inlineStr">
        <is>
          <t>3108468330</t>
        </is>
      </c>
      <c r="D1609" t="inlineStr">
        <is>
          <t>manuela.marin55@outlook.com</t>
        </is>
      </c>
      <c r="E1609" t="inlineStr">
        <is>
          <t>Envigado</t>
        </is>
      </c>
      <c r="F1609" t="inlineStr">
        <is>
          <t>PRY-007</t>
        </is>
      </c>
      <c r="G1609" t="inlineStr">
        <is>
          <t>Referido</t>
        </is>
      </c>
      <c r="H1609" t="inlineStr">
        <is>
          <t>Ana Quintero</t>
        </is>
      </c>
      <c r="I1609" t="inlineStr">
        <is>
          <t>Perdido</t>
        </is>
      </c>
      <c r="J1609" s="28" t="n">
        <v>45788</v>
      </c>
      <c r="K1609" s="28" t="n">
        <v>45816</v>
      </c>
      <c r="L1609" t="inlineStr">
        <is>
          <t>No calificó para crédito</t>
        </is>
      </c>
    </row>
    <row r="1610">
      <c r="A1610" t="inlineStr">
        <is>
          <t>CLI-1608</t>
        </is>
      </c>
      <c r="B1610" t="inlineStr">
        <is>
          <t>Patricia Higuita Vásquez</t>
        </is>
      </c>
      <c r="C1610" t="inlineStr">
        <is>
          <t>3179816801</t>
        </is>
      </c>
      <c r="D1610" t="inlineStr">
        <is>
          <t>patricia.higuita8@yahoo.com</t>
        </is>
      </c>
      <c r="E1610" t="inlineStr">
        <is>
          <t>Itagüí</t>
        </is>
      </c>
      <c r="F1610" t="inlineStr">
        <is>
          <t>PRY-008</t>
        </is>
      </c>
      <c r="G1610" t="inlineStr">
        <is>
          <t>Instagram</t>
        </is>
      </c>
      <c r="H1610" t="inlineStr">
        <is>
          <t>Andrés Torres</t>
        </is>
      </c>
      <c r="I1610" t="inlineStr">
        <is>
          <t>Perdido</t>
        </is>
      </c>
      <c r="J1610" s="28" t="n">
        <v>45788</v>
      </c>
      <c r="K1610" s="28" t="n">
        <v>45801</v>
      </c>
      <c r="L1610" t="inlineStr">
        <is>
          <t>Sin respuesta tras 3 contactos</t>
        </is>
      </c>
    </row>
    <row r="1611">
      <c r="A1611" t="inlineStr">
        <is>
          <t>CLI-1609</t>
        </is>
      </c>
      <c r="B1611" t="inlineStr">
        <is>
          <t>Simón Londoño Montes</t>
        </is>
      </c>
      <c r="C1611" t="inlineStr">
        <is>
          <t>3044164311</t>
        </is>
      </c>
      <c r="D1611" t="inlineStr">
        <is>
          <t>simon.londono32@gmail.com</t>
        </is>
      </c>
      <c r="E1611" t="inlineStr">
        <is>
          <t>La Estrella</t>
        </is>
      </c>
      <c r="F1611" t="inlineStr">
        <is>
          <t>PRY-007</t>
        </is>
      </c>
      <c r="G1611" t="inlineStr">
        <is>
          <t>Llamada directa</t>
        </is>
      </c>
      <c r="H1611" t="inlineStr">
        <is>
          <t>Miguel Salazar</t>
        </is>
      </c>
      <c r="I1611" t="inlineStr">
        <is>
          <t>Perdido</t>
        </is>
      </c>
      <c r="J1611" s="28" t="n">
        <v>45789</v>
      </c>
      <c r="K1611" s="28" t="n">
        <v>45809</v>
      </c>
      <c r="L1611" t="inlineStr">
        <is>
          <t>No calificó para crédito</t>
        </is>
      </c>
    </row>
    <row r="1612">
      <c r="A1612" t="inlineStr">
        <is>
          <t>CLI-1610</t>
        </is>
      </c>
      <c r="B1612" t="inlineStr">
        <is>
          <t>Mariana Toro Uribe</t>
        </is>
      </c>
      <c r="C1612" t="inlineStr">
        <is>
          <t>3241999430</t>
        </is>
      </c>
      <c r="D1612" t="inlineStr">
        <is>
          <t>mariana.toro97@gmail.com</t>
        </is>
      </c>
      <c r="E1612" t="inlineStr">
        <is>
          <t>Medellín</t>
        </is>
      </c>
      <c r="F1612" t="inlineStr">
        <is>
          <t>PRY-001</t>
        </is>
      </c>
      <c r="G1612" t="inlineStr">
        <is>
          <t>Portal Web</t>
        </is>
      </c>
      <c r="H1612" t="inlineStr">
        <is>
          <t>Santiago Muñoz</t>
        </is>
      </c>
      <c r="I1612" t="inlineStr">
        <is>
          <t>Perdido</t>
        </is>
      </c>
      <c r="J1612" s="28" t="n">
        <v>45789</v>
      </c>
      <c r="K1612" s="28" t="n">
        <v>45810</v>
      </c>
      <c r="L1612" t="inlineStr">
        <is>
          <t>Sin respuesta tras 3 contactos</t>
        </is>
      </c>
    </row>
    <row r="1613">
      <c r="A1613" t="inlineStr">
        <is>
          <t>CLI-1611</t>
        </is>
      </c>
      <c r="B1613" t="inlineStr">
        <is>
          <t>Simón Arango Toro</t>
        </is>
      </c>
      <c r="C1613" t="inlineStr">
        <is>
          <t>3106204723</t>
        </is>
      </c>
      <c r="D1613" t="inlineStr">
        <is>
          <t>simon.arango89@yahoo.com</t>
        </is>
      </c>
      <c r="E1613" t="inlineStr">
        <is>
          <t>Sabaneta</t>
        </is>
      </c>
      <c r="F1613" t="inlineStr">
        <is>
          <t>PRY-003</t>
        </is>
      </c>
      <c r="G1613" t="inlineStr">
        <is>
          <t>Feria Inmobiliaria</t>
        </is>
      </c>
      <c r="H1613" t="inlineStr">
        <is>
          <t>Daniela Ríos</t>
        </is>
      </c>
      <c r="I1613" t="inlineStr">
        <is>
          <t>Perdido</t>
        </is>
      </c>
      <c r="J1613" s="28" t="n">
        <v>45789</v>
      </c>
      <c r="K1613" s="28" t="n">
        <v>45814</v>
      </c>
      <c r="L1613" t="inlineStr">
        <is>
          <t>No calificó para crédito</t>
        </is>
      </c>
    </row>
    <row r="1614">
      <c r="A1614" t="inlineStr">
        <is>
          <t>CLI-1612</t>
        </is>
      </c>
      <c r="B1614" t="inlineStr">
        <is>
          <t>Alejandra Muñoz Arango</t>
        </is>
      </c>
      <c r="C1614" t="inlineStr">
        <is>
          <t>3041895203</t>
        </is>
      </c>
      <c r="D1614" t="inlineStr">
        <is>
          <t>alejandra.munoz81@gmail.com</t>
        </is>
      </c>
      <c r="E1614" t="inlineStr">
        <is>
          <t>Bello</t>
        </is>
      </c>
      <c r="F1614" t="inlineStr">
        <is>
          <t>PRY-006</t>
        </is>
      </c>
      <c r="G1614" t="inlineStr">
        <is>
          <t>Feria Inmobiliaria</t>
        </is>
      </c>
      <c r="H1614" t="inlineStr">
        <is>
          <t>Luis Bedoya</t>
        </is>
      </c>
      <c r="I1614" t="inlineStr">
        <is>
          <t>Ganado</t>
        </is>
      </c>
      <c r="J1614" s="28" t="n">
        <v>45790</v>
      </c>
      <c r="K1614" s="28" t="n">
        <v>45926</v>
      </c>
      <c r="L1614" t="inlineStr">
        <is>
          <t>Compró Local 3 en Plaza Bello</t>
        </is>
      </c>
    </row>
    <row r="1615">
      <c r="A1615" t="inlineStr">
        <is>
          <t>CLI-1613</t>
        </is>
      </c>
      <c r="B1615" t="inlineStr">
        <is>
          <t>Carolina Gaviria Vargas</t>
        </is>
      </c>
      <c r="C1615" t="inlineStr">
        <is>
          <t>3004231291</t>
        </is>
      </c>
      <c r="D1615" t="inlineStr">
        <is>
          <t>carolina.gaviria69@yahoo.com</t>
        </is>
      </c>
      <c r="E1615" t="inlineStr">
        <is>
          <t>Medellín</t>
        </is>
      </c>
      <c r="F1615" t="inlineStr">
        <is>
          <t>PRY-003</t>
        </is>
      </c>
      <c r="G1615" t="inlineStr">
        <is>
          <t>Referido</t>
        </is>
      </c>
      <c r="H1615" t="inlineStr">
        <is>
          <t>Ana Quintero</t>
        </is>
      </c>
      <c r="I1615" t="inlineStr">
        <is>
          <t>Ganado</t>
        </is>
      </c>
      <c r="J1615" s="28" t="n">
        <v>45790</v>
      </c>
      <c r="K1615" s="28" t="n">
        <v>45861</v>
      </c>
      <c r="L1615" t="inlineStr">
        <is>
          <t>Compró Apto 2005 en Conecta Laureles</t>
        </is>
      </c>
    </row>
    <row r="1616">
      <c r="A1616" t="inlineStr">
        <is>
          <t>CLI-1614</t>
        </is>
      </c>
      <c r="B1616" t="inlineStr">
        <is>
          <t>Mauricio Cifuentes Echeverri</t>
        </is>
      </c>
      <c r="C1616" t="inlineStr">
        <is>
          <t>3108436479</t>
        </is>
      </c>
      <c r="D1616" t="inlineStr">
        <is>
          <t>mauricio.cifuentes36@hotmail.com</t>
        </is>
      </c>
      <c r="E1616" t="inlineStr">
        <is>
          <t>Itagüí</t>
        </is>
      </c>
      <c r="F1616" t="inlineStr">
        <is>
          <t>PRY-008</t>
        </is>
      </c>
      <c r="G1616" t="inlineStr">
        <is>
          <t>Facebook</t>
        </is>
      </c>
      <c r="H1616" t="inlineStr">
        <is>
          <t>Ana Quintero</t>
        </is>
      </c>
      <c r="I1616" t="inlineStr">
        <is>
          <t>Perdido</t>
        </is>
      </c>
      <c r="J1616" s="28" t="n">
        <v>45790</v>
      </c>
      <c r="K1616" s="28" t="n">
        <v>45797</v>
      </c>
      <c r="L1616" t="inlineStr">
        <is>
          <t>No calificó para crédito</t>
        </is>
      </c>
    </row>
    <row r="1617">
      <c r="A1617" t="inlineStr">
        <is>
          <t>CLI-1615</t>
        </is>
      </c>
      <c r="B1617" t="inlineStr">
        <is>
          <t>Paola Cardona Pérez</t>
        </is>
      </c>
      <c r="C1617" t="inlineStr">
        <is>
          <t>3103491413</t>
        </is>
      </c>
      <c r="D1617" t="inlineStr">
        <is>
          <t>paola.cardona75@gmail.com</t>
        </is>
      </c>
      <c r="E1617" t="inlineStr">
        <is>
          <t>La Estrella</t>
        </is>
      </c>
      <c r="F1617" t="inlineStr">
        <is>
          <t>PRY-007</t>
        </is>
      </c>
      <c r="G1617" t="inlineStr">
        <is>
          <t>Facebook</t>
        </is>
      </c>
      <c r="H1617" t="inlineStr">
        <is>
          <t>Andrés Torres</t>
        </is>
      </c>
      <c r="I1617" t="inlineStr">
        <is>
          <t>Perdido</t>
        </is>
      </c>
      <c r="J1617" s="28" t="n">
        <v>45790</v>
      </c>
      <c r="K1617" s="28" t="n">
        <v>45797</v>
      </c>
      <c r="L1617" t="inlineStr">
        <is>
          <t>Datos de contacto errados</t>
        </is>
      </c>
    </row>
    <row r="1618">
      <c r="A1618" t="inlineStr">
        <is>
          <t>CLI-1616</t>
        </is>
      </c>
      <c r="B1618" t="inlineStr">
        <is>
          <t>Iván Restrepo Zapata</t>
        </is>
      </c>
      <c r="C1618" t="inlineStr">
        <is>
          <t>3005940887</t>
        </is>
      </c>
      <c r="D1618" t="inlineStr">
        <is>
          <t>ivan.restrepo33@outlook.com</t>
        </is>
      </c>
      <c r="E1618" t="inlineStr">
        <is>
          <t>Medellín</t>
        </is>
      </c>
      <c r="F1618" t="inlineStr">
        <is>
          <t>PRY-001</t>
        </is>
      </c>
      <c r="G1618" t="inlineStr">
        <is>
          <t>Portal Web</t>
        </is>
      </c>
      <c r="H1618" t="inlineStr">
        <is>
          <t>Andrés Torres</t>
        </is>
      </c>
      <c r="I1618" t="inlineStr">
        <is>
          <t>Perdido</t>
        </is>
      </c>
      <c r="J1618" s="28" t="n">
        <v>45790</v>
      </c>
      <c r="K1618" s="28" t="n">
        <v>45799</v>
      </c>
      <c r="L1618" t="inlineStr">
        <is>
          <t>Presupuesto insuficiente</t>
        </is>
      </c>
    </row>
    <row r="1619">
      <c r="A1619" t="inlineStr">
        <is>
          <t>CLI-1617</t>
        </is>
      </c>
      <c r="B1619" t="inlineStr">
        <is>
          <t>Juliana Correa Quintero</t>
        </is>
      </c>
      <c r="C1619" t="inlineStr">
        <is>
          <t>3176722317</t>
        </is>
      </c>
      <c r="D1619" t="inlineStr">
        <is>
          <t>juliana.correa67@hotmail.com</t>
        </is>
      </c>
      <c r="E1619" t="inlineStr">
        <is>
          <t>Medellín</t>
        </is>
      </c>
      <c r="F1619" t="inlineStr">
        <is>
          <t>PRY-005</t>
        </is>
      </c>
      <c r="G1619" t="inlineStr">
        <is>
          <t>Facebook</t>
        </is>
      </c>
      <c r="H1619" t="inlineStr">
        <is>
          <t>Juliana Vélez</t>
        </is>
      </c>
      <c r="I1619" t="inlineStr">
        <is>
          <t>Perdido</t>
        </is>
      </c>
      <c r="J1619" s="28" t="n">
        <v>45790</v>
      </c>
      <c r="K1619" s="28" t="n">
        <v>45795</v>
      </c>
      <c r="L1619" t="inlineStr">
        <is>
          <t>No calificó para crédito</t>
        </is>
      </c>
    </row>
    <row r="1620">
      <c r="A1620" t="inlineStr">
        <is>
          <t>CLI-1618</t>
        </is>
      </c>
      <c r="B1620" t="inlineStr">
        <is>
          <t>Liliana Ramírez Salazar</t>
        </is>
      </c>
      <c r="C1620" t="inlineStr">
        <is>
          <t>3042793544</t>
        </is>
      </c>
      <c r="D1620" t="inlineStr">
        <is>
          <t>liliana.ramirez22@hotmail.com</t>
        </is>
      </c>
      <c r="E1620" t="inlineStr">
        <is>
          <t>Medellín</t>
        </is>
      </c>
      <c r="F1620" t="inlineStr">
        <is>
          <t>PRY-001</t>
        </is>
      </c>
      <c r="G1620" t="inlineStr">
        <is>
          <t>Facebook</t>
        </is>
      </c>
      <c r="H1620" t="inlineStr">
        <is>
          <t>Paula Arenas</t>
        </is>
      </c>
      <c r="I1620" t="inlineStr">
        <is>
          <t>Perdido</t>
        </is>
      </c>
      <c r="J1620" s="28" t="n">
        <v>45790</v>
      </c>
      <c r="K1620" s="28" t="n">
        <v>45804</v>
      </c>
      <c r="L1620" t="inlineStr">
        <is>
          <t>Buscaba arriendo, no compra</t>
        </is>
      </c>
    </row>
    <row r="1621">
      <c r="A1621" t="inlineStr">
        <is>
          <t>CLI-1619</t>
        </is>
      </c>
      <c r="B1621" t="inlineStr">
        <is>
          <t>Mateo Palacio Ochoa</t>
        </is>
      </c>
      <c r="C1621" t="inlineStr">
        <is>
          <t>3238487410</t>
        </is>
      </c>
      <c r="D1621" t="inlineStr">
        <is>
          <t>mateo.palacio3@gmail.com</t>
        </is>
      </c>
      <c r="E1621" t="inlineStr">
        <is>
          <t>Sabaneta</t>
        </is>
      </c>
      <c r="F1621" t="inlineStr">
        <is>
          <t>PRY-002</t>
        </is>
      </c>
      <c r="G1621" t="inlineStr">
        <is>
          <t>Portal Web</t>
        </is>
      </c>
      <c r="H1621" t="inlineStr">
        <is>
          <t>Sofía Prada</t>
        </is>
      </c>
      <c r="I1621" t="inlineStr">
        <is>
          <t>Perdido</t>
        </is>
      </c>
      <c r="J1621" s="28" t="n">
        <v>45791</v>
      </c>
      <c r="K1621" s="28" t="n">
        <v>45920</v>
      </c>
      <c r="L1621" t="inlineStr">
        <is>
          <t>Precio fuera de presupuesto</t>
        </is>
      </c>
    </row>
    <row r="1622">
      <c r="A1622" t="inlineStr">
        <is>
          <t>CLI-1620</t>
        </is>
      </c>
      <c r="B1622" t="inlineStr">
        <is>
          <t>Alejandra Montoya Agudelo</t>
        </is>
      </c>
      <c r="C1622" t="inlineStr">
        <is>
          <t>3223098474</t>
        </is>
      </c>
      <c r="D1622" t="inlineStr">
        <is>
          <t>alejandra.montoya72@gmail.com</t>
        </is>
      </c>
      <c r="E1622" t="inlineStr">
        <is>
          <t>Bello</t>
        </is>
      </c>
      <c r="F1622" t="inlineStr">
        <is>
          <t>PRY-006</t>
        </is>
      </c>
      <c r="G1622" t="inlineStr">
        <is>
          <t>Portal Web</t>
        </is>
      </c>
      <c r="H1622" t="inlineStr">
        <is>
          <t>Sofía Prada</t>
        </is>
      </c>
      <c r="I1622" t="inlineStr">
        <is>
          <t>Ganado</t>
        </is>
      </c>
      <c r="J1622" s="28" t="n">
        <v>45791</v>
      </c>
      <c r="K1622" s="28" t="n">
        <v>45910</v>
      </c>
      <c r="L1622" t="inlineStr">
        <is>
          <t>Compró Local 39 en Plaza Bello</t>
        </is>
      </c>
    </row>
    <row r="1623">
      <c r="A1623" t="inlineStr">
        <is>
          <t>CLI-1621</t>
        </is>
      </c>
      <c r="B1623" t="inlineStr">
        <is>
          <t>Sandra Álvarez Gómez</t>
        </is>
      </c>
      <c r="C1623" t="inlineStr">
        <is>
          <t>3018687128</t>
        </is>
      </c>
      <c r="D1623" t="inlineStr">
        <is>
          <t>sandra.alvarez37@yahoo.com</t>
        </is>
      </c>
      <c r="E1623" t="inlineStr">
        <is>
          <t>Medellín</t>
        </is>
      </c>
      <c r="F1623" t="inlineStr">
        <is>
          <t>PRY-003</t>
        </is>
      </c>
      <c r="G1623" t="inlineStr">
        <is>
          <t>Portal Web</t>
        </is>
      </c>
      <c r="H1623" t="inlineStr">
        <is>
          <t>Luis Bedoya</t>
        </is>
      </c>
      <c r="I1623" t="inlineStr">
        <is>
          <t>Perdido</t>
        </is>
      </c>
      <c r="J1623" s="28" t="n">
        <v>45791</v>
      </c>
      <c r="K1623" s="28" t="n">
        <v>45876</v>
      </c>
      <c r="L1623" t="inlineStr">
        <is>
          <t>Crédito no aprobado</t>
        </is>
      </c>
    </row>
    <row r="1624">
      <c r="A1624" t="inlineStr">
        <is>
          <t>CLI-1622</t>
        </is>
      </c>
      <c r="B1624" t="inlineStr">
        <is>
          <t>Diego Gaviria Osorio</t>
        </is>
      </c>
      <c r="C1624" t="inlineStr">
        <is>
          <t>3102602186</t>
        </is>
      </c>
      <c r="D1624" t="inlineStr">
        <is>
          <t>diego.gaviria94@gmail.com</t>
        </is>
      </c>
      <c r="E1624" t="inlineStr">
        <is>
          <t>Medellín</t>
        </is>
      </c>
      <c r="F1624" t="inlineStr">
        <is>
          <t>PRY-003</t>
        </is>
      </c>
      <c r="G1624" t="inlineStr">
        <is>
          <t>Feria Inmobiliaria</t>
        </is>
      </c>
      <c r="H1624" t="inlineStr">
        <is>
          <t>Paula Arenas</t>
        </is>
      </c>
      <c r="I1624" t="inlineStr">
        <is>
          <t>Ganado</t>
        </is>
      </c>
      <c r="J1624" s="28" t="n">
        <v>45791</v>
      </c>
      <c r="K1624" s="28" t="n">
        <v>45935</v>
      </c>
      <c r="L1624" t="inlineStr">
        <is>
          <t>Compró Apto 1104 en Conecta Laureles</t>
        </is>
      </c>
    </row>
    <row r="1625">
      <c r="A1625" t="inlineStr">
        <is>
          <t>CLI-1623</t>
        </is>
      </c>
      <c r="B1625" t="inlineStr">
        <is>
          <t>Wilson Jaramillo Ramírez</t>
        </is>
      </c>
      <c r="C1625" t="inlineStr">
        <is>
          <t>3131052006</t>
        </is>
      </c>
      <c r="D1625" t="inlineStr">
        <is>
          <t>wilson.jaramillo64@hotmail.com</t>
        </is>
      </c>
      <c r="E1625" t="inlineStr">
        <is>
          <t>Bello</t>
        </is>
      </c>
      <c r="F1625" t="inlineStr">
        <is>
          <t>PRY-008</t>
        </is>
      </c>
      <c r="G1625" t="inlineStr">
        <is>
          <t>Portal Web</t>
        </is>
      </c>
      <c r="H1625" t="inlineStr">
        <is>
          <t>Santiago Muñoz</t>
        </is>
      </c>
      <c r="I1625" t="inlineStr">
        <is>
          <t>Perdido</t>
        </is>
      </c>
      <c r="J1625" s="28" t="n">
        <v>45791</v>
      </c>
      <c r="K1625" s="28" t="n">
        <v>45807</v>
      </c>
      <c r="L1625" t="inlineStr">
        <is>
          <t>Presupuesto insuficiente</t>
        </is>
      </c>
    </row>
    <row r="1626">
      <c r="A1626" t="inlineStr">
        <is>
          <t>CLI-1624</t>
        </is>
      </c>
      <c r="B1626" t="inlineStr">
        <is>
          <t>Cristian Vélez Palacio</t>
        </is>
      </c>
      <c r="C1626" t="inlineStr">
        <is>
          <t>3238264459</t>
        </is>
      </c>
      <c r="D1626" t="inlineStr">
        <is>
          <t>cristian.velez16@gmail.com</t>
        </is>
      </c>
      <c r="E1626" t="inlineStr">
        <is>
          <t>La Estrella</t>
        </is>
      </c>
      <c r="F1626" t="inlineStr">
        <is>
          <t>PRY-006</t>
        </is>
      </c>
      <c r="G1626" t="inlineStr">
        <is>
          <t>Referido</t>
        </is>
      </c>
      <c r="H1626" t="inlineStr">
        <is>
          <t>Paula Arenas</t>
        </is>
      </c>
      <c r="I1626" t="inlineStr">
        <is>
          <t>Perdido</t>
        </is>
      </c>
      <c r="J1626" s="28" t="n">
        <v>45792</v>
      </c>
      <c r="K1626" s="28" t="n">
        <v>45907</v>
      </c>
      <c r="L1626" t="inlineStr">
        <is>
          <t>Precio fuera de presupuesto</t>
        </is>
      </c>
    </row>
    <row r="1627">
      <c r="A1627" t="inlineStr">
        <is>
          <t>CLI-1625</t>
        </is>
      </c>
      <c r="B1627" t="inlineStr">
        <is>
          <t>Cristian Vargas Correa</t>
        </is>
      </c>
      <c r="C1627" t="inlineStr">
        <is>
          <t>3149030557</t>
        </is>
      </c>
      <c r="D1627" t="inlineStr">
        <is>
          <t>cristian.vargas3@gmail.com</t>
        </is>
      </c>
      <c r="E1627" t="inlineStr">
        <is>
          <t>Bello</t>
        </is>
      </c>
      <c r="F1627" t="inlineStr">
        <is>
          <t>PRY-005</t>
        </is>
      </c>
      <c r="G1627" t="inlineStr">
        <is>
          <t>Instagram</t>
        </is>
      </c>
      <c r="H1627" t="inlineStr">
        <is>
          <t>Sofía Prada</t>
        </is>
      </c>
      <c r="I1627" t="inlineStr">
        <is>
          <t>Perdido</t>
        </is>
      </c>
      <c r="J1627" s="28" t="n">
        <v>45792</v>
      </c>
      <c r="K1627" s="28" t="n">
        <v>45917</v>
      </c>
      <c r="L1627" t="inlineStr">
        <is>
          <t>Precio fuera de presupuesto</t>
        </is>
      </c>
    </row>
    <row r="1628">
      <c r="A1628" t="inlineStr">
        <is>
          <t>CLI-1626</t>
        </is>
      </c>
      <c r="B1628" t="inlineStr">
        <is>
          <t>Juan Pablo Quintero López</t>
        </is>
      </c>
      <c r="C1628" t="inlineStr">
        <is>
          <t>3231597624</t>
        </is>
      </c>
      <c r="D1628" t="inlineStr">
        <is>
          <t>juan.quintero5@gmail.com</t>
        </is>
      </c>
      <c r="E1628" t="inlineStr">
        <is>
          <t>Medellín</t>
        </is>
      </c>
      <c r="F1628" t="inlineStr">
        <is>
          <t>PRY-001</t>
        </is>
      </c>
      <c r="G1628" t="inlineStr">
        <is>
          <t>Portal Web</t>
        </is>
      </c>
      <c r="H1628" t="inlineStr">
        <is>
          <t>Luis Bedoya</t>
        </is>
      </c>
      <c r="I1628" t="inlineStr">
        <is>
          <t>Ganado</t>
        </is>
      </c>
      <c r="J1628" s="28" t="n">
        <v>45792</v>
      </c>
      <c r="K1628" s="28" t="n">
        <v>45953</v>
      </c>
      <c r="L1628" t="inlineStr">
        <is>
          <t>Compró Apto 501 en Torres del Poblado</t>
        </is>
      </c>
    </row>
    <row r="1629">
      <c r="A1629" t="inlineStr">
        <is>
          <t>CLI-1627</t>
        </is>
      </c>
      <c r="B1629" t="inlineStr">
        <is>
          <t>Jhon Muñoz Ochoa</t>
        </is>
      </c>
      <c r="C1629" t="inlineStr">
        <is>
          <t>3239080463</t>
        </is>
      </c>
      <c r="D1629" t="inlineStr">
        <is>
          <t>jhon.munoz77@outlook.com</t>
        </is>
      </c>
      <c r="E1629" t="inlineStr">
        <is>
          <t>Envigado</t>
        </is>
      </c>
      <c r="F1629" t="inlineStr">
        <is>
          <t>PRY-005</t>
        </is>
      </c>
      <c r="G1629" t="inlineStr">
        <is>
          <t>Feria Inmobiliaria</t>
        </is>
      </c>
      <c r="H1629" t="inlineStr">
        <is>
          <t>Juliana Vélez</t>
        </is>
      </c>
      <c r="I1629" t="inlineStr">
        <is>
          <t>Perdido</t>
        </is>
      </c>
      <c r="J1629" s="28" t="n">
        <v>45792</v>
      </c>
      <c r="K1629" s="28" t="n">
        <v>45874</v>
      </c>
      <c r="L1629" t="inlineStr">
        <is>
          <t>Eligió otro proyecto</t>
        </is>
      </c>
    </row>
    <row r="1630">
      <c r="A1630" t="inlineStr">
        <is>
          <t>CLI-1628</t>
        </is>
      </c>
      <c r="B1630" t="inlineStr">
        <is>
          <t>Juliana Agudelo Cifuentes</t>
        </is>
      </c>
      <c r="C1630" t="inlineStr">
        <is>
          <t>3203458595</t>
        </is>
      </c>
      <c r="D1630" t="inlineStr">
        <is>
          <t>juliana.agudelo45@gmail.com</t>
        </is>
      </c>
      <c r="E1630" t="inlineStr">
        <is>
          <t>Rionegro</t>
        </is>
      </c>
      <c r="F1630" t="inlineStr">
        <is>
          <t>PRY-001</t>
        </is>
      </c>
      <c r="G1630" t="inlineStr">
        <is>
          <t>Instagram</t>
        </is>
      </c>
      <c r="H1630" t="inlineStr">
        <is>
          <t>Sofía Prada</t>
        </is>
      </c>
      <c r="I1630" t="inlineStr">
        <is>
          <t>Perdido</t>
        </is>
      </c>
      <c r="J1630" s="28" t="n">
        <v>45792</v>
      </c>
      <c r="K1630" s="28" t="n">
        <v>45822</v>
      </c>
      <c r="L1630" t="inlineStr">
        <is>
          <t>Sin respuesta tras 3 contactos</t>
        </is>
      </c>
    </row>
    <row r="1631">
      <c r="A1631" t="inlineStr">
        <is>
          <t>CLI-1629</t>
        </is>
      </c>
      <c r="B1631" t="inlineStr">
        <is>
          <t>Mariana Cano Toro</t>
        </is>
      </c>
      <c r="C1631" t="inlineStr">
        <is>
          <t>3102825421</t>
        </is>
      </c>
      <c r="D1631" t="inlineStr">
        <is>
          <t>mariana.cano37@hotmail.com</t>
        </is>
      </c>
      <c r="E1631" t="inlineStr">
        <is>
          <t>Rionegro</t>
        </is>
      </c>
      <c r="F1631" t="inlineStr">
        <is>
          <t>PRY-007</t>
        </is>
      </c>
      <c r="G1631" t="inlineStr">
        <is>
          <t>Referido</t>
        </is>
      </c>
      <c r="H1631" t="inlineStr">
        <is>
          <t>Andrés Torres</t>
        </is>
      </c>
      <c r="I1631" t="inlineStr">
        <is>
          <t>Perdido</t>
        </is>
      </c>
      <c r="J1631" s="28" t="n">
        <v>45792</v>
      </c>
      <c r="K1631" s="28" t="n">
        <v>45820</v>
      </c>
      <c r="L1631" t="inlineStr">
        <is>
          <t>Datos de contacto errados</t>
        </is>
      </c>
    </row>
    <row r="1632">
      <c r="A1632" t="inlineStr">
        <is>
          <t>CLI-1630</t>
        </is>
      </c>
      <c r="B1632" t="inlineStr">
        <is>
          <t>Rodrigo Henao Marín</t>
        </is>
      </c>
      <c r="C1632" t="inlineStr">
        <is>
          <t>3008943153</t>
        </is>
      </c>
      <c r="D1632" t="inlineStr">
        <is>
          <t>rodrigo.henao83@hotmail.com</t>
        </is>
      </c>
      <c r="E1632" t="inlineStr">
        <is>
          <t>Medellín</t>
        </is>
      </c>
      <c r="F1632" t="inlineStr">
        <is>
          <t>PRY-002</t>
        </is>
      </c>
      <c r="G1632" t="inlineStr">
        <is>
          <t>Facebook</t>
        </is>
      </c>
      <c r="H1632" t="inlineStr">
        <is>
          <t>Ana Quintero</t>
        </is>
      </c>
      <c r="I1632" t="inlineStr">
        <is>
          <t>Perdido</t>
        </is>
      </c>
      <c r="J1632" s="28" t="n">
        <v>45792</v>
      </c>
      <c r="K1632" s="28" t="n">
        <v>45819</v>
      </c>
      <c r="L1632" t="inlineStr">
        <is>
          <t>Sin respuesta tras 3 contactos</t>
        </is>
      </c>
    </row>
    <row r="1633">
      <c r="A1633" t="inlineStr">
        <is>
          <t>CLI-1631</t>
        </is>
      </c>
      <c r="B1633" t="inlineStr">
        <is>
          <t>Simón Rojas Escobar</t>
        </is>
      </c>
      <c r="C1633" t="inlineStr">
        <is>
          <t>3232965032</t>
        </is>
      </c>
      <c r="D1633" t="inlineStr">
        <is>
          <t>simon.rojas60@hotmail.com</t>
        </is>
      </c>
      <c r="E1633" t="inlineStr">
        <is>
          <t>Bello</t>
        </is>
      </c>
      <c r="F1633" t="inlineStr">
        <is>
          <t>PRY-006</t>
        </is>
      </c>
      <c r="G1633" t="inlineStr">
        <is>
          <t>Portal Web</t>
        </is>
      </c>
      <c r="H1633" t="inlineStr">
        <is>
          <t>Miguel Salazar</t>
        </is>
      </c>
      <c r="I1633" t="inlineStr">
        <is>
          <t>Ganado</t>
        </is>
      </c>
      <c r="J1633" s="28" t="n">
        <v>45793</v>
      </c>
      <c r="K1633" s="28" t="n">
        <v>45886</v>
      </c>
      <c r="L1633" t="inlineStr">
        <is>
          <t>Compró Local 37 en Plaza Bello</t>
        </is>
      </c>
    </row>
    <row r="1634">
      <c r="A1634" t="inlineStr">
        <is>
          <t>CLI-1632</t>
        </is>
      </c>
      <c r="B1634" t="inlineStr">
        <is>
          <t>Rodrigo Hernández Vélez</t>
        </is>
      </c>
      <c r="C1634" t="inlineStr">
        <is>
          <t>3239386513</t>
        </is>
      </c>
      <c r="D1634" t="inlineStr">
        <is>
          <t>rodrigo.hernandez2@hotmail.com</t>
        </is>
      </c>
      <c r="E1634" t="inlineStr">
        <is>
          <t>Medellín</t>
        </is>
      </c>
      <c r="F1634" t="inlineStr">
        <is>
          <t>PRY-003</t>
        </is>
      </c>
      <c r="G1634" t="inlineStr">
        <is>
          <t>Facebook</t>
        </is>
      </c>
      <c r="H1634" t="inlineStr">
        <is>
          <t>Miguel Salazar</t>
        </is>
      </c>
      <c r="I1634" t="inlineStr">
        <is>
          <t>Perdido</t>
        </is>
      </c>
      <c r="J1634" s="28" t="n">
        <v>45793</v>
      </c>
      <c r="K1634" s="28" t="n">
        <v>45810</v>
      </c>
      <c r="L1634" t="inlineStr">
        <is>
          <t>Presupuesto insuficiente</t>
        </is>
      </c>
    </row>
    <row r="1635">
      <c r="A1635" t="inlineStr">
        <is>
          <t>CLI-1633</t>
        </is>
      </c>
      <c r="B1635" t="inlineStr">
        <is>
          <t>Hernán Ochoa Toro</t>
        </is>
      </c>
      <c r="C1635" t="inlineStr">
        <is>
          <t>3139743171</t>
        </is>
      </c>
      <c r="D1635" t="inlineStr">
        <is>
          <t>hernan.ochoa25@yahoo.com</t>
        </is>
      </c>
      <c r="E1635" t="inlineStr">
        <is>
          <t>Itagüí</t>
        </is>
      </c>
      <c r="F1635" t="inlineStr">
        <is>
          <t>PRY-008</t>
        </is>
      </c>
      <c r="G1635" t="inlineStr">
        <is>
          <t>Portal Web</t>
        </is>
      </c>
      <c r="H1635" t="inlineStr">
        <is>
          <t>Juliana Vélez</t>
        </is>
      </c>
      <c r="I1635" t="inlineStr">
        <is>
          <t>Perdido</t>
        </is>
      </c>
      <c r="J1635" s="28" t="n">
        <v>45794</v>
      </c>
      <c r="K1635" s="28" t="n">
        <v>45838</v>
      </c>
      <c r="L1635" t="inlineStr">
        <is>
          <t>Crédito no aprobado</t>
        </is>
      </c>
    </row>
    <row r="1636">
      <c r="A1636" t="inlineStr">
        <is>
          <t>CLI-1634</t>
        </is>
      </c>
      <c r="B1636" t="inlineStr">
        <is>
          <t>Katherine Giraldo Franco</t>
        </is>
      </c>
      <c r="C1636" t="inlineStr">
        <is>
          <t>3004769294</t>
        </is>
      </c>
      <c r="D1636" t="inlineStr">
        <is>
          <t>katherine.giraldo71@gmail.com</t>
        </is>
      </c>
      <c r="E1636" t="inlineStr">
        <is>
          <t>Medellín</t>
        </is>
      </c>
      <c r="F1636" t="inlineStr">
        <is>
          <t>PRY-002</t>
        </is>
      </c>
      <c r="G1636" t="inlineStr">
        <is>
          <t>Portal Web</t>
        </is>
      </c>
      <c r="H1636" t="inlineStr">
        <is>
          <t>Miguel Salazar</t>
        </is>
      </c>
      <c r="I1636" t="inlineStr">
        <is>
          <t>Ganado</t>
        </is>
      </c>
      <c r="J1636" s="28" t="n">
        <v>45794</v>
      </c>
      <c r="K1636" s="28" t="n">
        <v>45952</v>
      </c>
      <c r="L1636" t="inlineStr">
        <is>
          <t>Compró Casa 36 en Reserva Santa Elena</t>
        </is>
      </c>
    </row>
    <row r="1637">
      <c r="A1637" t="inlineStr">
        <is>
          <t>CLI-1635</t>
        </is>
      </c>
      <c r="B1637" t="inlineStr">
        <is>
          <t>Alejandro Quintero Álvarez</t>
        </is>
      </c>
      <c r="C1637" t="inlineStr">
        <is>
          <t>3239436036</t>
        </is>
      </c>
      <c r="D1637" t="inlineStr">
        <is>
          <t>alejandro.quintero49@hotmail.com</t>
        </is>
      </c>
      <c r="E1637" t="inlineStr">
        <is>
          <t>Sabaneta</t>
        </is>
      </c>
      <c r="F1637" t="inlineStr">
        <is>
          <t>PRY-005</t>
        </is>
      </c>
      <c r="G1637" t="inlineStr">
        <is>
          <t>Llamada directa</t>
        </is>
      </c>
      <c r="H1637" t="inlineStr">
        <is>
          <t>Daniela Ríos</t>
        </is>
      </c>
      <c r="I1637" t="inlineStr">
        <is>
          <t>Perdido</t>
        </is>
      </c>
      <c r="J1637" s="28" t="n">
        <v>45794</v>
      </c>
      <c r="K1637" s="28" t="n">
        <v>45823</v>
      </c>
      <c r="L1637" t="inlineStr">
        <is>
          <t>Buscaba arriendo, no compra</t>
        </is>
      </c>
    </row>
    <row r="1638">
      <c r="A1638" t="inlineStr">
        <is>
          <t>CLI-1636</t>
        </is>
      </c>
      <c r="B1638" t="inlineStr">
        <is>
          <t>Katherine Pérez Quintero</t>
        </is>
      </c>
      <c r="C1638" t="inlineStr">
        <is>
          <t>3045167513</t>
        </is>
      </c>
      <c r="D1638" t="inlineStr">
        <is>
          <t>katherine.perez75@outlook.com</t>
        </is>
      </c>
      <c r="E1638" t="inlineStr">
        <is>
          <t>Itagüí</t>
        </is>
      </c>
      <c r="F1638" t="inlineStr">
        <is>
          <t>PRY-002</t>
        </is>
      </c>
      <c r="G1638" t="inlineStr">
        <is>
          <t>Feria Inmobiliaria</t>
        </is>
      </c>
      <c r="H1638" t="inlineStr">
        <is>
          <t>Santiago Muñoz</t>
        </is>
      </c>
      <c r="I1638" t="inlineStr">
        <is>
          <t>Perdido</t>
        </is>
      </c>
      <c r="J1638" s="28" t="n">
        <v>45794</v>
      </c>
      <c r="K1638" s="28" t="n">
        <v>45816</v>
      </c>
      <c r="L1638" t="inlineStr">
        <is>
          <t>Buscaba arriendo, no compra</t>
        </is>
      </c>
    </row>
    <row r="1639">
      <c r="A1639" t="inlineStr">
        <is>
          <t>CLI-1637</t>
        </is>
      </c>
      <c r="B1639" t="inlineStr">
        <is>
          <t>Natalia Osorio Zuluaga</t>
        </is>
      </c>
      <c r="C1639" t="inlineStr">
        <is>
          <t>3014129014</t>
        </is>
      </c>
      <c r="D1639" t="inlineStr">
        <is>
          <t>natalia.osorio18@yahoo.com</t>
        </is>
      </c>
      <c r="E1639" t="inlineStr">
        <is>
          <t>Rionegro</t>
        </is>
      </c>
      <c r="F1639" t="inlineStr">
        <is>
          <t>PRY-005</t>
        </is>
      </c>
      <c r="G1639" t="inlineStr">
        <is>
          <t>Portal Web</t>
        </is>
      </c>
      <c r="H1639" t="inlineStr">
        <is>
          <t>Luis Bedoya</t>
        </is>
      </c>
      <c r="I1639" t="inlineStr">
        <is>
          <t>Perdido</t>
        </is>
      </c>
      <c r="J1639" s="28" t="n">
        <v>45794</v>
      </c>
      <c r="K1639" s="28" t="n">
        <v>45818</v>
      </c>
      <c r="L1639" t="inlineStr">
        <is>
          <t>Sin respuesta tras 3 contactos</t>
        </is>
      </c>
    </row>
    <row r="1640">
      <c r="A1640" t="inlineStr">
        <is>
          <t>CLI-1638</t>
        </is>
      </c>
      <c r="B1640" t="inlineStr">
        <is>
          <t>Julián Cano Vargas</t>
        </is>
      </c>
      <c r="C1640" t="inlineStr">
        <is>
          <t>3108722300</t>
        </is>
      </c>
      <c r="D1640" t="inlineStr">
        <is>
          <t>julian.cano20@outlook.com</t>
        </is>
      </c>
      <c r="E1640" t="inlineStr">
        <is>
          <t>Itagüí</t>
        </is>
      </c>
      <c r="F1640" t="inlineStr">
        <is>
          <t>PRY-008</t>
        </is>
      </c>
      <c r="G1640" t="inlineStr">
        <is>
          <t>Portal Web</t>
        </is>
      </c>
      <c r="H1640" t="inlineStr">
        <is>
          <t>Luis Bedoya</t>
        </is>
      </c>
      <c r="I1640" t="inlineStr">
        <is>
          <t>Perdido</t>
        </is>
      </c>
      <c r="J1640" s="28" t="n">
        <v>45795</v>
      </c>
      <c r="K1640" s="28" t="n">
        <v>45841</v>
      </c>
      <c r="L1640" t="inlineStr">
        <is>
          <t>Cambió de ciudad</t>
        </is>
      </c>
    </row>
    <row r="1641">
      <c r="A1641" t="inlineStr">
        <is>
          <t>CLI-1639</t>
        </is>
      </c>
      <c r="B1641" t="inlineStr">
        <is>
          <t>Gabriel Muñoz Peláez</t>
        </is>
      </c>
      <c r="C1641" t="inlineStr">
        <is>
          <t>3233780583</t>
        </is>
      </c>
      <c r="D1641" t="inlineStr">
        <is>
          <t>gabriel.munoz53@gmail.com</t>
        </is>
      </c>
      <c r="E1641" t="inlineStr">
        <is>
          <t>Medellín</t>
        </is>
      </c>
      <c r="F1641" t="inlineStr">
        <is>
          <t>PRY-003</t>
        </is>
      </c>
      <c r="G1641" t="inlineStr">
        <is>
          <t>Llamada directa</t>
        </is>
      </c>
      <c r="H1641" t="inlineStr">
        <is>
          <t>Paula Arenas</t>
        </is>
      </c>
      <c r="I1641" t="inlineStr">
        <is>
          <t>Ganado</t>
        </is>
      </c>
      <c r="J1641" s="28" t="n">
        <v>45795</v>
      </c>
      <c r="K1641" s="28" t="n">
        <v>45934</v>
      </c>
      <c r="L1641" t="inlineStr">
        <is>
          <t>Compró Apto 1007 en Conecta Laureles</t>
        </is>
      </c>
    </row>
    <row r="1642">
      <c r="A1642" t="inlineStr">
        <is>
          <t>CLI-1640</t>
        </is>
      </c>
      <c r="B1642" t="inlineStr">
        <is>
          <t>Alejandro Valencia Castaño</t>
        </is>
      </c>
      <c r="C1642" t="inlineStr">
        <is>
          <t>3147898488</t>
        </is>
      </c>
      <c r="D1642" t="inlineStr">
        <is>
          <t>alejandro.valencia95@hotmail.com</t>
        </is>
      </c>
      <c r="E1642" t="inlineStr">
        <is>
          <t>Rionegro</t>
        </is>
      </c>
      <c r="F1642" t="inlineStr">
        <is>
          <t>PRY-005</t>
        </is>
      </c>
      <c r="G1642" t="inlineStr">
        <is>
          <t>Feria Inmobiliaria</t>
        </is>
      </c>
      <c r="H1642" t="inlineStr">
        <is>
          <t>Ana Quintero</t>
        </is>
      </c>
      <c r="I1642" t="inlineStr">
        <is>
          <t>Perdido</t>
        </is>
      </c>
      <c r="J1642" s="28" t="n">
        <v>45795</v>
      </c>
      <c r="K1642" s="28" t="n">
        <v>45809</v>
      </c>
      <c r="L1642" t="inlineStr">
        <is>
          <t>Presupuesto insuficiente</t>
        </is>
      </c>
    </row>
    <row r="1643">
      <c r="A1643" t="inlineStr">
        <is>
          <t>CLI-1641</t>
        </is>
      </c>
      <c r="B1643" t="inlineStr">
        <is>
          <t>Paola Palacio Zapata</t>
        </is>
      </c>
      <c r="C1643" t="inlineStr">
        <is>
          <t>3223139742</t>
        </is>
      </c>
      <c r="D1643" t="inlineStr">
        <is>
          <t>paola.palacio25@outlook.com</t>
        </is>
      </c>
      <c r="E1643" t="inlineStr">
        <is>
          <t>Rionegro</t>
        </is>
      </c>
      <c r="F1643" t="inlineStr">
        <is>
          <t>PRY-005</t>
        </is>
      </c>
      <c r="G1643" t="inlineStr">
        <is>
          <t>Facebook</t>
        </is>
      </c>
      <c r="H1643" t="inlineStr">
        <is>
          <t>Paula Arenas</t>
        </is>
      </c>
      <c r="I1643" t="inlineStr">
        <is>
          <t>Ganado</t>
        </is>
      </c>
      <c r="J1643" s="28" t="n">
        <v>45796</v>
      </c>
      <c r="K1643" s="28" t="n">
        <v>45875</v>
      </c>
      <c r="L1643" t="inlineStr">
        <is>
          <t>Compró Casa 14 en Ciudadela Rionegro</t>
        </is>
      </c>
    </row>
    <row r="1644">
      <c r="A1644" t="inlineStr">
        <is>
          <t>CLI-1642</t>
        </is>
      </c>
      <c r="B1644" t="inlineStr">
        <is>
          <t>Esteban Álvarez Higuita</t>
        </is>
      </c>
      <c r="C1644" t="inlineStr">
        <is>
          <t>3172809831</t>
        </is>
      </c>
      <c r="D1644" t="inlineStr">
        <is>
          <t>esteban.alvarez48@gmail.com</t>
        </is>
      </c>
      <c r="E1644" t="inlineStr">
        <is>
          <t>Medellín</t>
        </is>
      </c>
      <c r="F1644" t="inlineStr">
        <is>
          <t>PRY-001</t>
        </is>
      </c>
      <c r="G1644" t="inlineStr">
        <is>
          <t>Instagram</t>
        </is>
      </c>
      <c r="H1644" t="inlineStr">
        <is>
          <t>Andrés Torres</t>
        </is>
      </c>
      <c r="I1644" t="inlineStr">
        <is>
          <t>Perdido</t>
        </is>
      </c>
      <c r="J1644" s="28" t="n">
        <v>45796</v>
      </c>
      <c r="K1644" s="28" t="n">
        <v>45804</v>
      </c>
      <c r="L1644" t="inlineStr">
        <is>
          <t>Datos de contacto errados</t>
        </is>
      </c>
    </row>
    <row r="1645">
      <c r="A1645" t="inlineStr">
        <is>
          <t>CLI-1643</t>
        </is>
      </c>
      <c r="B1645" t="inlineStr">
        <is>
          <t>Juliana Montes Agudelo</t>
        </is>
      </c>
      <c r="C1645" t="inlineStr">
        <is>
          <t>3138006894</t>
        </is>
      </c>
      <c r="D1645" t="inlineStr">
        <is>
          <t>juliana.montes11@yahoo.com</t>
        </is>
      </c>
      <c r="E1645" t="inlineStr">
        <is>
          <t>Rionegro</t>
        </is>
      </c>
      <c r="F1645" t="inlineStr">
        <is>
          <t>PRY-003</t>
        </is>
      </c>
      <c r="G1645" t="inlineStr">
        <is>
          <t>Llamada directa</t>
        </is>
      </c>
      <c r="H1645" t="inlineStr">
        <is>
          <t>Andrés Torres</t>
        </is>
      </c>
      <c r="I1645" t="inlineStr">
        <is>
          <t>Perdido</t>
        </is>
      </c>
      <c r="J1645" s="28" t="n">
        <v>45796</v>
      </c>
      <c r="K1645" s="28" t="n">
        <v>45824</v>
      </c>
      <c r="L1645" t="inlineStr">
        <is>
          <t>Buscaba arriendo, no compra</t>
        </is>
      </c>
    </row>
    <row r="1646">
      <c r="A1646" t="inlineStr">
        <is>
          <t>CLI-1644</t>
        </is>
      </c>
      <c r="B1646" t="inlineStr">
        <is>
          <t>Juan Pablo Montes Restrepo</t>
        </is>
      </c>
      <c r="C1646" t="inlineStr">
        <is>
          <t>3147556738</t>
        </is>
      </c>
      <c r="D1646" t="inlineStr">
        <is>
          <t>juan.montes96@yahoo.com</t>
        </is>
      </c>
      <c r="E1646" t="inlineStr">
        <is>
          <t>Itagüí</t>
        </is>
      </c>
      <c r="F1646" t="inlineStr">
        <is>
          <t>PRY-008</t>
        </is>
      </c>
      <c r="G1646" t="inlineStr">
        <is>
          <t>Portal Web</t>
        </is>
      </c>
      <c r="H1646" t="inlineStr">
        <is>
          <t>Daniela Ríos</t>
        </is>
      </c>
      <c r="I1646" t="inlineStr">
        <is>
          <t>Perdido</t>
        </is>
      </c>
      <c r="J1646" s="28" t="n">
        <v>45797</v>
      </c>
      <c r="K1646" s="28" t="n">
        <v>45806</v>
      </c>
      <c r="L1646" t="inlineStr">
        <is>
          <t>Presupuesto insuficiente</t>
        </is>
      </c>
    </row>
    <row r="1647">
      <c r="A1647" t="inlineStr">
        <is>
          <t>CLI-1645</t>
        </is>
      </c>
      <c r="B1647" t="inlineStr">
        <is>
          <t>Jorge Salcedo Montes</t>
        </is>
      </c>
      <c r="C1647" t="inlineStr">
        <is>
          <t>3244280906</t>
        </is>
      </c>
      <c r="D1647" t="inlineStr">
        <is>
          <t>jorge.salcedo47@hotmail.com</t>
        </is>
      </c>
      <c r="E1647" t="inlineStr">
        <is>
          <t>Envigado</t>
        </is>
      </c>
      <c r="F1647" t="inlineStr">
        <is>
          <t>PRY-003</t>
        </is>
      </c>
      <c r="G1647" t="inlineStr">
        <is>
          <t>Instagram</t>
        </is>
      </c>
      <c r="H1647" t="inlineStr">
        <is>
          <t>Sofía Prada</t>
        </is>
      </c>
      <c r="I1647" t="inlineStr">
        <is>
          <t>Perdido</t>
        </is>
      </c>
      <c r="J1647" s="28" t="n">
        <v>45797</v>
      </c>
      <c r="K1647" s="28" t="n">
        <v>45802</v>
      </c>
      <c r="L1647" t="inlineStr">
        <is>
          <t>Datos de contacto errados</t>
        </is>
      </c>
    </row>
    <row r="1648">
      <c r="A1648" t="inlineStr">
        <is>
          <t>CLI-1646</t>
        </is>
      </c>
      <c r="B1648" t="inlineStr">
        <is>
          <t>Esteban Palacio Pérez</t>
        </is>
      </c>
      <c r="C1648" t="inlineStr">
        <is>
          <t>3008582565</t>
        </is>
      </c>
      <c r="D1648" t="inlineStr">
        <is>
          <t>esteban.palacio38@outlook.com</t>
        </is>
      </c>
      <c r="E1648" t="inlineStr">
        <is>
          <t>Envigado</t>
        </is>
      </c>
      <c r="F1648" t="inlineStr">
        <is>
          <t>PRY-007</t>
        </is>
      </c>
      <c r="G1648" t="inlineStr">
        <is>
          <t>Llamada directa</t>
        </is>
      </c>
      <c r="H1648" t="inlineStr">
        <is>
          <t>Juliana Vélez</t>
        </is>
      </c>
      <c r="I1648" t="inlineStr">
        <is>
          <t>Perdido</t>
        </is>
      </c>
      <c r="J1648" s="28" t="n">
        <v>45797</v>
      </c>
      <c r="K1648" s="28" t="n">
        <v>45815</v>
      </c>
      <c r="L1648" t="inlineStr">
        <is>
          <t>Sin respuesta tras 3 contactos</t>
        </is>
      </c>
    </row>
    <row r="1649">
      <c r="A1649" t="inlineStr">
        <is>
          <t>CLI-1647</t>
        </is>
      </c>
      <c r="B1649" t="inlineStr">
        <is>
          <t>Sofía Osorio Palacio</t>
        </is>
      </c>
      <c r="C1649" t="inlineStr">
        <is>
          <t>3237954677</t>
        </is>
      </c>
      <c r="D1649" t="inlineStr">
        <is>
          <t>sofia.osorio1@yahoo.com</t>
        </is>
      </c>
      <c r="E1649" t="inlineStr">
        <is>
          <t>La Estrella</t>
        </is>
      </c>
      <c r="F1649" t="inlineStr">
        <is>
          <t>PRY-002</t>
        </is>
      </c>
      <c r="G1649" t="inlineStr">
        <is>
          <t>Portal Web</t>
        </is>
      </c>
      <c r="H1649" t="inlineStr">
        <is>
          <t>Santiago Muñoz</t>
        </is>
      </c>
      <c r="I1649" t="inlineStr">
        <is>
          <t>Ganado</t>
        </is>
      </c>
      <c r="J1649" s="28" t="n">
        <v>45798</v>
      </c>
      <c r="K1649" s="28" t="n">
        <v>45929</v>
      </c>
      <c r="L1649" t="inlineStr">
        <is>
          <t>Compró Casa 46 en Reserva Santa Elena</t>
        </is>
      </c>
    </row>
    <row r="1650">
      <c r="A1650" t="inlineStr">
        <is>
          <t>CLI-1648</t>
        </is>
      </c>
      <c r="B1650" t="inlineStr">
        <is>
          <t>Sebastián Bedoya Ríos</t>
        </is>
      </c>
      <c r="C1650" t="inlineStr">
        <is>
          <t>3209174316</t>
        </is>
      </c>
      <c r="D1650" t="inlineStr">
        <is>
          <t>sebastian.bedoya85@outlook.com</t>
        </is>
      </c>
      <c r="E1650" t="inlineStr">
        <is>
          <t>Medellín</t>
        </is>
      </c>
      <c r="F1650" t="inlineStr">
        <is>
          <t>PRY-001</t>
        </is>
      </c>
      <c r="G1650" t="inlineStr">
        <is>
          <t>Facebook</t>
        </is>
      </c>
      <c r="H1650" t="inlineStr">
        <is>
          <t>Juliana Vélez</t>
        </is>
      </c>
      <c r="I1650" t="inlineStr">
        <is>
          <t>Ganado</t>
        </is>
      </c>
      <c r="J1650" s="28" t="n">
        <v>45798</v>
      </c>
      <c r="K1650" s="28" t="n">
        <v>45896</v>
      </c>
      <c r="L1650" t="inlineStr">
        <is>
          <t>Compró Apto 701 en Torres del Poblado</t>
        </is>
      </c>
    </row>
    <row r="1651">
      <c r="A1651" t="inlineStr">
        <is>
          <t>CLI-1649</t>
        </is>
      </c>
      <c r="B1651" t="inlineStr">
        <is>
          <t>Daniela Zapata Agudelo</t>
        </is>
      </c>
      <c r="C1651" t="inlineStr">
        <is>
          <t>3007089803</t>
        </is>
      </c>
      <c r="D1651" t="inlineStr">
        <is>
          <t>daniela.zapata77@yahoo.com</t>
        </is>
      </c>
      <c r="E1651" t="inlineStr">
        <is>
          <t>Rionegro</t>
        </is>
      </c>
      <c r="F1651" t="inlineStr">
        <is>
          <t>PRY-001</t>
        </is>
      </c>
      <c r="G1651" t="inlineStr">
        <is>
          <t>Facebook</t>
        </is>
      </c>
      <c r="H1651" t="inlineStr">
        <is>
          <t>Luis Bedoya</t>
        </is>
      </c>
      <c r="I1651" t="inlineStr">
        <is>
          <t>Perdido</t>
        </is>
      </c>
      <c r="J1651" s="28" t="n">
        <v>45798</v>
      </c>
      <c r="K1651" s="28" t="n">
        <v>45820</v>
      </c>
      <c r="L1651" t="inlineStr">
        <is>
          <t>Buscaba arriendo, no compra</t>
        </is>
      </c>
    </row>
    <row r="1652">
      <c r="A1652" t="inlineStr">
        <is>
          <t>CLI-1650</t>
        </is>
      </c>
      <c r="B1652" t="inlineStr">
        <is>
          <t>Sofía Gaviria Espinosa</t>
        </is>
      </c>
      <c r="C1652" t="inlineStr">
        <is>
          <t>3007767141</t>
        </is>
      </c>
      <c r="D1652" t="inlineStr">
        <is>
          <t>sofia.gaviria67@gmail.com</t>
        </is>
      </c>
      <c r="E1652" t="inlineStr">
        <is>
          <t>Bello</t>
        </is>
      </c>
      <c r="F1652" t="inlineStr">
        <is>
          <t>PRY-002</t>
        </is>
      </c>
      <c r="G1652" t="inlineStr">
        <is>
          <t>Facebook</t>
        </is>
      </c>
      <c r="H1652" t="inlineStr">
        <is>
          <t>Miguel Salazar</t>
        </is>
      </c>
      <c r="I1652" t="inlineStr">
        <is>
          <t>Perdido</t>
        </is>
      </c>
      <c r="J1652" s="28" t="n">
        <v>45798</v>
      </c>
      <c r="K1652" s="28" t="n">
        <v>45805</v>
      </c>
      <c r="L1652" t="inlineStr">
        <is>
          <t>Sin respuesta tras 3 contactos</t>
        </is>
      </c>
    </row>
    <row r="1653">
      <c r="A1653" t="inlineStr">
        <is>
          <t>CLI-1651</t>
        </is>
      </c>
      <c r="B1653" t="inlineStr">
        <is>
          <t>Diana Cano Palacio</t>
        </is>
      </c>
      <c r="C1653" t="inlineStr">
        <is>
          <t>3244676501</t>
        </is>
      </c>
      <c r="D1653" t="inlineStr">
        <is>
          <t>diana.cano71@yahoo.com</t>
        </is>
      </c>
      <c r="E1653" t="inlineStr">
        <is>
          <t>Medellín</t>
        </is>
      </c>
      <c r="F1653" t="inlineStr">
        <is>
          <t>PRY-002</t>
        </is>
      </c>
      <c r="G1653" t="inlineStr">
        <is>
          <t>Llamada directa</t>
        </is>
      </c>
      <c r="H1653" t="inlineStr">
        <is>
          <t>Santiago Muñoz</t>
        </is>
      </c>
      <c r="I1653" t="inlineStr">
        <is>
          <t>Perdido</t>
        </is>
      </c>
      <c r="J1653" s="28" t="n">
        <v>45798</v>
      </c>
      <c r="K1653" s="28" t="n">
        <v>45823</v>
      </c>
      <c r="L1653" t="inlineStr">
        <is>
          <t>Presupuesto insuficiente</t>
        </is>
      </c>
    </row>
    <row r="1654">
      <c r="A1654" t="inlineStr">
        <is>
          <t>CLI-1652</t>
        </is>
      </c>
      <c r="B1654" t="inlineStr">
        <is>
          <t>Juliana Montes Gómez</t>
        </is>
      </c>
      <c r="C1654" t="inlineStr">
        <is>
          <t>3232535330</t>
        </is>
      </c>
      <c r="D1654" t="inlineStr">
        <is>
          <t>juliana.montes41@yahoo.com</t>
        </is>
      </c>
      <c r="E1654" t="inlineStr">
        <is>
          <t>Medellín</t>
        </is>
      </c>
      <c r="F1654" t="inlineStr">
        <is>
          <t>PRY-003</t>
        </is>
      </c>
      <c r="G1654" t="inlineStr">
        <is>
          <t>Instagram</t>
        </is>
      </c>
      <c r="H1654" t="inlineStr">
        <is>
          <t>Ana Quintero</t>
        </is>
      </c>
      <c r="I1654" t="inlineStr">
        <is>
          <t>Perdido</t>
        </is>
      </c>
      <c r="J1654" s="28" t="n">
        <v>45798</v>
      </c>
      <c r="K1654" s="28" t="n">
        <v>45810</v>
      </c>
      <c r="L1654" t="inlineStr">
        <is>
          <t>Presupuesto insuficiente</t>
        </is>
      </c>
    </row>
    <row r="1655">
      <c r="A1655" t="inlineStr">
        <is>
          <t>CLI-1653</t>
        </is>
      </c>
      <c r="B1655" t="inlineStr">
        <is>
          <t>Sara Pérez Betancur</t>
        </is>
      </c>
      <c r="C1655" t="inlineStr">
        <is>
          <t>3135285939</t>
        </is>
      </c>
      <c r="D1655" t="inlineStr">
        <is>
          <t>sara.perez56@outlook.com</t>
        </is>
      </c>
      <c r="E1655" t="inlineStr">
        <is>
          <t>Medellín</t>
        </is>
      </c>
      <c r="F1655" t="inlineStr">
        <is>
          <t>PRY-005</t>
        </is>
      </c>
      <c r="G1655" t="inlineStr">
        <is>
          <t>Referido</t>
        </is>
      </c>
      <c r="H1655" t="inlineStr">
        <is>
          <t>Juliana Vélez</t>
        </is>
      </c>
      <c r="I1655" t="inlineStr">
        <is>
          <t>Ganado</t>
        </is>
      </c>
      <c r="J1655" s="28" t="n">
        <v>45799</v>
      </c>
      <c r="K1655" s="28" t="n">
        <v>45926</v>
      </c>
      <c r="L1655" t="inlineStr">
        <is>
          <t>Compró Apto 505 en Ciudadela Rionegro</t>
        </is>
      </c>
    </row>
    <row r="1656">
      <c r="A1656" t="inlineStr">
        <is>
          <t>CLI-1654</t>
        </is>
      </c>
      <c r="B1656" t="inlineStr">
        <is>
          <t>Julián Cano Quintero</t>
        </is>
      </c>
      <c r="C1656" t="inlineStr">
        <is>
          <t>3005373128</t>
        </is>
      </c>
      <c r="D1656" t="inlineStr">
        <is>
          <t>julian.cano59@gmail.com</t>
        </is>
      </c>
      <c r="E1656" t="inlineStr">
        <is>
          <t>La Estrella</t>
        </is>
      </c>
      <c r="F1656" t="inlineStr">
        <is>
          <t>PRY-003</t>
        </is>
      </c>
      <c r="G1656" t="inlineStr">
        <is>
          <t>Referido</t>
        </is>
      </c>
      <c r="H1656" t="inlineStr">
        <is>
          <t>Andrés Torres</t>
        </is>
      </c>
      <c r="I1656" t="inlineStr">
        <is>
          <t>Ganado</t>
        </is>
      </c>
      <c r="J1656" s="28" t="n">
        <v>45799</v>
      </c>
      <c r="K1656" s="28" t="n">
        <v>45908</v>
      </c>
      <c r="L1656" t="inlineStr">
        <is>
          <t>Compró Apto 1202 en Conecta Laureles</t>
        </is>
      </c>
    </row>
    <row r="1657">
      <c r="A1657" t="inlineStr">
        <is>
          <t>CLI-1655</t>
        </is>
      </c>
      <c r="B1657" t="inlineStr">
        <is>
          <t>Isabel Montes Bedoya</t>
        </is>
      </c>
      <c r="C1657" t="inlineStr">
        <is>
          <t>3133011395</t>
        </is>
      </c>
      <c r="D1657" t="inlineStr">
        <is>
          <t>isabel.montes79@hotmail.com</t>
        </is>
      </c>
      <c r="E1657" t="inlineStr">
        <is>
          <t>Rionegro</t>
        </is>
      </c>
      <c r="F1657" t="inlineStr">
        <is>
          <t>PRY-005</t>
        </is>
      </c>
      <c r="G1657" t="inlineStr">
        <is>
          <t>Facebook</t>
        </is>
      </c>
      <c r="H1657" t="inlineStr">
        <is>
          <t>Santiago Muñoz</t>
        </is>
      </c>
      <c r="I1657" t="inlineStr">
        <is>
          <t>Perdido</t>
        </is>
      </c>
      <c r="J1657" s="28" t="n">
        <v>45799</v>
      </c>
      <c r="K1657" s="28" t="n">
        <v>45805</v>
      </c>
      <c r="L1657" t="inlineStr">
        <is>
          <t>Buscaba arriendo, no compra</t>
        </is>
      </c>
    </row>
    <row r="1658">
      <c r="A1658" t="inlineStr">
        <is>
          <t>CLI-1656</t>
        </is>
      </c>
      <c r="B1658" t="inlineStr">
        <is>
          <t>Andrés Zapata Jaramillo</t>
        </is>
      </c>
      <c r="C1658" t="inlineStr">
        <is>
          <t>3002270086</t>
        </is>
      </c>
      <c r="D1658" t="inlineStr">
        <is>
          <t>andres.zapata38@gmail.com</t>
        </is>
      </c>
      <c r="E1658" t="inlineStr">
        <is>
          <t>Itagüí</t>
        </is>
      </c>
      <c r="F1658" t="inlineStr">
        <is>
          <t>PRY-008</t>
        </is>
      </c>
      <c r="G1658" t="inlineStr">
        <is>
          <t>Portal Web</t>
        </is>
      </c>
      <c r="H1658" t="inlineStr">
        <is>
          <t>Luis Bedoya</t>
        </is>
      </c>
      <c r="I1658" t="inlineStr">
        <is>
          <t>Perdido</t>
        </is>
      </c>
      <c r="J1658" s="28" t="n">
        <v>45799</v>
      </c>
      <c r="K1658" s="28" t="n">
        <v>45811</v>
      </c>
      <c r="L1658" t="inlineStr">
        <is>
          <t>Presupuesto insuficiente</t>
        </is>
      </c>
    </row>
    <row r="1659">
      <c r="A1659" t="inlineStr">
        <is>
          <t>CLI-1657</t>
        </is>
      </c>
      <c r="B1659" t="inlineStr">
        <is>
          <t>Verónica Cardona Vásquez</t>
        </is>
      </c>
      <c r="C1659" t="inlineStr">
        <is>
          <t>3154692808</t>
        </is>
      </c>
      <c r="D1659" t="inlineStr">
        <is>
          <t>veronica.cardona26@yahoo.com</t>
        </is>
      </c>
      <c r="E1659" t="inlineStr">
        <is>
          <t>Rionegro</t>
        </is>
      </c>
      <c r="F1659" t="inlineStr">
        <is>
          <t>PRY-005</t>
        </is>
      </c>
      <c r="G1659" t="inlineStr">
        <is>
          <t>Portal Web</t>
        </is>
      </c>
      <c r="H1659" t="inlineStr">
        <is>
          <t>Paula Arenas</t>
        </is>
      </c>
      <c r="I1659" t="inlineStr">
        <is>
          <t>Perdido</t>
        </is>
      </c>
      <c r="J1659" s="28" t="n">
        <v>45799</v>
      </c>
      <c r="K1659" s="28" t="n">
        <v>45819</v>
      </c>
      <c r="L1659" t="inlineStr">
        <is>
          <t>Presupuesto insuficiente</t>
        </is>
      </c>
    </row>
    <row r="1660">
      <c r="A1660" t="inlineStr">
        <is>
          <t>CLI-1658</t>
        </is>
      </c>
      <c r="B1660" t="inlineStr">
        <is>
          <t>Sara Arango Gómez</t>
        </is>
      </c>
      <c r="C1660" t="inlineStr">
        <is>
          <t>3019463519</t>
        </is>
      </c>
      <c r="D1660" t="inlineStr">
        <is>
          <t>sara.arango66@gmail.com</t>
        </is>
      </c>
      <c r="E1660" t="inlineStr">
        <is>
          <t>Envigado</t>
        </is>
      </c>
      <c r="F1660" t="inlineStr">
        <is>
          <t>PRY-007</t>
        </is>
      </c>
      <c r="G1660" t="inlineStr">
        <is>
          <t>Facebook</t>
        </is>
      </c>
      <c r="H1660" t="inlineStr">
        <is>
          <t>Luis Bedoya</t>
        </is>
      </c>
      <c r="I1660" t="inlineStr">
        <is>
          <t>Perdido</t>
        </is>
      </c>
      <c r="J1660" s="28" t="n">
        <v>45800</v>
      </c>
      <c r="K1660" s="28" t="n">
        <v>45851</v>
      </c>
      <c r="L1660" t="inlineStr">
        <is>
          <t>Desistió de la compra</t>
        </is>
      </c>
    </row>
    <row r="1661">
      <c r="A1661" t="inlineStr">
        <is>
          <t>CLI-1659</t>
        </is>
      </c>
      <c r="B1661" t="inlineStr">
        <is>
          <t>Camila Vélez Ochoa</t>
        </is>
      </c>
      <c r="C1661" t="inlineStr">
        <is>
          <t>3159631478</t>
        </is>
      </c>
      <c r="D1661" t="inlineStr">
        <is>
          <t>camila.velez25@yahoo.com</t>
        </is>
      </c>
      <c r="E1661" t="inlineStr">
        <is>
          <t>Rionegro</t>
        </is>
      </c>
      <c r="F1661" t="inlineStr">
        <is>
          <t>PRY-005</t>
        </is>
      </c>
      <c r="G1661" t="inlineStr">
        <is>
          <t>Instagram</t>
        </is>
      </c>
      <c r="H1661" t="inlineStr">
        <is>
          <t>Luis Bedoya</t>
        </is>
      </c>
      <c r="I1661" t="inlineStr">
        <is>
          <t>Perdido</t>
        </is>
      </c>
      <c r="J1661" s="28" t="n">
        <v>45800</v>
      </c>
      <c r="K1661" s="28" t="n">
        <v>45820</v>
      </c>
      <c r="L1661" t="inlineStr">
        <is>
          <t>Sin respuesta tras 3 contactos</t>
        </is>
      </c>
    </row>
    <row r="1662">
      <c r="A1662" t="inlineStr">
        <is>
          <t>CLI-1660</t>
        </is>
      </c>
      <c r="B1662" t="inlineStr">
        <is>
          <t>Liliana López Ríos</t>
        </is>
      </c>
      <c r="C1662" t="inlineStr">
        <is>
          <t>3004531818</t>
        </is>
      </c>
      <c r="D1662" t="inlineStr">
        <is>
          <t>liliana.lopez33@outlook.com</t>
        </is>
      </c>
      <c r="E1662" t="inlineStr">
        <is>
          <t>Rionegro</t>
        </is>
      </c>
      <c r="F1662" t="inlineStr">
        <is>
          <t>PRY-005</t>
        </is>
      </c>
      <c r="G1662" t="inlineStr">
        <is>
          <t>Portal Web</t>
        </is>
      </c>
      <c r="H1662" t="inlineStr">
        <is>
          <t>Sofía Prada</t>
        </is>
      </c>
      <c r="I1662" t="inlineStr">
        <is>
          <t>Ganado</t>
        </is>
      </c>
      <c r="J1662" s="28" t="n">
        <v>45801</v>
      </c>
      <c r="K1662" s="28" t="n">
        <v>45961</v>
      </c>
      <c r="L1662" t="inlineStr">
        <is>
          <t>Compró Apto 801 en Ciudadela Rionegro</t>
        </is>
      </c>
    </row>
    <row r="1663">
      <c r="A1663" t="inlineStr">
        <is>
          <t>CLI-1661</t>
        </is>
      </c>
      <c r="B1663" t="inlineStr">
        <is>
          <t>Iván Zuluaga Vargas</t>
        </is>
      </c>
      <c r="C1663" t="inlineStr">
        <is>
          <t>3102565811</t>
        </is>
      </c>
      <c r="D1663" t="inlineStr">
        <is>
          <t>ivan.zuluaga47@gmail.com</t>
        </is>
      </c>
      <c r="E1663" t="inlineStr">
        <is>
          <t>Medellín</t>
        </is>
      </c>
      <c r="F1663" t="inlineStr">
        <is>
          <t>PRY-001</t>
        </is>
      </c>
      <c r="G1663" t="inlineStr">
        <is>
          <t>Referido</t>
        </is>
      </c>
      <c r="H1663" t="inlineStr">
        <is>
          <t>Miguel Salazar</t>
        </is>
      </c>
      <c r="I1663" t="inlineStr">
        <is>
          <t>Perdido</t>
        </is>
      </c>
      <c r="J1663" s="28" t="n">
        <v>45801</v>
      </c>
      <c r="K1663" s="28" t="n">
        <v>45824</v>
      </c>
      <c r="L1663" t="inlineStr">
        <is>
          <t>Presupuesto insuficiente</t>
        </is>
      </c>
    </row>
    <row r="1664">
      <c r="A1664" t="inlineStr">
        <is>
          <t>CLI-1662</t>
        </is>
      </c>
      <c r="B1664" t="inlineStr">
        <is>
          <t>Luisa Uribe Uribe</t>
        </is>
      </c>
      <c r="C1664" t="inlineStr">
        <is>
          <t>3141828307</t>
        </is>
      </c>
      <c r="D1664" t="inlineStr">
        <is>
          <t>luisa.uribe94@hotmail.com</t>
        </is>
      </c>
      <c r="E1664" t="inlineStr">
        <is>
          <t>Medellín</t>
        </is>
      </c>
      <c r="F1664" t="inlineStr">
        <is>
          <t>PRY-003</t>
        </is>
      </c>
      <c r="G1664" t="inlineStr">
        <is>
          <t>Instagram</t>
        </is>
      </c>
      <c r="H1664" t="inlineStr">
        <is>
          <t>Sofía Prada</t>
        </is>
      </c>
      <c r="I1664" t="inlineStr">
        <is>
          <t>Perdido</t>
        </is>
      </c>
      <c r="J1664" s="28" t="n">
        <v>45801</v>
      </c>
      <c r="K1664" s="28" t="n">
        <v>45818</v>
      </c>
      <c r="L1664" t="inlineStr">
        <is>
          <t>Datos de contacto errados</t>
        </is>
      </c>
    </row>
    <row r="1665">
      <c r="A1665" t="inlineStr">
        <is>
          <t>CLI-1663</t>
        </is>
      </c>
      <c r="B1665" t="inlineStr">
        <is>
          <t>Felipe Duque Ochoa</t>
        </is>
      </c>
      <c r="C1665" t="inlineStr">
        <is>
          <t>3208965390</t>
        </is>
      </c>
      <c r="D1665" t="inlineStr">
        <is>
          <t>felipe.duque10@outlook.com</t>
        </is>
      </c>
      <c r="E1665" t="inlineStr">
        <is>
          <t>Sabaneta</t>
        </is>
      </c>
      <c r="F1665" t="inlineStr">
        <is>
          <t>PRY-001</t>
        </is>
      </c>
      <c r="G1665" t="inlineStr">
        <is>
          <t>Feria Inmobiliaria</t>
        </is>
      </c>
      <c r="H1665" t="inlineStr">
        <is>
          <t>Andrés Torres</t>
        </is>
      </c>
      <c r="I1665" t="inlineStr">
        <is>
          <t>Perdido</t>
        </is>
      </c>
      <c r="J1665" s="28" t="n">
        <v>45801</v>
      </c>
      <c r="K1665" s="28" t="n">
        <v>45817</v>
      </c>
      <c r="L1665" t="inlineStr">
        <is>
          <t>Sin respuesta tras 3 contactos</t>
        </is>
      </c>
    </row>
    <row r="1666">
      <c r="A1666" t="inlineStr">
        <is>
          <t>CLI-1664</t>
        </is>
      </c>
      <c r="B1666" t="inlineStr">
        <is>
          <t>Cristian Peláez López</t>
        </is>
      </c>
      <c r="C1666" t="inlineStr">
        <is>
          <t>3133727290</t>
        </is>
      </c>
      <c r="D1666" t="inlineStr">
        <is>
          <t>cristian.pelaez53@yahoo.com</t>
        </is>
      </c>
      <c r="E1666" t="inlineStr">
        <is>
          <t>Sabaneta</t>
        </is>
      </c>
      <c r="F1666" t="inlineStr">
        <is>
          <t>PRY-001</t>
        </is>
      </c>
      <c r="G1666" t="inlineStr">
        <is>
          <t>Portal Web</t>
        </is>
      </c>
      <c r="H1666" t="inlineStr">
        <is>
          <t>Ana Quintero</t>
        </is>
      </c>
      <c r="I1666" t="inlineStr">
        <is>
          <t>Perdido</t>
        </is>
      </c>
      <c r="J1666" s="28" t="n">
        <v>45801</v>
      </c>
      <c r="K1666" s="28" t="n">
        <v>45825</v>
      </c>
      <c r="L1666" t="inlineStr">
        <is>
          <t>Buscaba arriendo, no compra</t>
        </is>
      </c>
    </row>
    <row r="1667">
      <c r="A1667" t="inlineStr">
        <is>
          <t>CLI-1665</t>
        </is>
      </c>
      <c r="B1667" t="inlineStr">
        <is>
          <t>Juliana Arango Vargas</t>
        </is>
      </c>
      <c r="C1667" t="inlineStr">
        <is>
          <t>3248301906</t>
        </is>
      </c>
      <c r="D1667" t="inlineStr">
        <is>
          <t>juliana.arango53@hotmail.com</t>
        </is>
      </c>
      <c r="E1667" t="inlineStr">
        <is>
          <t>Medellín</t>
        </is>
      </c>
      <c r="F1667" t="inlineStr">
        <is>
          <t>PRY-002</t>
        </is>
      </c>
      <c r="G1667" t="inlineStr">
        <is>
          <t>Portal Web</t>
        </is>
      </c>
      <c r="H1667" t="inlineStr">
        <is>
          <t>Paula Arenas</t>
        </is>
      </c>
      <c r="I1667" t="inlineStr">
        <is>
          <t>Ganado</t>
        </is>
      </c>
      <c r="J1667" s="28" t="n">
        <v>45802</v>
      </c>
      <c r="K1667" s="28" t="n">
        <v>45930</v>
      </c>
      <c r="L1667" t="inlineStr">
        <is>
          <t>Compró Casa 31 en Reserva Santa Elena</t>
        </is>
      </c>
    </row>
    <row r="1668">
      <c r="A1668" t="inlineStr">
        <is>
          <t>CLI-1666</t>
        </is>
      </c>
      <c r="B1668" t="inlineStr">
        <is>
          <t>Mariana Escobar Agudelo</t>
        </is>
      </c>
      <c r="C1668" t="inlineStr">
        <is>
          <t>3232659794</t>
        </is>
      </c>
      <c r="D1668" t="inlineStr">
        <is>
          <t>mariana.escobar22@outlook.com</t>
        </is>
      </c>
      <c r="E1668" t="inlineStr">
        <is>
          <t>Itagüí</t>
        </is>
      </c>
      <c r="F1668" t="inlineStr">
        <is>
          <t>PRY-007</t>
        </is>
      </c>
      <c r="G1668" t="inlineStr">
        <is>
          <t>Instagram</t>
        </is>
      </c>
      <c r="H1668" t="inlineStr">
        <is>
          <t>Santiago Muñoz</t>
        </is>
      </c>
      <c r="I1668" t="inlineStr">
        <is>
          <t>Perdido</t>
        </is>
      </c>
      <c r="J1668" s="28" t="n">
        <v>45802</v>
      </c>
      <c r="K1668" s="28" t="n">
        <v>45820</v>
      </c>
      <c r="L1668" t="inlineStr">
        <is>
          <t>No calificó para crédito</t>
        </is>
      </c>
    </row>
    <row r="1669">
      <c r="A1669" t="inlineStr">
        <is>
          <t>CLI-1667</t>
        </is>
      </c>
      <c r="B1669" t="inlineStr">
        <is>
          <t>Wilson Álvarez Valencia</t>
        </is>
      </c>
      <c r="C1669" t="inlineStr">
        <is>
          <t>3109702578</t>
        </is>
      </c>
      <c r="D1669" t="inlineStr">
        <is>
          <t>wilson.alvarez46@gmail.com</t>
        </is>
      </c>
      <c r="E1669" t="inlineStr">
        <is>
          <t>Medellín</t>
        </is>
      </c>
      <c r="F1669" t="inlineStr">
        <is>
          <t>PRY-002</t>
        </is>
      </c>
      <c r="G1669" t="inlineStr">
        <is>
          <t>Instagram</t>
        </is>
      </c>
      <c r="H1669" t="inlineStr">
        <is>
          <t>Santiago Muñoz</t>
        </is>
      </c>
      <c r="I1669" t="inlineStr">
        <is>
          <t>Perdido</t>
        </is>
      </c>
      <c r="J1669" s="28" t="n">
        <v>45802</v>
      </c>
      <c r="K1669" s="28" t="n">
        <v>45807</v>
      </c>
      <c r="L1669" t="inlineStr">
        <is>
          <t>No calificó para crédito</t>
        </is>
      </c>
    </row>
    <row r="1670">
      <c r="A1670" t="inlineStr">
        <is>
          <t>CLI-1668</t>
        </is>
      </c>
      <c r="B1670" t="inlineStr">
        <is>
          <t>Jorge Henao Quintero</t>
        </is>
      </c>
      <c r="C1670" t="inlineStr">
        <is>
          <t>3154161819</t>
        </is>
      </c>
      <c r="D1670" t="inlineStr">
        <is>
          <t>jorge.henao20@gmail.com</t>
        </is>
      </c>
      <c r="E1670" t="inlineStr">
        <is>
          <t>Envigado</t>
        </is>
      </c>
      <c r="F1670" t="inlineStr">
        <is>
          <t>PRY-007</t>
        </is>
      </c>
      <c r="G1670" t="inlineStr">
        <is>
          <t>Llamada directa</t>
        </is>
      </c>
      <c r="H1670" t="inlineStr">
        <is>
          <t>Miguel Salazar</t>
        </is>
      </c>
      <c r="I1670" t="inlineStr">
        <is>
          <t>Ganado</t>
        </is>
      </c>
      <c r="J1670" s="28" t="n">
        <v>45803</v>
      </c>
      <c r="K1670" s="28" t="n">
        <v>45911</v>
      </c>
      <c r="L1670" t="inlineStr">
        <is>
          <t>Compró Apto 1502 en Mirador de Envigado</t>
        </is>
      </c>
    </row>
    <row r="1671">
      <c r="A1671" t="inlineStr">
        <is>
          <t>CLI-1669</t>
        </is>
      </c>
      <c r="B1671" t="inlineStr">
        <is>
          <t>Gloria Cano Vélez</t>
        </is>
      </c>
      <c r="C1671" t="inlineStr">
        <is>
          <t>3135547414</t>
        </is>
      </c>
      <c r="D1671" t="inlineStr">
        <is>
          <t>gloria.cano8@hotmail.com</t>
        </is>
      </c>
      <c r="E1671" t="inlineStr">
        <is>
          <t>Medellín</t>
        </is>
      </c>
      <c r="F1671" t="inlineStr">
        <is>
          <t>PRY-003</t>
        </is>
      </c>
      <c r="G1671" t="inlineStr">
        <is>
          <t>Referido</t>
        </is>
      </c>
      <c r="H1671" t="inlineStr">
        <is>
          <t>Sofía Prada</t>
        </is>
      </c>
      <c r="I1671" t="inlineStr">
        <is>
          <t>Ganado</t>
        </is>
      </c>
      <c r="J1671" s="28" t="n">
        <v>45803</v>
      </c>
      <c r="K1671" s="28" t="n">
        <v>45891</v>
      </c>
      <c r="L1671" t="inlineStr">
        <is>
          <t>Compró Apto 605 en Conecta Laureles</t>
        </is>
      </c>
    </row>
    <row r="1672">
      <c r="A1672" t="inlineStr">
        <is>
          <t>CLI-1670</t>
        </is>
      </c>
      <c r="B1672" t="inlineStr">
        <is>
          <t>Marcela Correa Montoya</t>
        </is>
      </c>
      <c r="C1672" t="inlineStr">
        <is>
          <t>3049110036</t>
        </is>
      </c>
      <c r="D1672" t="inlineStr">
        <is>
          <t>marcela.correa27@gmail.com</t>
        </is>
      </c>
      <c r="E1672" t="inlineStr">
        <is>
          <t>Rionegro</t>
        </is>
      </c>
      <c r="F1672" t="inlineStr">
        <is>
          <t>PRY-005</t>
        </is>
      </c>
      <c r="G1672" t="inlineStr">
        <is>
          <t>Llamada directa</t>
        </is>
      </c>
      <c r="H1672" t="inlineStr">
        <is>
          <t>Miguel Salazar</t>
        </is>
      </c>
      <c r="I1672" t="inlineStr">
        <is>
          <t>Perdido</t>
        </is>
      </c>
      <c r="J1672" s="28" t="n">
        <v>45803</v>
      </c>
      <c r="K1672" s="28" t="n">
        <v>45815</v>
      </c>
      <c r="L1672" t="inlineStr">
        <is>
          <t>Presupuesto insuficiente</t>
        </is>
      </c>
    </row>
    <row r="1673">
      <c r="A1673" t="inlineStr">
        <is>
          <t>CLI-1671</t>
        </is>
      </c>
      <c r="B1673" t="inlineStr">
        <is>
          <t>Lorena Ramírez Quintero</t>
        </is>
      </c>
      <c r="C1673" t="inlineStr">
        <is>
          <t>3147221811</t>
        </is>
      </c>
      <c r="D1673" t="inlineStr">
        <is>
          <t>lorena.ramirez33@yahoo.com</t>
        </is>
      </c>
      <c r="E1673" t="inlineStr">
        <is>
          <t>Envigado</t>
        </is>
      </c>
      <c r="F1673" t="inlineStr">
        <is>
          <t>PRY-007</t>
        </is>
      </c>
      <c r="G1673" t="inlineStr">
        <is>
          <t>Instagram</t>
        </is>
      </c>
      <c r="H1673" t="inlineStr">
        <is>
          <t>Sofía Prada</t>
        </is>
      </c>
      <c r="I1673" t="inlineStr">
        <is>
          <t>Perdido</t>
        </is>
      </c>
      <c r="J1673" s="28" t="n">
        <v>45803</v>
      </c>
      <c r="K1673" s="28" t="n">
        <v>45823</v>
      </c>
      <c r="L1673" t="inlineStr">
        <is>
          <t>Buscaba arriendo, no compra</t>
        </is>
      </c>
    </row>
    <row r="1674">
      <c r="A1674" t="inlineStr">
        <is>
          <t>CLI-1672</t>
        </is>
      </c>
      <c r="B1674" t="inlineStr">
        <is>
          <t>Juliana López Jaramillo</t>
        </is>
      </c>
      <c r="C1674" t="inlineStr">
        <is>
          <t>3015550597</t>
        </is>
      </c>
      <c r="D1674" t="inlineStr">
        <is>
          <t>juliana.lopez82@yahoo.com</t>
        </is>
      </c>
      <c r="E1674" t="inlineStr">
        <is>
          <t>Medellín</t>
        </is>
      </c>
      <c r="F1674" t="inlineStr">
        <is>
          <t>PRY-001</t>
        </is>
      </c>
      <c r="G1674" t="inlineStr">
        <is>
          <t>Portal Web</t>
        </is>
      </c>
      <c r="H1674" t="inlineStr">
        <is>
          <t>Santiago Muñoz</t>
        </is>
      </c>
      <c r="I1674" t="inlineStr">
        <is>
          <t>Ganado</t>
        </is>
      </c>
      <c r="J1674" s="28" t="n">
        <v>45804</v>
      </c>
      <c r="K1674" s="28" t="n">
        <v>45881</v>
      </c>
      <c r="L1674" t="inlineStr">
        <is>
          <t>Compró Apto 305 en Torres del Poblado</t>
        </is>
      </c>
    </row>
    <row r="1675">
      <c r="A1675" t="inlineStr">
        <is>
          <t>CLI-1673</t>
        </is>
      </c>
      <c r="B1675" t="inlineStr">
        <is>
          <t>Marcela Ramírez Agudelo</t>
        </is>
      </c>
      <c r="C1675" t="inlineStr">
        <is>
          <t>3144471600</t>
        </is>
      </c>
      <c r="D1675" t="inlineStr">
        <is>
          <t>marcela.ramirez20@outlook.com</t>
        </is>
      </c>
      <c r="E1675" t="inlineStr">
        <is>
          <t>Rionegro</t>
        </is>
      </c>
      <c r="F1675" t="inlineStr">
        <is>
          <t>PRY-008</t>
        </is>
      </c>
      <c r="G1675" t="inlineStr">
        <is>
          <t>Facebook</t>
        </is>
      </c>
      <c r="H1675" t="inlineStr">
        <is>
          <t>Sofía Prada</t>
        </is>
      </c>
      <c r="I1675" t="inlineStr">
        <is>
          <t>Perdido</t>
        </is>
      </c>
      <c r="J1675" s="28" t="n">
        <v>45804</v>
      </c>
      <c r="K1675" s="28" t="n">
        <v>45832</v>
      </c>
      <c r="L1675" t="inlineStr">
        <is>
          <t>No calificó para crédito</t>
        </is>
      </c>
    </row>
    <row r="1676">
      <c r="A1676" t="inlineStr">
        <is>
          <t>CLI-1674</t>
        </is>
      </c>
      <c r="B1676" t="inlineStr">
        <is>
          <t>Jhon Escobar Agudelo</t>
        </is>
      </c>
      <c r="C1676" t="inlineStr">
        <is>
          <t>3208075555</t>
        </is>
      </c>
      <c r="D1676" t="inlineStr">
        <is>
          <t>jhon.escobar82@yahoo.com</t>
        </is>
      </c>
      <c r="E1676" t="inlineStr">
        <is>
          <t>Itagüí</t>
        </is>
      </c>
      <c r="F1676" t="inlineStr">
        <is>
          <t>PRY-002</t>
        </is>
      </c>
      <c r="G1676" t="inlineStr">
        <is>
          <t>Facebook</t>
        </is>
      </c>
      <c r="H1676" t="inlineStr">
        <is>
          <t>Paula Arenas</t>
        </is>
      </c>
      <c r="I1676" t="inlineStr">
        <is>
          <t>Perdido</t>
        </is>
      </c>
      <c r="J1676" s="28" t="n">
        <v>45805</v>
      </c>
      <c r="K1676" s="28" t="n">
        <v>45829</v>
      </c>
      <c r="L1676" t="inlineStr">
        <is>
          <t>Sin respuesta tras 3 contactos</t>
        </is>
      </c>
    </row>
    <row r="1677">
      <c r="A1677" t="inlineStr">
        <is>
          <t>CLI-1675</t>
        </is>
      </c>
      <c r="B1677" t="inlineStr">
        <is>
          <t>María Vásquez Bedoya</t>
        </is>
      </c>
      <c r="C1677" t="inlineStr">
        <is>
          <t>3135208833</t>
        </is>
      </c>
      <c r="D1677" t="inlineStr">
        <is>
          <t>maria.vasquez94@outlook.com</t>
        </is>
      </c>
      <c r="E1677" t="inlineStr">
        <is>
          <t>Medellín</t>
        </is>
      </c>
      <c r="F1677" t="inlineStr">
        <is>
          <t>PRY-001</t>
        </is>
      </c>
      <c r="G1677" t="inlineStr">
        <is>
          <t>Portal Web</t>
        </is>
      </c>
      <c r="H1677" t="inlineStr">
        <is>
          <t>Miguel Salazar</t>
        </is>
      </c>
      <c r="I1677" t="inlineStr">
        <is>
          <t>Perdido</t>
        </is>
      </c>
      <c r="J1677" s="28" t="n">
        <v>45806</v>
      </c>
      <c r="K1677" s="28" t="n">
        <v>45884</v>
      </c>
      <c r="L1677" t="inlineStr">
        <is>
          <t>Eligió otro proyecto</t>
        </is>
      </c>
    </row>
    <row r="1678">
      <c r="A1678" t="inlineStr">
        <is>
          <t>CLI-1676</t>
        </is>
      </c>
      <c r="B1678" t="inlineStr">
        <is>
          <t>Emilio Montes Toro</t>
        </is>
      </c>
      <c r="C1678" t="inlineStr">
        <is>
          <t>3172637752</t>
        </is>
      </c>
      <c r="D1678" t="inlineStr">
        <is>
          <t>emilio.montes1@outlook.com</t>
        </is>
      </c>
      <c r="E1678" t="inlineStr">
        <is>
          <t>Medellín</t>
        </is>
      </c>
      <c r="F1678" t="inlineStr">
        <is>
          <t>PRY-002</t>
        </is>
      </c>
      <c r="G1678" t="inlineStr">
        <is>
          <t>Facebook</t>
        </is>
      </c>
      <c r="H1678" t="inlineStr">
        <is>
          <t>Ana Quintero</t>
        </is>
      </c>
      <c r="I1678" t="inlineStr">
        <is>
          <t>Perdido</t>
        </is>
      </c>
      <c r="J1678" s="28" t="n">
        <v>45806</v>
      </c>
      <c r="K1678" s="28" t="n">
        <v>45818</v>
      </c>
      <c r="L1678" t="inlineStr">
        <is>
          <t>Buscaba arriendo, no compra</t>
        </is>
      </c>
    </row>
    <row r="1679">
      <c r="A1679" t="inlineStr">
        <is>
          <t>CLI-1677</t>
        </is>
      </c>
      <c r="B1679" t="inlineStr">
        <is>
          <t>Sofía Agudelo Cifuentes</t>
        </is>
      </c>
      <c r="C1679" t="inlineStr">
        <is>
          <t>3104234464</t>
        </is>
      </c>
      <c r="D1679" t="inlineStr">
        <is>
          <t>sofia.agudelo45@hotmail.com</t>
        </is>
      </c>
      <c r="E1679" t="inlineStr">
        <is>
          <t>Medellín</t>
        </is>
      </c>
      <c r="F1679" t="inlineStr">
        <is>
          <t>PRY-003</t>
        </is>
      </c>
      <c r="G1679" t="inlineStr">
        <is>
          <t>Llamada directa</t>
        </is>
      </c>
      <c r="H1679" t="inlineStr">
        <is>
          <t>Luis Bedoya</t>
        </is>
      </c>
      <c r="I1679" t="inlineStr">
        <is>
          <t>Ganado</t>
        </is>
      </c>
      <c r="J1679" s="28" t="n">
        <v>45807</v>
      </c>
      <c r="K1679" s="28" t="n">
        <v>45906</v>
      </c>
      <c r="L1679" t="inlineStr">
        <is>
          <t>Compró Apto 201 en Conecta Laureles</t>
        </is>
      </c>
    </row>
    <row r="1680">
      <c r="A1680" t="inlineStr">
        <is>
          <t>CLI-1678</t>
        </is>
      </c>
      <c r="B1680" t="inlineStr">
        <is>
          <t>Catalina Gaviria Echeverri</t>
        </is>
      </c>
      <c r="C1680" t="inlineStr">
        <is>
          <t>3206256811</t>
        </is>
      </c>
      <c r="D1680" t="inlineStr">
        <is>
          <t>catalina.gaviria27@yahoo.com</t>
        </is>
      </c>
      <c r="E1680" t="inlineStr">
        <is>
          <t>Medellín</t>
        </is>
      </c>
      <c r="F1680" t="inlineStr">
        <is>
          <t>PRY-003</t>
        </is>
      </c>
      <c r="G1680" t="inlineStr">
        <is>
          <t>Instagram</t>
        </is>
      </c>
      <c r="H1680" t="inlineStr">
        <is>
          <t>Paula Arenas</t>
        </is>
      </c>
      <c r="I1680" t="inlineStr">
        <is>
          <t>Perdido</t>
        </is>
      </c>
      <c r="J1680" s="28" t="n">
        <v>45807</v>
      </c>
      <c r="K1680" s="28" t="n">
        <v>45817</v>
      </c>
      <c r="L1680" t="inlineStr">
        <is>
          <t>No calificó para crédito</t>
        </is>
      </c>
    </row>
    <row r="1681">
      <c r="A1681" t="inlineStr">
        <is>
          <t>CLI-1679</t>
        </is>
      </c>
      <c r="B1681" t="inlineStr">
        <is>
          <t>Diana Zapata Ochoa</t>
        </is>
      </c>
      <c r="C1681" t="inlineStr">
        <is>
          <t>3156394524</t>
        </is>
      </c>
      <c r="D1681" t="inlineStr">
        <is>
          <t>diana.zapata57@gmail.com</t>
        </is>
      </c>
      <c r="E1681" t="inlineStr">
        <is>
          <t>Itagüí</t>
        </is>
      </c>
      <c r="F1681" t="inlineStr">
        <is>
          <t>PRY-008</t>
        </is>
      </c>
      <c r="G1681" t="inlineStr">
        <is>
          <t>Llamada directa</t>
        </is>
      </c>
      <c r="H1681" t="inlineStr">
        <is>
          <t>Paula Arenas</t>
        </is>
      </c>
      <c r="I1681" t="inlineStr">
        <is>
          <t>Perdido</t>
        </is>
      </c>
      <c r="J1681" s="28" t="n">
        <v>45807</v>
      </c>
      <c r="K1681" s="28" t="n">
        <v>45829</v>
      </c>
      <c r="L1681" t="inlineStr">
        <is>
          <t>No calificó para crédito</t>
        </is>
      </c>
    </row>
    <row r="1682">
      <c r="A1682" t="inlineStr">
        <is>
          <t>CLI-1680</t>
        </is>
      </c>
      <c r="B1682" t="inlineStr">
        <is>
          <t>Fernando Restrepo Salazar</t>
        </is>
      </c>
      <c r="C1682" t="inlineStr">
        <is>
          <t>3008202242</t>
        </is>
      </c>
      <c r="D1682" t="inlineStr">
        <is>
          <t>fernando.restrepo96@gmail.com</t>
        </is>
      </c>
      <c r="E1682" t="inlineStr">
        <is>
          <t>Envigado</t>
        </is>
      </c>
      <c r="F1682" t="inlineStr">
        <is>
          <t>PRY-007</t>
        </is>
      </c>
      <c r="G1682" t="inlineStr">
        <is>
          <t>Facebook</t>
        </is>
      </c>
      <c r="H1682" t="inlineStr">
        <is>
          <t>Miguel Salazar</t>
        </is>
      </c>
      <c r="I1682" t="inlineStr">
        <is>
          <t>Perdido</t>
        </is>
      </c>
      <c r="J1682" s="28" t="n">
        <v>45808</v>
      </c>
      <c r="K1682" s="28" t="n">
        <v>45823</v>
      </c>
      <c r="L1682" t="inlineStr">
        <is>
          <t>No calificó para crédito</t>
        </is>
      </c>
    </row>
    <row r="1683">
      <c r="A1683" t="inlineStr">
        <is>
          <t>CLI-1681</t>
        </is>
      </c>
      <c r="B1683" t="inlineStr">
        <is>
          <t>Sebastián Ochoa Espinosa</t>
        </is>
      </c>
      <c r="C1683" t="inlineStr">
        <is>
          <t>3002111513</t>
        </is>
      </c>
      <c r="D1683" t="inlineStr">
        <is>
          <t>sebastian.ochoa84@hotmail.com</t>
        </is>
      </c>
      <c r="E1683" t="inlineStr">
        <is>
          <t>Medellín</t>
        </is>
      </c>
      <c r="F1683" t="inlineStr">
        <is>
          <t>PRY-002</t>
        </is>
      </c>
      <c r="G1683" t="inlineStr">
        <is>
          <t>Portal Web</t>
        </is>
      </c>
      <c r="H1683" t="inlineStr">
        <is>
          <t>Paula Arenas</t>
        </is>
      </c>
      <c r="I1683" t="inlineStr">
        <is>
          <t>Perdido</t>
        </is>
      </c>
      <c r="J1683" s="28" t="n">
        <v>45808</v>
      </c>
      <c r="K1683" s="28" t="n">
        <v>45831</v>
      </c>
      <c r="L1683" t="inlineStr">
        <is>
          <t>Buscaba arriendo, no compra</t>
        </is>
      </c>
    </row>
    <row r="1684">
      <c r="A1684" t="inlineStr">
        <is>
          <t>CLI-1682</t>
        </is>
      </c>
      <c r="B1684" t="inlineStr">
        <is>
          <t>Sebastián Escobar Pérez</t>
        </is>
      </c>
      <c r="C1684" t="inlineStr">
        <is>
          <t>3248134648</t>
        </is>
      </c>
      <c r="D1684" t="inlineStr">
        <is>
          <t>sebastian.escobar79@outlook.com</t>
        </is>
      </c>
      <c r="E1684" t="inlineStr">
        <is>
          <t>Itagüí</t>
        </is>
      </c>
      <c r="F1684" t="inlineStr">
        <is>
          <t>PRY-007</t>
        </is>
      </c>
      <c r="G1684" t="inlineStr">
        <is>
          <t>Portal Web</t>
        </is>
      </c>
      <c r="H1684" t="inlineStr">
        <is>
          <t>Miguel Salazar</t>
        </is>
      </c>
      <c r="I1684" t="inlineStr">
        <is>
          <t>Perdido</t>
        </is>
      </c>
      <c r="J1684" s="28" t="n">
        <v>45808</v>
      </c>
      <c r="K1684" s="28" t="n">
        <v>45813</v>
      </c>
      <c r="L1684" t="inlineStr">
        <is>
          <t>No calificó para crédito</t>
        </is>
      </c>
    </row>
    <row r="1685">
      <c r="A1685" t="inlineStr">
        <is>
          <t>CLI-1683</t>
        </is>
      </c>
      <c r="B1685" t="inlineStr">
        <is>
          <t>Carolina Correa Montoya</t>
        </is>
      </c>
      <c r="C1685" t="inlineStr">
        <is>
          <t>3007671385</t>
        </is>
      </c>
      <c r="D1685" t="inlineStr">
        <is>
          <t>carolina.correa20@outlook.com</t>
        </is>
      </c>
      <c r="E1685" t="inlineStr">
        <is>
          <t>Medellín</t>
        </is>
      </c>
      <c r="F1685" t="inlineStr">
        <is>
          <t>PRY-002</t>
        </is>
      </c>
      <c r="G1685" t="inlineStr">
        <is>
          <t>Portal Web</t>
        </is>
      </c>
      <c r="H1685" t="inlineStr">
        <is>
          <t>Miguel Salazar</t>
        </is>
      </c>
      <c r="I1685" t="inlineStr">
        <is>
          <t>Ganado</t>
        </is>
      </c>
      <c r="J1685" s="28" t="n">
        <v>45809</v>
      </c>
      <c r="K1685" s="28" t="n">
        <v>45937</v>
      </c>
      <c r="L1685" t="inlineStr">
        <is>
          <t>Compró Casa 23 en Reserva Santa Elena</t>
        </is>
      </c>
    </row>
    <row r="1686">
      <c r="A1686" t="inlineStr">
        <is>
          <t>CLI-1684</t>
        </is>
      </c>
      <c r="B1686" t="inlineStr">
        <is>
          <t>Hernán Ramírez Montoya</t>
        </is>
      </c>
      <c r="C1686" t="inlineStr">
        <is>
          <t>3245057077</t>
        </is>
      </c>
      <c r="D1686" t="inlineStr">
        <is>
          <t>hernan.ramirez70@outlook.com</t>
        </is>
      </c>
      <c r="E1686" t="inlineStr">
        <is>
          <t>Envigado</t>
        </is>
      </c>
      <c r="F1686" t="inlineStr">
        <is>
          <t>PRY-005</t>
        </is>
      </c>
      <c r="G1686" t="inlineStr">
        <is>
          <t>Feria Inmobiliaria</t>
        </is>
      </c>
      <c r="H1686" t="inlineStr">
        <is>
          <t>Ana Quintero</t>
        </is>
      </c>
      <c r="I1686" t="inlineStr">
        <is>
          <t>Perdido</t>
        </is>
      </c>
      <c r="J1686" s="28" t="n">
        <v>45809</v>
      </c>
      <c r="K1686" s="28" t="n">
        <v>45825</v>
      </c>
      <c r="L1686" t="inlineStr">
        <is>
          <t>Presupuesto insuficiente</t>
        </is>
      </c>
    </row>
    <row r="1687">
      <c r="A1687" t="inlineStr">
        <is>
          <t>CLI-1685</t>
        </is>
      </c>
      <c r="B1687" t="inlineStr">
        <is>
          <t>Nicolás Ochoa Ríos</t>
        </is>
      </c>
      <c r="C1687" t="inlineStr">
        <is>
          <t>3227984502</t>
        </is>
      </c>
      <c r="D1687" t="inlineStr">
        <is>
          <t>nicolas.ochoa13@hotmail.com</t>
        </is>
      </c>
      <c r="E1687" t="inlineStr">
        <is>
          <t>Envigado</t>
        </is>
      </c>
      <c r="F1687" t="inlineStr">
        <is>
          <t>PRY-007</t>
        </is>
      </c>
      <c r="G1687" t="inlineStr">
        <is>
          <t>Portal Web</t>
        </is>
      </c>
      <c r="H1687" t="inlineStr">
        <is>
          <t>Paula Arenas</t>
        </is>
      </c>
      <c r="I1687" t="inlineStr">
        <is>
          <t>Perdido</t>
        </is>
      </c>
      <c r="J1687" s="28" t="n">
        <v>45809</v>
      </c>
      <c r="K1687" s="28" t="n">
        <v>45830</v>
      </c>
      <c r="L1687" t="inlineStr">
        <is>
          <t>Sin respuesta tras 3 contactos</t>
        </is>
      </c>
    </row>
    <row r="1688">
      <c r="A1688" t="inlineStr">
        <is>
          <t>CLI-1686</t>
        </is>
      </c>
      <c r="B1688" t="inlineStr">
        <is>
          <t>Iván Giraldo López</t>
        </is>
      </c>
      <c r="C1688" t="inlineStr">
        <is>
          <t>3204236574</t>
        </is>
      </c>
      <c r="D1688" t="inlineStr">
        <is>
          <t>ivan.giraldo23@gmail.com</t>
        </is>
      </c>
      <c r="E1688" t="inlineStr">
        <is>
          <t>Itagüí</t>
        </is>
      </c>
      <c r="F1688" t="inlineStr">
        <is>
          <t>PRY-005</t>
        </is>
      </c>
      <c r="G1688" t="inlineStr">
        <is>
          <t>Portal Web</t>
        </is>
      </c>
      <c r="H1688" t="inlineStr">
        <is>
          <t>Santiago Muñoz</t>
        </is>
      </c>
      <c r="I1688" t="inlineStr">
        <is>
          <t>Ganado</t>
        </is>
      </c>
      <c r="J1688" s="28" t="n">
        <v>45810</v>
      </c>
      <c r="K1688" s="28" t="n">
        <v>45913</v>
      </c>
      <c r="L1688" t="inlineStr">
        <is>
          <t>Compró Apto 306 en Ciudadela Rionegro</t>
        </is>
      </c>
    </row>
    <row r="1689">
      <c r="A1689" t="inlineStr">
        <is>
          <t>CLI-1687</t>
        </is>
      </c>
      <c r="B1689" t="inlineStr">
        <is>
          <t>Sebastián Uribe Marín</t>
        </is>
      </c>
      <c r="C1689" t="inlineStr">
        <is>
          <t>3175700438</t>
        </is>
      </c>
      <c r="D1689" t="inlineStr">
        <is>
          <t>sebastian.uribe66@yahoo.com</t>
        </is>
      </c>
      <c r="E1689" t="inlineStr">
        <is>
          <t>Itagüí</t>
        </is>
      </c>
      <c r="F1689" t="inlineStr">
        <is>
          <t>PRY-008</t>
        </is>
      </c>
      <c r="G1689" t="inlineStr">
        <is>
          <t>Instagram</t>
        </is>
      </c>
      <c r="H1689" t="inlineStr">
        <is>
          <t>Sofía Prada</t>
        </is>
      </c>
      <c r="I1689" t="inlineStr">
        <is>
          <t>Perdido</t>
        </is>
      </c>
      <c r="J1689" s="28" t="n">
        <v>45810</v>
      </c>
      <c r="K1689" s="28" t="n">
        <v>45840</v>
      </c>
      <c r="L1689" t="inlineStr">
        <is>
          <t>Presupuesto insuficiente</t>
        </is>
      </c>
    </row>
    <row r="1690">
      <c r="A1690" t="inlineStr">
        <is>
          <t>CLI-1688</t>
        </is>
      </c>
      <c r="B1690" t="inlineStr">
        <is>
          <t>Julián Betancur Valencia</t>
        </is>
      </c>
      <c r="C1690" t="inlineStr">
        <is>
          <t>3018097910</t>
        </is>
      </c>
      <c r="D1690" t="inlineStr">
        <is>
          <t>julian.betancur11@yahoo.com</t>
        </is>
      </c>
      <c r="E1690" t="inlineStr">
        <is>
          <t>Medellín</t>
        </is>
      </c>
      <c r="F1690" t="inlineStr">
        <is>
          <t>PRY-002</t>
        </is>
      </c>
      <c r="G1690" t="inlineStr">
        <is>
          <t>Facebook</t>
        </is>
      </c>
      <c r="H1690" t="inlineStr">
        <is>
          <t>Paula Arenas</t>
        </is>
      </c>
      <c r="I1690" t="inlineStr">
        <is>
          <t>Perdido</t>
        </is>
      </c>
      <c r="J1690" s="28" t="n">
        <v>45810</v>
      </c>
      <c r="K1690" s="28" t="n">
        <v>45832</v>
      </c>
      <c r="L1690" t="inlineStr">
        <is>
          <t>Datos de contacto errados</t>
        </is>
      </c>
    </row>
    <row r="1691">
      <c r="A1691" t="inlineStr">
        <is>
          <t>CLI-1689</t>
        </is>
      </c>
      <c r="B1691" t="inlineStr">
        <is>
          <t>Mauricio López Ríos</t>
        </is>
      </c>
      <c r="C1691" t="inlineStr">
        <is>
          <t>3235322827</t>
        </is>
      </c>
      <c r="D1691" t="inlineStr">
        <is>
          <t>mauricio.lopez58@hotmail.com</t>
        </is>
      </c>
      <c r="E1691" t="inlineStr">
        <is>
          <t>Rionegro</t>
        </is>
      </c>
      <c r="F1691" t="inlineStr">
        <is>
          <t>PRY-008</t>
        </is>
      </c>
      <c r="G1691" t="inlineStr">
        <is>
          <t>Instagram</t>
        </is>
      </c>
      <c r="H1691" t="inlineStr">
        <is>
          <t>Santiago Muñoz</t>
        </is>
      </c>
      <c r="I1691" t="inlineStr">
        <is>
          <t>Perdido</t>
        </is>
      </c>
      <c r="J1691" s="28" t="n">
        <v>45811</v>
      </c>
      <c r="K1691" s="28" t="n">
        <v>45899</v>
      </c>
      <c r="L1691" t="inlineStr">
        <is>
          <t>Eligió otro proyecto</t>
        </is>
      </c>
    </row>
    <row r="1692">
      <c r="A1692" t="inlineStr">
        <is>
          <t>CLI-1690</t>
        </is>
      </c>
      <c r="B1692" t="inlineStr">
        <is>
          <t>Gloria Rojas Valencia</t>
        </is>
      </c>
      <c r="C1692" t="inlineStr">
        <is>
          <t>3174951749</t>
        </is>
      </c>
      <c r="D1692" t="inlineStr">
        <is>
          <t>gloria.rojas17@gmail.com</t>
        </is>
      </c>
      <c r="E1692" t="inlineStr">
        <is>
          <t>La Estrella</t>
        </is>
      </c>
      <c r="F1692" t="inlineStr">
        <is>
          <t>PRY-005</t>
        </is>
      </c>
      <c r="G1692" t="inlineStr">
        <is>
          <t>Feria Inmobiliaria</t>
        </is>
      </c>
      <c r="H1692" t="inlineStr">
        <is>
          <t>Miguel Salazar</t>
        </is>
      </c>
      <c r="I1692" t="inlineStr">
        <is>
          <t>Perdido</t>
        </is>
      </c>
      <c r="J1692" s="28" t="n">
        <v>45811</v>
      </c>
      <c r="K1692" s="28" t="n">
        <v>45840</v>
      </c>
      <c r="L1692" t="inlineStr">
        <is>
          <t>Presupuesto insuficiente</t>
        </is>
      </c>
    </row>
    <row r="1693">
      <c r="A1693" t="inlineStr">
        <is>
          <t>CLI-1691</t>
        </is>
      </c>
      <c r="B1693" t="inlineStr">
        <is>
          <t>Alejandro Quintero Bedoya</t>
        </is>
      </c>
      <c r="C1693" t="inlineStr">
        <is>
          <t>3171204768</t>
        </is>
      </c>
      <c r="D1693" t="inlineStr">
        <is>
          <t>alejandro.quintero75@hotmail.com</t>
        </is>
      </c>
      <c r="E1693" t="inlineStr">
        <is>
          <t>Medellín</t>
        </is>
      </c>
      <c r="F1693" t="inlineStr">
        <is>
          <t>PRY-001</t>
        </is>
      </c>
      <c r="G1693" t="inlineStr">
        <is>
          <t>Facebook</t>
        </is>
      </c>
      <c r="H1693" t="inlineStr">
        <is>
          <t>Andrés Torres</t>
        </is>
      </c>
      <c r="I1693" t="inlineStr">
        <is>
          <t>Perdido</t>
        </is>
      </c>
      <c r="J1693" s="28" t="n">
        <v>45811</v>
      </c>
      <c r="K1693" s="28" t="n">
        <v>45833</v>
      </c>
      <c r="L1693" t="inlineStr">
        <is>
          <t>Sin respuesta tras 3 contactos</t>
        </is>
      </c>
    </row>
    <row r="1694">
      <c r="A1694" t="inlineStr">
        <is>
          <t>CLI-1692</t>
        </is>
      </c>
      <c r="B1694" t="inlineStr">
        <is>
          <t>José Gaviria Correa</t>
        </is>
      </c>
      <c r="C1694" t="inlineStr">
        <is>
          <t>3044267102</t>
        </is>
      </c>
      <c r="D1694" t="inlineStr">
        <is>
          <t>jose.gaviria23@outlook.com</t>
        </is>
      </c>
      <c r="E1694" t="inlineStr">
        <is>
          <t>Rionegro</t>
        </is>
      </c>
      <c r="F1694" t="inlineStr">
        <is>
          <t>PRY-003</t>
        </is>
      </c>
      <c r="G1694" t="inlineStr">
        <is>
          <t>Facebook</t>
        </is>
      </c>
      <c r="H1694" t="inlineStr">
        <is>
          <t>Juliana Vélez</t>
        </is>
      </c>
      <c r="I1694" t="inlineStr">
        <is>
          <t>Perdido</t>
        </is>
      </c>
      <c r="J1694" s="28" t="n">
        <v>45812</v>
      </c>
      <c r="K1694" s="28" t="n">
        <v>45856</v>
      </c>
      <c r="L1694" t="inlineStr">
        <is>
          <t>Crédito no aprobado</t>
        </is>
      </c>
    </row>
    <row r="1695">
      <c r="A1695" t="inlineStr">
        <is>
          <t>CLI-1693</t>
        </is>
      </c>
      <c r="B1695" t="inlineStr">
        <is>
          <t>Ximena Marín Peláez</t>
        </is>
      </c>
      <c r="C1695" t="inlineStr">
        <is>
          <t>3155071034</t>
        </is>
      </c>
      <c r="D1695" t="inlineStr">
        <is>
          <t>ximena.marin59@yahoo.com</t>
        </is>
      </c>
      <c r="E1695" t="inlineStr">
        <is>
          <t>Envigado</t>
        </is>
      </c>
      <c r="F1695" t="inlineStr">
        <is>
          <t>PRY-001</t>
        </is>
      </c>
      <c r="G1695" t="inlineStr">
        <is>
          <t>Feria Inmobiliaria</t>
        </is>
      </c>
      <c r="H1695" t="inlineStr">
        <is>
          <t>Sofía Prada</t>
        </is>
      </c>
      <c r="I1695" t="inlineStr">
        <is>
          <t>Perdido</t>
        </is>
      </c>
      <c r="J1695" s="28" t="n">
        <v>45812</v>
      </c>
      <c r="K1695" s="28" t="n">
        <v>45839</v>
      </c>
      <c r="L1695" t="inlineStr">
        <is>
          <t>Buscaba arriendo, no compra</t>
        </is>
      </c>
    </row>
    <row r="1696">
      <c r="A1696" t="inlineStr">
        <is>
          <t>CLI-1694</t>
        </is>
      </c>
      <c r="B1696" t="inlineStr">
        <is>
          <t>Sebastián Valencia Vargas</t>
        </is>
      </c>
      <c r="C1696" t="inlineStr">
        <is>
          <t>3141693347</t>
        </is>
      </c>
      <c r="D1696" t="inlineStr">
        <is>
          <t>sebastian.valencia44@outlook.com</t>
        </is>
      </c>
      <c r="E1696" t="inlineStr">
        <is>
          <t>Sabaneta</t>
        </is>
      </c>
      <c r="F1696" t="inlineStr">
        <is>
          <t>PRY-001</t>
        </is>
      </c>
      <c r="G1696" t="inlineStr">
        <is>
          <t>Instagram</t>
        </is>
      </c>
      <c r="H1696" t="inlineStr">
        <is>
          <t>Santiago Muñoz</t>
        </is>
      </c>
      <c r="I1696" t="inlineStr">
        <is>
          <t>Perdido</t>
        </is>
      </c>
      <c r="J1696" s="28" t="n">
        <v>45812</v>
      </c>
      <c r="K1696" s="28" t="n">
        <v>45817</v>
      </c>
      <c r="L1696" t="inlineStr">
        <is>
          <t>No calificó para crédito</t>
        </is>
      </c>
    </row>
    <row r="1697">
      <c r="A1697" t="inlineStr">
        <is>
          <t>CLI-1695</t>
        </is>
      </c>
      <c r="B1697" t="inlineStr">
        <is>
          <t>Paula Zuluaga Ríos</t>
        </is>
      </c>
      <c r="C1697" t="inlineStr">
        <is>
          <t>3144555606</t>
        </is>
      </c>
      <c r="D1697" t="inlineStr">
        <is>
          <t>paula.zuluaga31@outlook.com</t>
        </is>
      </c>
      <c r="E1697" t="inlineStr">
        <is>
          <t>Sabaneta</t>
        </is>
      </c>
      <c r="F1697" t="inlineStr">
        <is>
          <t>PRY-008</t>
        </is>
      </c>
      <c r="G1697" t="inlineStr">
        <is>
          <t>Instagram</t>
        </is>
      </c>
      <c r="H1697" t="inlineStr">
        <is>
          <t>Luis Bedoya</t>
        </is>
      </c>
      <c r="I1697" t="inlineStr">
        <is>
          <t>Perdido</t>
        </is>
      </c>
      <c r="J1697" s="28" t="n">
        <v>45812</v>
      </c>
      <c r="K1697" s="28" t="n">
        <v>45840</v>
      </c>
      <c r="L1697" t="inlineStr">
        <is>
          <t>Buscaba arriendo, no compra</t>
        </is>
      </c>
    </row>
    <row r="1698">
      <c r="A1698" t="inlineStr">
        <is>
          <t>CLI-1696</t>
        </is>
      </c>
      <c r="B1698" t="inlineStr">
        <is>
          <t>Óscar Escobar Betancur</t>
        </is>
      </c>
      <c r="C1698" t="inlineStr">
        <is>
          <t>3014511312</t>
        </is>
      </c>
      <c r="D1698" t="inlineStr">
        <is>
          <t>oscar.escobar9@yahoo.com</t>
        </is>
      </c>
      <c r="E1698" t="inlineStr">
        <is>
          <t>Medellín</t>
        </is>
      </c>
      <c r="F1698" t="inlineStr">
        <is>
          <t>PRY-001</t>
        </is>
      </c>
      <c r="G1698" t="inlineStr">
        <is>
          <t>Portal Web</t>
        </is>
      </c>
      <c r="H1698" t="inlineStr">
        <is>
          <t>Ana Quintero</t>
        </is>
      </c>
      <c r="I1698" t="inlineStr">
        <is>
          <t>Perdido</t>
        </is>
      </c>
      <c r="J1698" s="28" t="n">
        <v>45812</v>
      </c>
      <c r="K1698" s="28" t="n">
        <v>45826</v>
      </c>
      <c r="L1698" t="inlineStr">
        <is>
          <t>Presupuesto insuficiente</t>
        </is>
      </c>
    </row>
    <row r="1699">
      <c r="A1699" t="inlineStr">
        <is>
          <t>CLI-1697</t>
        </is>
      </c>
      <c r="B1699" t="inlineStr">
        <is>
          <t>Manuela Vásquez Rojas</t>
        </is>
      </c>
      <c r="C1699" t="inlineStr">
        <is>
          <t>3005101097</t>
        </is>
      </c>
      <c r="D1699" t="inlineStr">
        <is>
          <t>manuela.vasquez19@hotmail.com</t>
        </is>
      </c>
      <c r="E1699" t="inlineStr">
        <is>
          <t>Medellín</t>
        </is>
      </c>
      <c r="F1699" t="inlineStr">
        <is>
          <t>PRY-003</t>
        </is>
      </c>
      <c r="G1699" t="inlineStr">
        <is>
          <t>Llamada directa</t>
        </is>
      </c>
      <c r="H1699" t="inlineStr">
        <is>
          <t>Miguel Salazar</t>
        </is>
      </c>
      <c r="I1699" t="inlineStr">
        <is>
          <t>Perdido</t>
        </is>
      </c>
      <c r="J1699" s="28" t="n">
        <v>45812</v>
      </c>
      <c r="K1699" s="28" t="n">
        <v>45831</v>
      </c>
      <c r="L1699" t="inlineStr">
        <is>
          <t>Sin respuesta tras 3 contactos</t>
        </is>
      </c>
    </row>
    <row r="1700">
      <c r="A1700" t="inlineStr">
        <is>
          <t>CLI-1698</t>
        </is>
      </c>
      <c r="B1700" t="inlineStr">
        <is>
          <t>Alejandra Toro Escobar</t>
        </is>
      </c>
      <c r="C1700" t="inlineStr">
        <is>
          <t>3151569958</t>
        </is>
      </c>
      <c r="D1700" t="inlineStr">
        <is>
          <t>alejandra.toro96@gmail.com</t>
        </is>
      </c>
      <c r="E1700" t="inlineStr">
        <is>
          <t>Medellín</t>
        </is>
      </c>
      <c r="F1700" t="inlineStr">
        <is>
          <t>PRY-008</t>
        </is>
      </c>
      <c r="G1700" t="inlineStr">
        <is>
          <t>Referido</t>
        </is>
      </c>
      <c r="H1700" t="inlineStr">
        <is>
          <t>Andrés Torres</t>
        </is>
      </c>
      <c r="I1700" t="inlineStr">
        <is>
          <t>Ganado</t>
        </is>
      </c>
      <c r="J1700" s="28" t="n">
        <v>45813</v>
      </c>
      <c r="K1700" s="28" t="n">
        <v>45919</v>
      </c>
      <c r="L1700" t="inlineStr">
        <is>
          <t>Compró Casa 46 en Valle Verde Itagüí</t>
        </is>
      </c>
    </row>
    <row r="1701">
      <c r="A1701" t="inlineStr">
        <is>
          <t>CLI-1699</t>
        </is>
      </c>
      <c r="B1701" t="inlineStr">
        <is>
          <t>Mariana Escobar Cardona</t>
        </is>
      </c>
      <c r="C1701" t="inlineStr">
        <is>
          <t>3138097146</t>
        </is>
      </c>
      <c r="D1701" t="inlineStr">
        <is>
          <t>mariana.escobar82@gmail.com</t>
        </is>
      </c>
      <c r="E1701" t="inlineStr">
        <is>
          <t>Envigado</t>
        </is>
      </c>
      <c r="F1701" t="inlineStr">
        <is>
          <t>PRY-007</t>
        </is>
      </c>
      <c r="G1701" t="inlineStr">
        <is>
          <t>Referido</t>
        </is>
      </c>
      <c r="H1701" t="inlineStr">
        <is>
          <t>Andrés Torres</t>
        </is>
      </c>
      <c r="I1701" t="inlineStr">
        <is>
          <t>Ganado</t>
        </is>
      </c>
      <c r="J1701" s="28" t="n">
        <v>45813</v>
      </c>
      <c r="K1701" s="28" t="n">
        <v>45963</v>
      </c>
      <c r="L1701" t="inlineStr">
        <is>
          <t>Compró Apto 1306 en Mirador de Envigado</t>
        </is>
      </c>
    </row>
    <row r="1702">
      <c r="A1702" t="inlineStr">
        <is>
          <t>CLI-1700</t>
        </is>
      </c>
      <c r="B1702" t="inlineStr">
        <is>
          <t>Camila Álvarez Valencia</t>
        </is>
      </c>
      <c r="C1702" t="inlineStr">
        <is>
          <t>3227885497</t>
        </is>
      </c>
      <c r="D1702" t="inlineStr">
        <is>
          <t>camila.alvarez38@yahoo.com</t>
        </is>
      </c>
      <c r="E1702" t="inlineStr">
        <is>
          <t>Envigado</t>
        </is>
      </c>
      <c r="F1702" t="inlineStr">
        <is>
          <t>PRY-007</t>
        </is>
      </c>
      <c r="G1702" t="inlineStr">
        <is>
          <t>Portal Web</t>
        </is>
      </c>
      <c r="H1702" t="inlineStr">
        <is>
          <t>Andrés Torres</t>
        </is>
      </c>
      <c r="I1702" t="inlineStr">
        <is>
          <t>Perdido</t>
        </is>
      </c>
      <c r="J1702" s="28" t="n">
        <v>45813</v>
      </c>
      <c r="K1702" s="28" t="n">
        <v>45954</v>
      </c>
      <c r="L1702" t="inlineStr">
        <is>
          <t>Eligió otro proyecto</t>
        </is>
      </c>
    </row>
    <row r="1703">
      <c r="A1703" t="inlineStr">
        <is>
          <t>CLI-1701</t>
        </is>
      </c>
      <c r="B1703" t="inlineStr">
        <is>
          <t>Jhon Gaviria Salazar</t>
        </is>
      </c>
      <c r="C1703" t="inlineStr">
        <is>
          <t>3223181763</t>
        </is>
      </c>
      <c r="D1703" t="inlineStr">
        <is>
          <t>jhon.gaviria10@gmail.com</t>
        </is>
      </c>
      <c r="E1703" t="inlineStr">
        <is>
          <t>Medellín</t>
        </is>
      </c>
      <c r="F1703" t="inlineStr">
        <is>
          <t>PRY-001</t>
        </is>
      </c>
      <c r="G1703" t="inlineStr">
        <is>
          <t>Feria Inmobiliaria</t>
        </is>
      </c>
      <c r="H1703" t="inlineStr">
        <is>
          <t>Paula Arenas</t>
        </is>
      </c>
      <c r="I1703" t="inlineStr">
        <is>
          <t>Perdido</t>
        </is>
      </c>
      <c r="J1703" s="28" t="n">
        <v>45813</v>
      </c>
      <c r="K1703" s="28" t="n">
        <v>45826</v>
      </c>
      <c r="L1703" t="inlineStr">
        <is>
          <t>Presupuesto insuficiente</t>
        </is>
      </c>
    </row>
    <row r="1704">
      <c r="A1704" t="inlineStr">
        <is>
          <t>CLI-1702</t>
        </is>
      </c>
      <c r="B1704" t="inlineStr">
        <is>
          <t>Jhon Salazar Ramírez</t>
        </is>
      </c>
      <c r="C1704" t="inlineStr">
        <is>
          <t>3239576487</t>
        </is>
      </c>
      <c r="D1704" t="inlineStr">
        <is>
          <t>jhon.salazar83@gmail.com</t>
        </is>
      </c>
      <c r="E1704" t="inlineStr">
        <is>
          <t>Sabaneta</t>
        </is>
      </c>
      <c r="F1704" t="inlineStr">
        <is>
          <t>PRY-008</t>
        </is>
      </c>
      <c r="G1704" t="inlineStr">
        <is>
          <t>Portal Web</t>
        </is>
      </c>
      <c r="H1704" t="inlineStr">
        <is>
          <t>Sofía Prada</t>
        </is>
      </c>
      <c r="I1704" t="inlineStr">
        <is>
          <t>Perdido</t>
        </is>
      </c>
      <c r="J1704" s="28" t="n">
        <v>45813</v>
      </c>
      <c r="K1704" s="28" t="n">
        <v>45834</v>
      </c>
      <c r="L1704" t="inlineStr">
        <is>
          <t>Datos de contacto errados</t>
        </is>
      </c>
    </row>
    <row r="1705">
      <c r="A1705" t="inlineStr">
        <is>
          <t>CLI-1703</t>
        </is>
      </c>
      <c r="B1705" t="inlineStr">
        <is>
          <t>Tomás Salcedo Agudelo</t>
        </is>
      </c>
      <c r="C1705" t="inlineStr">
        <is>
          <t>3108937686</t>
        </is>
      </c>
      <c r="D1705" t="inlineStr">
        <is>
          <t>tomas.salcedo66@gmail.com</t>
        </is>
      </c>
      <c r="E1705" t="inlineStr">
        <is>
          <t>Envigado</t>
        </is>
      </c>
      <c r="F1705" t="inlineStr">
        <is>
          <t>PRY-007</t>
        </is>
      </c>
      <c r="G1705" t="inlineStr">
        <is>
          <t>Portal Web</t>
        </is>
      </c>
      <c r="H1705" t="inlineStr">
        <is>
          <t>Juliana Vélez</t>
        </is>
      </c>
      <c r="I1705" t="inlineStr">
        <is>
          <t>Perdido</t>
        </is>
      </c>
      <c r="J1705" s="28" t="n">
        <v>45813</v>
      </c>
      <c r="K1705" s="28" t="n">
        <v>45821</v>
      </c>
      <c r="L1705" t="inlineStr">
        <is>
          <t>Sin respuesta tras 3 contactos</t>
        </is>
      </c>
    </row>
    <row r="1706">
      <c r="A1706" t="inlineStr">
        <is>
          <t>CLI-1704</t>
        </is>
      </c>
      <c r="B1706" t="inlineStr">
        <is>
          <t>Mateo Pérez Valencia</t>
        </is>
      </c>
      <c r="C1706" t="inlineStr">
        <is>
          <t>3237686054</t>
        </is>
      </c>
      <c r="D1706" t="inlineStr">
        <is>
          <t>mateo.perez79@hotmail.com</t>
        </is>
      </c>
      <c r="E1706" t="inlineStr">
        <is>
          <t>Medellín</t>
        </is>
      </c>
      <c r="F1706" t="inlineStr">
        <is>
          <t>PRY-001</t>
        </is>
      </c>
      <c r="G1706" t="inlineStr">
        <is>
          <t>Llamada directa</t>
        </is>
      </c>
      <c r="H1706" t="inlineStr">
        <is>
          <t>Sofía Prada</t>
        </is>
      </c>
      <c r="I1706" t="inlineStr">
        <is>
          <t>Perdido</t>
        </is>
      </c>
      <c r="J1706" s="28" t="n">
        <v>45814</v>
      </c>
      <c r="K1706" s="28" t="n">
        <v>45827</v>
      </c>
      <c r="L1706" t="inlineStr">
        <is>
          <t>No calificó para crédito</t>
        </is>
      </c>
    </row>
    <row r="1707">
      <c r="A1707" t="inlineStr">
        <is>
          <t>CLI-1705</t>
        </is>
      </c>
      <c r="B1707" t="inlineStr">
        <is>
          <t>Carolina Cifuentes Rojas</t>
        </is>
      </c>
      <c r="C1707" t="inlineStr">
        <is>
          <t>3174082084</t>
        </is>
      </c>
      <c r="D1707" t="inlineStr">
        <is>
          <t>carolina.cifuentes69@hotmail.com</t>
        </is>
      </c>
      <c r="E1707" t="inlineStr">
        <is>
          <t>Medellín</t>
        </is>
      </c>
      <c r="F1707" t="inlineStr">
        <is>
          <t>PRY-001</t>
        </is>
      </c>
      <c r="G1707" t="inlineStr">
        <is>
          <t>Instagram</t>
        </is>
      </c>
      <c r="H1707" t="inlineStr">
        <is>
          <t>Ana Quintero</t>
        </is>
      </c>
      <c r="I1707" t="inlineStr">
        <is>
          <t>Perdido</t>
        </is>
      </c>
      <c r="J1707" s="28" t="n">
        <v>45814</v>
      </c>
      <c r="K1707" s="28" t="n">
        <v>45831</v>
      </c>
      <c r="L1707" t="inlineStr">
        <is>
          <t>Sin respuesta tras 3 contactos</t>
        </is>
      </c>
    </row>
    <row r="1708">
      <c r="A1708" t="inlineStr">
        <is>
          <t>CLI-1706</t>
        </is>
      </c>
      <c r="B1708" t="inlineStr">
        <is>
          <t>Mónica Ramírez Betancur</t>
        </is>
      </c>
      <c r="C1708" t="inlineStr">
        <is>
          <t>3222098113</t>
        </is>
      </c>
      <c r="D1708" t="inlineStr">
        <is>
          <t>monica.ramirez69@outlook.com</t>
        </is>
      </c>
      <c r="E1708" t="inlineStr">
        <is>
          <t>Medellín</t>
        </is>
      </c>
      <c r="F1708" t="inlineStr">
        <is>
          <t>PRY-002</t>
        </is>
      </c>
      <c r="G1708" t="inlineStr">
        <is>
          <t>Llamada directa</t>
        </is>
      </c>
      <c r="H1708" t="inlineStr">
        <is>
          <t>Paula Arenas</t>
        </is>
      </c>
      <c r="I1708" t="inlineStr">
        <is>
          <t>Perdido</t>
        </is>
      </c>
      <c r="J1708" s="28" t="n">
        <v>45815</v>
      </c>
      <c r="K1708" s="28" t="n">
        <v>45899</v>
      </c>
      <c r="L1708" t="inlineStr">
        <is>
          <t>Precio fuera de presupuesto</t>
        </is>
      </c>
    </row>
    <row r="1709">
      <c r="A1709" t="inlineStr">
        <is>
          <t>CLI-1707</t>
        </is>
      </c>
      <c r="B1709" t="inlineStr">
        <is>
          <t>Mauricio Muñoz Ramírez</t>
        </is>
      </c>
      <c r="C1709" t="inlineStr">
        <is>
          <t>3221686283</t>
        </is>
      </c>
      <c r="D1709" t="inlineStr">
        <is>
          <t>mauricio.munoz56@gmail.com</t>
        </is>
      </c>
      <c r="E1709" t="inlineStr">
        <is>
          <t>Medellín</t>
        </is>
      </c>
      <c r="F1709" t="inlineStr">
        <is>
          <t>PRY-003</t>
        </is>
      </c>
      <c r="G1709" t="inlineStr">
        <is>
          <t>Feria Inmobiliaria</t>
        </is>
      </c>
      <c r="H1709" t="inlineStr">
        <is>
          <t>Ana Quintero</t>
        </is>
      </c>
      <c r="I1709" t="inlineStr">
        <is>
          <t>Perdido</t>
        </is>
      </c>
      <c r="J1709" s="28" t="n">
        <v>45815</v>
      </c>
      <c r="K1709" s="28" t="n">
        <v>45842</v>
      </c>
      <c r="L1709" t="inlineStr">
        <is>
          <t>No calificó para crédito</t>
        </is>
      </c>
    </row>
    <row r="1710">
      <c r="A1710" t="inlineStr">
        <is>
          <t>CLI-1708</t>
        </is>
      </c>
      <c r="B1710" t="inlineStr">
        <is>
          <t>Gloria Giraldo Vargas</t>
        </is>
      </c>
      <c r="C1710" t="inlineStr">
        <is>
          <t>3237208202</t>
        </is>
      </c>
      <c r="D1710" t="inlineStr">
        <is>
          <t>gloria.giraldo4@outlook.com</t>
        </is>
      </c>
      <c r="E1710" t="inlineStr">
        <is>
          <t>Envigado</t>
        </is>
      </c>
      <c r="F1710" t="inlineStr">
        <is>
          <t>PRY-003</t>
        </is>
      </c>
      <c r="G1710" t="inlineStr">
        <is>
          <t>Feria Inmobiliaria</t>
        </is>
      </c>
      <c r="H1710" t="inlineStr">
        <is>
          <t>Paula Arenas</t>
        </is>
      </c>
      <c r="I1710" t="inlineStr">
        <is>
          <t>Ganado</t>
        </is>
      </c>
      <c r="J1710" s="28" t="n">
        <v>45816</v>
      </c>
      <c r="K1710" s="28" t="n">
        <v>45900</v>
      </c>
      <c r="L1710" t="inlineStr">
        <is>
          <t>Compró Apto 2408 en Conecta Laureles</t>
        </is>
      </c>
    </row>
    <row r="1711">
      <c r="A1711" t="inlineStr">
        <is>
          <t>CLI-1709</t>
        </is>
      </c>
      <c r="B1711" t="inlineStr">
        <is>
          <t>Ricardo Álvarez Gaviria</t>
        </is>
      </c>
      <c r="C1711" t="inlineStr">
        <is>
          <t>3201290418</t>
        </is>
      </c>
      <c r="D1711" t="inlineStr">
        <is>
          <t>ricardo.alvarez57@hotmail.com</t>
        </is>
      </c>
      <c r="E1711" t="inlineStr">
        <is>
          <t>Medellín</t>
        </is>
      </c>
      <c r="F1711" t="inlineStr">
        <is>
          <t>PRY-003</t>
        </is>
      </c>
      <c r="G1711" t="inlineStr">
        <is>
          <t>Instagram</t>
        </is>
      </c>
      <c r="H1711" t="inlineStr">
        <is>
          <t>Paula Arenas</t>
        </is>
      </c>
      <c r="I1711" t="inlineStr">
        <is>
          <t>Perdido</t>
        </is>
      </c>
      <c r="J1711" s="28" t="n">
        <v>45816</v>
      </c>
      <c r="K1711" s="28" t="n">
        <v>45849</v>
      </c>
      <c r="L1711" t="inlineStr">
        <is>
          <t>Eligió otro proyecto</t>
        </is>
      </c>
    </row>
    <row r="1712">
      <c r="A1712" t="inlineStr">
        <is>
          <t>CLI-1710</t>
        </is>
      </c>
      <c r="B1712" t="inlineStr">
        <is>
          <t>Tomás Restrepo Duque</t>
        </is>
      </c>
      <c r="C1712" t="inlineStr">
        <is>
          <t>3009586464</t>
        </is>
      </c>
      <c r="D1712" t="inlineStr">
        <is>
          <t>tomas.restrepo37@outlook.com</t>
        </is>
      </c>
      <c r="E1712" t="inlineStr">
        <is>
          <t>Medellín</t>
        </is>
      </c>
      <c r="F1712" t="inlineStr">
        <is>
          <t>PRY-008</t>
        </is>
      </c>
      <c r="G1712" t="inlineStr">
        <is>
          <t>Feria Inmobiliaria</t>
        </is>
      </c>
      <c r="H1712" t="inlineStr">
        <is>
          <t>Juliana Vélez</t>
        </is>
      </c>
      <c r="I1712" t="inlineStr">
        <is>
          <t>Perdido</t>
        </is>
      </c>
      <c r="J1712" s="28" t="n">
        <v>45816</v>
      </c>
      <c r="K1712" s="28" t="n">
        <v>45844</v>
      </c>
      <c r="L1712" t="inlineStr">
        <is>
          <t>No calificó para crédito</t>
        </is>
      </c>
    </row>
    <row r="1713">
      <c r="A1713" t="inlineStr">
        <is>
          <t>CLI-1711</t>
        </is>
      </c>
      <c r="B1713" t="inlineStr">
        <is>
          <t>Isabel Cifuentes Higuita</t>
        </is>
      </c>
      <c r="C1713" t="inlineStr">
        <is>
          <t>3101567568</t>
        </is>
      </c>
      <c r="D1713" t="inlineStr">
        <is>
          <t>isabel.cifuentes14@outlook.com</t>
        </is>
      </c>
      <c r="E1713" t="inlineStr">
        <is>
          <t>Rionegro</t>
        </is>
      </c>
      <c r="F1713" t="inlineStr">
        <is>
          <t>PRY-005</t>
        </is>
      </c>
      <c r="G1713" t="inlineStr">
        <is>
          <t>Facebook</t>
        </is>
      </c>
      <c r="H1713" t="inlineStr">
        <is>
          <t>Ana Quintero</t>
        </is>
      </c>
      <c r="I1713" t="inlineStr">
        <is>
          <t>Perdido</t>
        </is>
      </c>
      <c r="J1713" s="28" t="n">
        <v>45817</v>
      </c>
      <c r="K1713" s="28" t="n">
        <v>45834</v>
      </c>
      <c r="L1713" t="inlineStr">
        <is>
          <t>Sin respuesta tras 3 contactos</t>
        </is>
      </c>
    </row>
    <row r="1714">
      <c r="A1714" t="inlineStr">
        <is>
          <t>CLI-1712</t>
        </is>
      </c>
      <c r="B1714" t="inlineStr">
        <is>
          <t>Patricia Montes Ríos</t>
        </is>
      </c>
      <c r="C1714" t="inlineStr">
        <is>
          <t>3108868523</t>
        </is>
      </c>
      <c r="D1714" t="inlineStr">
        <is>
          <t>patricia.montes42@outlook.com</t>
        </is>
      </c>
      <c r="E1714" t="inlineStr">
        <is>
          <t>La Estrella</t>
        </is>
      </c>
      <c r="F1714" t="inlineStr">
        <is>
          <t>PRY-003</t>
        </is>
      </c>
      <c r="G1714" t="inlineStr">
        <is>
          <t>Feria Inmobiliaria</t>
        </is>
      </c>
      <c r="H1714" t="inlineStr">
        <is>
          <t>Juliana Vélez</t>
        </is>
      </c>
      <c r="I1714" t="inlineStr">
        <is>
          <t>Perdido</t>
        </is>
      </c>
      <c r="J1714" s="28" t="n">
        <v>45817</v>
      </c>
      <c r="K1714" s="28" t="n">
        <v>45834</v>
      </c>
      <c r="L1714" t="inlineStr">
        <is>
          <t>Sin respuesta tras 3 contactos</t>
        </is>
      </c>
    </row>
    <row r="1715">
      <c r="A1715" t="inlineStr">
        <is>
          <t>CLI-1713</t>
        </is>
      </c>
      <c r="B1715" t="inlineStr">
        <is>
          <t>Jhon Álvarez Gómez</t>
        </is>
      </c>
      <c r="C1715" t="inlineStr">
        <is>
          <t>3102523437</t>
        </is>
      </c>
      <c r="D1715" t="inlineStr">
        <is>
          <t>jhon.alvarez79@hotmail.com</t>
        </is>
      </c>
      <c r="E1715" t="inlineStr">
        <is>
          <t>Medellín</t>
        </is>
      </c>
      <c r="F1715" t="inlineStr">
        <is>
          <t>PRY-001</t>
        </is>
      </c>
      <c r="G1715" t="inlineStr">
        <is>
          <t>Instagram</t>
        </is>
      </c>
      <c r="H1715" t="inlineStr">
        <is>
          <t>Juliana Vélez</t>
        </is>
      </c>
      <c r="I1715" t="inlineStr">
        <is>
          <t>Perdido</t>
        </is>
      </c>
      <c r="J1715" s="28" t="n">
        <v>45817</v>
      </c>
      <c r="K1715" s="28" t="n">
        <v>45826</v>
      </c>
      <c r="L1715" t="inlineStr">
        <is>
          <t>Datos de contacto errados</t>
        </is>
      </c>
    </row>
    <row r="1716">
      <c r="A1716" t="inlineStr">
        <is>
          <t>CLI-1714</t>
        </is>
      </c>
      <c r="B1716" t="inlineStr">
        <is>
          <t>Mauricio Hernández Ríos</t>
        </is>
      </c>
      <c r="C1716" t="inlineStr">
        <is>
          <t>3137195737</t>
        </is>
      </c>
      <c r="D1716" t="inlineStr">
        <is>
          <t>mauricio.hernandez72@hotmail.com</t>
        </is>
      </c>
      <c r="E1716" t="inlineStr">
        <is>
          <t>Itagüí</t>
        </is>
      </c>
      <c r="F1716" t="inlineStr">
        <is>
          <t>PRY-007</t>
        </is>
      </c>
      <c r="G1716" t="inlineStr">
        <is>
          <t>Portal Web</t>
        </is>
      </c>
      <c r="H1716" t="inlineStr">
        <is>
          <t>Luis Bedoya</t>
        </is>
      </c>
      <c r="I1716" t="inlineStr">
        <is>
          <t>Perdido</t>
        </is>
      </c>
      <c r="J1716" s="28" t="n">
        <v>45818</v>
      </c>
      <c r="K1716" s="28" t="n">
        <v>45833</v>
      </c>
      <c r="L1716" t="inlineStr">
        <is>
          <t>Presupuesto insuficiente</t>
        </is>
      </c>
    </row>
    <row r="1717">
      <c r="A1717" t="inlineStr">
        <is>
          <t>CLI-1715</t>
        </is>
      </c>
      <c r="B1717" t="inlineStr">
        <is>
          <t>Julián Salcedo Jaramillo</t>
        </is>
      </c>
      <c r="C1717" t="inlineStr">
        <is>
          <t>3237932819</t>
        </is>
      </c>
      <c r="D1717" t="inlineStr">
        <is>
          <t>julian.salcedo13@gmail.com</t>
        </is>
      </c>
      <c r="E1717" t="inlineStr">
        <is>
          <t>Envigado</t>
        </is>
      </c>
      <c r="F1717" t="inlineStr">
        <is>
          <t>PRY-007</t>
        </is>
      </c>
      <c r="G1717" t="inlineStr">
        <is>
          <t>Instagram</t>
        </is>
      </c>
      <c r="H1717" t="inlineStr">
        <is>
          <t>Ana Quintero</t>
        </is>
      </c>
      <c r="I1717" t="inlineStr">
        <is>
          <t>Perdido</t>
        </is>
      </c>
      <c r="J1717" s="28" t="n">
        <v>45818</v>
      </c>
      <c r="K1717" s="28" t="n">
        <v>45825</v>
      </c>
      <c r="L1717" t="inlineStr">
        <is>
          <t>No calificó para crédito</t>
        </is>
      </c>
    </row>
    <row r="1718">
      <c r="A1718" t="inlineStr">
        <is>
          <t>CLI-1716</t>
        </is>
      </c>
      <c r="B1718" t="inlineStr">
        <is>
          <t>Juan Pablo Álvarez Zuluaga</t>
        </is>
      </c>
      <c r="C1718" t="inlineStr">
        <is>
          <t>3207861538</t>
        </is>
      </c>
      <c r="D1718" t="inlineStr">
        <is>
          <t>juan.alvarez48@gmail.com</t>
        </is>
      </c>
      <c r="E1718" t="inlineStr">
        <is>
          <t>Medellín</t>
        </is>
      </c>
      <c r="F1718" t="inlineStr">
        <is>
          <t>PRY-002</t>
        </is>
      </c>
      <c r="G1718" t="inlineStr">
        <is>
          <t>Portal Web</t>
        </is>
      </c>
      <c r="H1718" t="inlineStr">
        <is>
          <t>Sofía Prada</t>
        </is>
      </c>
      <c r="I1718" t="inlineStr">
        <is>
          <t>Perdido</t>
        </is>
      </c>
      <c r="J1718" s="28" t="n">
        <v>45818</v>
      </c>
      <c r="K1718" s="28" t="n">
        <v>45835</v>
      </c>
      <c r="L1718" t="inlineStr">
        <is>
          <t>Sin respuesta tras 3 contactos</t>
        </is>
      </c>
    </row>
    <row r="1719">
      <c r="A1719" t="inlineStr">
        <is>
          <t>CLI-1717</t>
        </is>
      </c>
      <c r="B1719" t="inlineStr">
        <is>
          <t>Hernán Henao Salazar</t>
        </is>
      </c>
      <c r="C1719" t="inlineStr">
        <is>
          <t>3233959286</t>
        </is>
      </c>
      <c r="D1719" t="inlineStr">
        <is>
          <t>hernan.henao77@outlook.com</t>
        </is>
      </c>
      <c r="E1719" t="inlineStr">
        <is>
          <t>Medellín</t>
        </is>
      </c>
      <c r="F1719" t="inlineStr">
        <is>
          <t>PRY-003</t>
        </is>
      </c>
      <c r="G1719" t="inlineStr">
        <is>
          <t>Instagram</t>
        </is>
      </c>
      <c r="H1719" t="inlineStr">
        <is>
          <t>Paula Arenas</t>
        </is>
      </c>
      <c r="I1719" t="inlineStr">
        <is>
          <t>Perdido</t>
        </is>
      </c>
      <c r="J1719" s="28" t="n">
        <v>45818</v>
      </c>
      <c r="K1719" s="28" t="n">
        <v>45837</v>
      </c>
      <c r="L1719" t="inlineStr">
        <is>
          <t>Presupuesto insuficiente</t>
        </is>
      </c>
    </row>
    <row r="1720">
      <c r="A1720" t="inlineStr">
        <is>
          <t>CLI-1718</t>
        </is>
      </c>
      <c r="B1720" t="inlineStr">
        <is>
          <t>Ximena Vargas Muñoz</t>
        </is>
      </c>
      <c r="C1720" t="inlineStr">
        <is>
          <t>3174937413</t>
        </is>
      </c>
      <c r="D1720" t="inlineStr">
        <is>
          <t>ximena.vargas95@gmail.com</t>
        </is>
      </c>
      <c r="E1720" t="inlineStr">
        <is>
          <t>La Estrella</t>
        </is>
      </c>
      <c r="F1720" t="inlineStr">
        <is>
          <t>PRY-002</t>
        </is>
      </c>
      <c r="G1720" t="inlineStr">
        <is>
          <t>Facebook</t>
        </is>
      </c>
      <c r="H1720" t="inlineStr">
        <is>
          <t>Santiago Muñoz</t>
        </is>
      </c>
      <c r="I1720" t="inlineStr">
        <is>
          <t>Perdido</t>
        </is>
      </c>
      <c r="J1720" s="28" t="n">
        <v>45818</v>
      </c>
      <c r="K1720" s="28" t="n">
        <v>45825</v>
      </c>
      <c r="L1720" t="inlineStr">
        <is>
          <t>Sin respuesta tras 3 contactos</t>
        </is>
      </c>
    </row>
    <row r="1721">
      <c r="A1721" t="inlineStr">
        <is>
          <t>CLI-1719</t>
        </is>
      </c>
      <c r="B1721" t="inlineStr">
        <is>
          <t>Daniel Gaviria Castaño</t>
        </is>
      </c>
      <c r="C1721" t="inlineStr">
        <is>
          <t>3144248872</t>
        </is>
      </c>
      <c r="D1721" t="inlineStr">
        <is>
          <t>daniel.gaviria79@outlook.com</t>
        </is>
      </c>
      <c r="E1721" t="inlineStr">
        <is>
          <t>Rionegro</t>
        </is>
      </c>
      <c r="F1721" t="inlineStr">
        <is>
          <t>PRY-005</t>
        </is>
      </c>
      <c r="G1721" t="inlineStr">
        <is>
          <t>Portal Web</t>
        </is>
      </c>
      <c r="H1721" t="inlineStr">
        <is>
          <t>Andrés Torres</t>
        </is>
      </c>
      <c r="I1721" t="inlineStr">
        <is>
          <t>Ganado</t>
        </is>
      </c>
      <c r="J1721" s="28" t="n">
        <v>45819</v>
      </c>
      <c r="K1721" s="28" t="n">
        <v>45985</v>
      </c>
      <c r="L1721" t="inlineStr">
        <is>
          <t>Compró Apto 308 en Ciudadela Rionegro</t>
        </is>
      </c>
    </row>
    <row r="1722">
      <c r="A1722" t="inlineStr">
        <is>
          <t>CLI-1720</t>
        </is>
      </c>
      <c r="B1722" t="inlineStr">
        <is>
          <t>Emilio Henao Salcedo</t>
        </is>
      </c>
      <c r="C1722" t="inlineStr">
        <is>
          <t>3241742474</t>
        </is>
      </c>
      <c r="D1722" t="inlineStr">
        <is>
          <t>emilio.henao57@yahoo.com</t>
        </is>
      </c>
      <c r="E1722" t="inlineStr">
        <is>
          <t>Medellín</t>
        </is>
      </c>
      <c r="F1722" t="inlineStr">
        <is>
          <t>PRY-003</t>
        </is>
      </c>
      <c r="G1722" t="inlineStr">
        <is>
          <t>Facebook</t>
        </is>
      </c>
      <c r="H1722" t="inlineStr">
        <is>
          <t>Santiago Muñoz</t>
        </is>
      </c>
      <c r="I1722" t="inlineStr">
        <is>
          <t>Perdido</t>
        </is>
      </c>
      <c r="J1722" s="28" t="n">
        <v>45819</v>
      </c>
      <c r="K1722" s="28" t="n">
        <v>45824</v>
      </c>
      <c r="L1722" t="inlineStr">
        <is>
          <t>Presupuesto insuficiente</t>
        </is>
      </c>
    </row>
    <row r="1723">
      <c r="A1723" t="inlineStr">
        <is>
          <t>CLI-1721</t>
        </is>
      </c>
      <c r="B1723" t="inlineStr">
        <is>
          <t>Simón Ramírez Cano</t>
        </is>
      </c>
      <c r="C1723" t="inlineStr">
        <is>
          <t>3008013211</t>
        </is>
      </c>
      <c r="D1723" t="inlineStr">
        <is>
          <t>simon.ramirez56@hotmail.com</t>
        </is>
      </c>
      <c r="E1723" t="inlineStr">
        <is>
          <t>Itagüí</t>
        </is>
      </c>
      <c r="F1723" t="inlineStr">
        <is>
          <t>PRY-003</t>
        </is>
      </c>
      <c r="G1723" t="inlineStr">
        <is>
          <t>Feria Inmobiliaria</t>
        </is>
      </c>
      <c r="H1723" t="inlineStr">
        <is>
          <t>Luis Bedoya</t>
        </is>
      </c>
      <c r="I1723" t="inlineStr">
        <is>
          <t>Ganado</t>
        </is>
      </c>
      <c r="J1723" s="28" t="n">
        <v>45820</v>
      </c>
      <c r="K1723" s="28" t="n">
        <v>45931</v>
      </c>
      <c r="L1723" t="inlineStr">
        <is>
          <t>Compró Apto 702 en Conecta Laureles</t>
        </is>
      </c>
    </row>
    <row r="1724">
      <c r="A1724" t="inlineStr">
        <is>
          <t>CLI-1722</t>
        </is>
      </c>
      <c r="B1724" t="inlineStr">
        <is>
          <t>Daniela Gaviria Henao</t>
        </is>
      </c>
      <c r="C1724" t="inlineStr">
        <is>
          <t>3151116218</t>
        </is>
      </c>
      <c r="D1724" t="inlineStr">
        <is>
          <t>daniela.gaviria44@gmail.com</t>
        </is>
      </c>
      <c r="E1724" t="inlineStr">
        <is>
          <t>La Estrella</t>
        </is>
      </c>
      <c r="F1724" t="inlineStr">
        <is>
          <t>PRY-007</t>
        </is>
      </c>
      <c r="G1724" t="inlineStr">
        <is>
          <t>Feria Inmobiliaria</t>
        </is>
      </c>
      <c r="H1724" t="inlineStr">
        <is>
          <t>Daniela Ríos</t>
        </is>
      </c>
      <c r="I1724" t="inlineStr">
        <is>
          <t>Ganado</t>
        </is>
      </c>
      <c r="J1724" s="28" t="n">
        <v>45820</v>
      </c>
      <c r="K1724" s="28" t="n">
        <v>45954</v>
      </c>
      <c r="L1724" t="inlineStr">
        <is>
          <t>Compró Apto 1402 en Mirador de Envigado</t>
        </is>
      </c>
    </row>
    <row r="1725">
      <c r="A1725" t="inlineStr">
        <is>
          <t>CLI-1723</t>
        </is>
      </c>
      <c r="B1725" t="inlineStr">
        <is>
          <t>Paula Montes Agudelo</t>
        </is>
      </c>
      <c r="C1725" t="inlineStr">
        <is>
          <t>3248505426</t>
        </is>
      </c>
      <c r="D1725" t="inlineStr">
        <is>
          <t>paula.montes77@yahoo.com</t>
        </is>
      </c>
      <c r="E1725" t="inlineStr">
        <is>
          <t>Rionegro</t>
        </is>
      </c>
      <c r="F1725" t="inlineStr">
        <is>
          <t>PRY-005</t>
        </is>
      </c>
      <c r="G1725" t="inlineStr">
        <is>
          <t>Llamada directa</t>
        </is>
      </c>
      <c r="H1725" t="inlineStr">
        <is>
          <t>Andrés Torres</t>
        </is>
      </c>
      <c r="I1725" t="inlineStr">
        <is>
          <t>Perdido</t>
        </is>
      </c>
      <c r="J1725" s="28" t="n">
        <v>45820</v>
      </c>
      <c r="K1725" s="28" t="n">
        <v>45920</v>
      </c>
      <c r="L1725" t="inlineStr">
        <is>
          <t>Desistió de la compra</t>
        </is>
      </c>
    </row>
    <row r="1726">
      <c r="A1726" t="inlineStr">
        <is>
          <t>CLI-1724</t>
        </is>
      </c>
      <c r="B1726" t="inlineStr">
        <is>
          <t>Nicolás Pérez Franco</t>
        </is>
      </c>
      <c r="C1726" t="inlineStr">
        <is>
          <t>3141922036</t>
        </is>
      </c>
      <c r="D1726" t="inlineStr">
        <is>
          <t>nicolas.perez19@gmail.com</t>
        </is>
      </c>
      <c r="E1726" t="inlineStr">
        <is>
          <t>Itagüí</t>
        </is>
      </c>
      <c r="F1726" t="inlineStr">
        <is>
          <t>PRY-008</t>
        </is>
      </c>
      <c r="G1726" t="inlineStr">
        <is>
          <t>Portal Web</t>
        </is>
      </c>
      <c r="H1726" t="inlineStr">
        <is>
          <t>Ana Quintero</t>
        </is>
      </c>
      <c r="I1726" t="inlineStr">
        <is>
          <t>Ganado</t>
        </is>
      </c>
      <c r="J1726" s="28" t="n">
        <v>45820</v>
      </c>
      <c r="K1726" s="28" t="n">
        <v>45938</v>
      </c>
      <c r="L1726" t="inlineStr">
        <is>
          <t>Compró Casa 3 en Valle Verde Itagüí</t>
        </is>
      </c>
    </row>
    <row r="1727">
      <c r="A1727" t="inlineStr">
        <is>
          <t>CLI-1725</t>
        </is>
      </c>
      <c r="B1727" t="inlineStr">
        <is>
          <t>Juliana Betancur Bedoya</t>
        </is>
      </c>
      <c r="C1727" t="inlineStr">
        <is>
          <t>3008690250</t>
        </is>
      </c>
      <c r="D1727" t="inlineStr">
        <is>
          <t>juliana.betancur52@hotmail.com</t>
        </is>
      </c>
      <c r="E1727" t="inlineStr">
        <is>
          <t>Itagüí</t>
        </is>
      </c>
      <c r="F1727" t="inlineStr">
        <is>
          <t>PRY-008</t>
        </is>
      </c>
      <c r="G1727" t="inlineStr">
        <is>
          <t>Llamada directa</t>
        </is>
      </c>
      <c r="H1727" t="inlineStr">
        <is>
          <t>Ana Quintero</t>
        </is>
      </c>
      <c r="I1727" t="inlineStr">
        <is>
          <t>Perdido</t>
        </is>
      </c>
      <c r="J1727" s="28" t="n">
        <v>45820</v>
      </c>
      <c r="K1727" s="28" t="n">
        <v>45847</v>
      </c>
      <c r="L1727" t="inlineStr">
        <is>
          <t>No calificó para crédito</t>
        </is>
      </c>
    </row>
    <row r="1728">
      <c r="A1728" t="inlineStr">
        <is>
          <t>CLI-1726</t>
        </is>
      </c>
      <c r="B1728" t="inlineStr">
        <is>
          <t>Emilio Cifuentes Mejía</t>
        </is>
      </c>
      <c r="C1728" t="inlineStr">
        <is>
          <t>3045323091</t>
        </is>
      </c>
      <c r="D1728" t="inlineStr">
        <is>
          <t>emilio.cifuentes88@yahoo.com</t>
        </is>
      </c>
      <c r="E1728" t="inlineStr">
        <is>
          <t>Medellín</t>
        </is>
      </c>
      <c r="F1728" t="inlineStr">
        <is>
          <t>PRY-005</t>
        </is>
      </c>
      <c r="G1728" t="inlineStr">
        <is>
          <t>Facebook</t>
        </is>
      </c>
      <c r="H1728" t="inlineStr">
        <is>
          <t>Miguel Salazar</t>
        </is>
      </c>
      <c r="I1728" t="inlineStr">
        <is>
          <t>Perdido</t>
        </is>
      </c>
      <c r="J1728" s="28" t="n">
        <v>45820</v>
      </c>
      <c r="K1728" s="28" t="n">
        <v>45830</v>
      </c>
      <c r="L1728" t="inlineStr">
        <is>
          <t>Presupuesto insuficiente</t>
        </is>
      </c>
    </row>
    <row r="1729">
      <c r="A1729" t="inlineStr">
        <is>
          <t>CLI-1727</t>
        </is>
      </c>
      <c r="B1729" t="inlineStr">
        <is>
          <t>Catalina Restrepo Cifuentes</t>
        </is>
      </c>
      <c r="C1729" t="inlineStr">
        <is>
          <t>3175419937</t>
        </is>
      </c>
      <c r="D1729" t="inlineStr">
        <is>
          <t>catalina.restrepo89@gmail.com</t>
        </is>
      </c>
      <c r="E1729" t="inlineStr">
        <is>
          <t>La Estrella</t>
        </is>
      </c>
      <c r="F1729" t="inlineStr">
        <is>
          <t>PRY-002</t>
        </is>
      </c>
      <c r="G1729" t="inlineStr">
        <is>
          <t>Portal Web</t>
        </is>
      </c>
      <c r="H1729" t="inlineStr">
        <is>
          <t>Paula Arenas</t>
        </is>
      </c>
      <c r="I1729" t="inlineStr">
        <is>
          <t>Perdido</t>
        </is>
      </c>
      <c r="J1729" s="28" t="n">
        <v>45820</v>
      </c>
      <c r="K1729" s="28" t="n">
        <v>45833</v>
      </c>
      <c r="L1729" t="inlineStr">
        <is>
          <t>Presupuesto insuficiente</t>
        </is>
      </c>
    </row>
    <row r="1730">
      <c r="A1730" t="inlineStr">
        <is>
          <t>CLI-1728</t>
        </is>
      </c>
      <c r="B1730" t="inlineStr">
        <is>
          <t>Daniel Castaño Zuluaga</t>
        </is>
      </c>
      <c r="C1730" t="inlineStr">
        <is>
          <t>3234009344</t>
        </is>
      </c>
      <c r="D1730" t="inlineStr">
        <is>
          <t>daniel.castano81@hotmail.com</t>
        </is>
      </c>
      <c r="E1730" t="inlineStr">
        <is>
          <t>Bello</t>
        </is>
      </c>
      <c r="F1730" t="inlineStr">
        <is>
          <t>PRY-007</t>
        </is>
      </c>
      <c r="G1730" t="inlineStr">
        <is>
          <t>Llamada directa</t>
        </is>
      </c>
      <c r="H1730" t="inlineStr">
        <is>
          <t>Juliana Vélez</t>
        </is>
      </c>
      <c r="I1730" t="inlineStr">
        <is>
          <t>Perdido</t>
        </is>
      </c>
      <c r="J1730" s="28" t="n">
        <v>45821</v>
      </c>
      <c r="K1730" s="28" t="n">
        <v>45839</v>
      </c>
      <c r="L1730" t="inlineStr">
        <is>
          <t>Sin respuesta tras 3 contactos</t>
        </is>
      </c>
    </row>
    <row r="1731">
      <c r="A1731" t="inlineStr">
        <is>
          <t>CLI-1729</t>
        </is>
      </c>
      <c r="B1731" t="inlineStr">
        <is>
          <t>Sofía Restrepo Restrepo</t>
        </is>
      </c>
      <c r="C1731" t="inlineStr">
        <is>
          <t>3177756978</t>
        </is>
      </c>
      <c r="D1731" t="inlineStr">
        <is>
          <t>sofia.restrepo66@outlook.com</t>
        </is>
      </c>
      <c r="E1731" t="inlineStr">
        <is>
          <t>Medellín</t>
        </is>
      </c>
      <c r="F1731" t="inlineStr">
        <is>
          <t>PRY-001</t>
        </is>
      </c>
      <c r="G1731" t="inlineStr">
        <is>
          <t>Portal Web</t>
        </is>
      </c>
      <c r="H1731" t="inlineStr">
        <is>
          <t>Miguel Salazar</t>
        </is>
      </c>
      <c r="I1731" t="inlineStr">
        <is>
          <t>Perdido</t>
        </is>
      </c>
      <c r="J1731" s="28" t="n">
        <v>45822</v>
      </c>
      <c r="K1731" s="28" t="n">
        <v>45877</v>
      </c>
      <c r="L1731" t="inlineStr">
        <is>
          <t>Precio fuera de presupuesto</t>
        </is>
      </c>
    </row>
    <row r="1732">
      <c r="A1732" t="inlineStr">
        <is>
          <t>CLI-1730</t>
        </is>
      </c>
      <c r="B1732" t="inlineStr">
        <is>
          <t>Marcela Pérez Vélez</t>
        </is>
      </c>
      <c r="C1732" t="inlineStr">
        <is>
          <t>3047547950</t>
        </is>
      </c>
      <c r="D1732" t="inlineStr">
        <is>
          <t>marcela.perez10@hotmail.com</t>
        </is>
      </c>
      <c r="E1732" t="inlineStr">
        <is>
          <t>Medellín</t>
        </is>
      </c>
      <c r="F1732" t="inlineStr">
        <is>
          <t>PRY-003</t>
        </is>
      </c>
      <c r="G1732" t="inlineStr">
        <is>
          <t>Feria Inmobiliaria</t>
        </is>
      </c>
      <c r="H1732" t="inlineStr">
        <is>
          <t>Miguel Salazar</t>
        </is>
      </c>
      <c r="I1732" t="inlineStr">
        <is>
          <t>Perdido</t>
        </is>
      </c>
      <c r="J1732" s="28" t="n">
        <v>45822</v>
      </c>
      <c r="K1732" s="28" t="n">
        <v>45864</v>
      </c>
      <c r="L1732" t="inlineStr">
        <is>
          <t>Eligió otro proyecto</t>
        </is>
      </c>
    </row>
    <row r="1733">
      <c r="A1733" t="inlineStr">
        <is>
          <t>CLI-1731</t>
        </is>
      </c>
      <c r="B1733" t="inlineStr">
        <is>
          <t>Fernando Marín Zuluaga</t>
        </is>
      </c>
      <c r="C1733" t="inlineStr">
        <is>
          <t>3156036036</t>
        </is>
      </c>
      <c r="D1733" t="inlineStr">
        <is>
          <t>fernando.marin32@yahoo.com</t>
        </is>
      </c>
      <c r="E1733" t="inlineStr">
        <is>
          <t>Sabaneta</t>
        </is>
      </c>
      <c r="F1733" t="inlineStr">
        <is>
          <t>PRY-001</t>
        </is>
      </c>
      <c r="G1733" t="inlineStr">
        <is>
          <t>Referido</t>
        </is>
      </c>
      <c r="H1733" t="inlineStr">
        <is>
          <t>Juliana Vélez</t>
        </is>
      </c>
      <c r="I1733" t="inlineStr">
        <is>
          <t>Perdido</t>
        </is>
      </c>
      <c r="J1733" s="28" t="n">
        <v>45822</v>
      </c>
      <c r="K1733" s="28" t="n">
        <v>45919</v>
      </c>
      <c r="L1733" t="inlineStr">
        <is>
          <t>Precio fuera de presupuesto</t>
        </is>
      </c>
    </row>
    <row r="1734">
      <c r="A1734" t="inlineStr">
        <is>
          <t>CLI-1732</t>
        </is>
      </c>
      <c r="B1734" t="inlineStr">
        <is>
          <t>Daniel Bedoya Gómez</t>
        </is>
      </c>
      <c r="C1734" t="inlineStr">
        <is>
          <t>3103419648</t>
        </is>
      </c>
      <c r="D1734" t="inlineStr">
        <is>
          <t>daniel.bedoya11@hotmail.com</t>
        </is>
      </c>
      <c r="E1734" t="inlineStr">
        <is>
          <t>Rionegro</t>
        </is>
      </c>
      <c r="F1734" t="inlineStr">
        <is>
          <t>PRY-008</t>
        </is>
      </c>
      <c r="G1734" t="inlineStr">
        <is>
          <t>Portal Web</t>
        </is>
      </c>
      <c r="H1734" t="inlineStr">
        <is>
          <t>Juliana Vélez</t>
        </is>
      </c>
      <c r="I1734" t="inlineStr">
        <is>
          <t>Perdido</t>
        </is>
      </c>
      <c r="J1734" s="28" t="n">
        <v>45822</v>
      </c>
      <c r="K1734" s="28" t="n">
        <v>45848</v>
      </c>
      <c r="L1734" t="inlineStr">
        <is>
          <t>Sin respuesta tras 3 contactos</t>
        </is>
      </c>
    </row>
    <row r="1735">
      <c r="A1735" t="inlineStr">
        <is>
          <t>CLI-1733</t>
        </is>
      </c>
      <c r="B1735" t="inlineStr">
        <is>
          <t>Gloria Londoño Zuluaga</t>
        </is>
      </c>
      <c r="C1735" t="inlineStr">
        <is>
          <t>3042913436</t>
        </is>
      </c>
      <c r="D1735" t="inlineStr">
        <is>
          <t>gloria.londono34@gmail.com</t>
        </is>
      </c>
      <c r="E1735" t="inlineStr">
        <is>
          <t>Medellín</t>
        </is>
      </c>
      <c r="F1735" t="inlineStr">
        <is>
          <t>PRY-003</t>
        </is>
      </c>
      <c r="G1735" t="inlineStr">
        <is>
          <t>Instagram</t>
        </is>
      </c>
      <c r="H1735" t="inlineStr">
        <is>
          <t>Paula Arenas</t>
        </is>
      </c>
      <c r="I1735" t="inlineStr">
        <is>
          <t>Perdido</t>
        </is>
      </c>
      <c r="J1735" s="28" t="n">
        <v>45822</v>
      </c>
      <c r="K1735" s="28" t="n">
        <v>45852</v>
      </c>
      <c r="L1735" t="inlineStr">
        <is>
          <t>Buscaba arriendo, no compra</t>
        </is>
      </c>
    </row>
    <row r="1736">
      <c r="A1736" t="inlineStr">
        <is>
          <t>CLI-1734</t>
        </is>
      </c>
      <c r="B1736" t="inlineStr">
        <is>
          <t>Valentina Ríos Agudelo</t>
        </is>
      </c>
      <c r="C1736" t="inlineStr">
        <is>
          <t>3145897037</t>
        </is>
      </c>
      <c r="D1736" t="inlineStr">
        <is>
          <t>valentina.rios27@yahoo.com</t>
        </is>
      </c>
      <c r="E1736" t="inlineStr">
        <is>
          <t>Medellín</t>
        </is>
      </c>
      <c r="F1736" t="inlineStr">
        <is>
          <t>PRY-003</t>
        </is>
      </c>
      <c r="G1736" t="inlineStr">
        <is>
          <t>Feria Inmobiliaria</t>
        </is>
      </c>
      <c r="H1736" t="inlineStr">
        <is>
          <t>Luis Bedoya</t>
        </is>
      </c>
      <c r="I1736" t="inlineStr">
        <is>
          <t>Perdido</t>
        </is>
      </c>
      <c r="J1736" s="28" t="n">
        <v>45822</v>
      </c>
      <c r="K1736" s="28" t="n">
        <v>45838</v>
      </c>
      <c r="L1736" t="inlineStr">
        <is>
          <t>Buscaba arriendo, no compra</t>
        </is>
      </c>
    </row>
    <row r="1737">
      <c r="A1737" t="inlineStr">
        <is>
          <t>CLI-1735</t>
        </is>
      </c>
      <c r="B1737" t="inlineStr">
        <is>
          <t>Rodrigo Vélez Cardona</t>
        </is>
      </c>
      <c r="C1737" t="inlineStr">
        <is>
          <t>3233082198</t>
        </is>
      </c>
      <c r="D1737" t="inlineStr">
        <is>
          <t>rodrigo.velez15@yahoo.com</t>
        </is>
      </c>
      <c r="E1737" t="inlineStr">
        <is>
          <t>Medellín</t>
        </is>
      </c>
      <c r="F1737" t="inlineStr">
        <is>
          <t>PRY-001</t>
        </is>
      </c>
      <c r="G1737" t="inlineStr">
        <is>
          <t>Portal Web</t>
        </is>
      </c>
      <c r="H1737" t="inlineStr">
        <is>
          <t>Sofía Prada</t>
        </is>
      </c>
      <c r="I1737" t="inlineStr">
        <is>
          <t>Ganado</t>
        </is>
      </c>
      <c r="J1737" s="28" t="n">
        <v>45823</v>
      </c>
      <c r="K1737" s="28" t="n">
        <v>45965</v>
      </c>
      <c r="L1737" t="inlineStr">
        <is>
          <t>Compró Apto 402 en Torres del Poblado</t>
        </is>
      </c>
    </row>
    <row r="1738">
      <c r="A1738" t="inlineStr">
        <is>
          <t>CLI-1736</t>
        </is>
      </c>
      <c r="B1738" t="inlineStr">
        <is>
          <t>Marcela Valencia Pérez</t>
        </is>
      </c>
      <c r="C1738" t="inlineStr">
        <is>
          <t>3019858791</t>
        </is>
      </c>
      <c r="D1738" t="inlineStr">
        <is>
          <t>marcela.valencia74@outlook.com</t>
        </is>
      </c>
      <c r="E1738" t="inlineStr">
        <is>
          <t>Bello</t>
        </is>
      </c>
      <c r="F1738" t="inlineStr">
        <is>
          <t>PRY-006</t>
        </is>
      </c>
      <c r="G1738" t="inlineStr">
        <is>
          <t>Instagram</t>
        </is>
      </c>
      <c r="H1738" t="inlineStr">
        <is>
          <t>Luis Bedoya</t>
        </is>
      </c>
      <c r="I1738" t="inlineStr">
        <is>
          <t>Perdido</t>
        </is>
      </c>
      <c r="J1738" s="28" t="n">
        <v>45823</v>
      </c>
      <c r="K1738" s="28" t="n">
        <v>45848</v>
      </c>
      <c r="L1738" t="inlineStr">
        <is>
          <t>No calificó para crédito</t>
        </is>
      </c>
    </row>
    <row r="1739">
      <c r="A1739" t="inlineStr">
        <is>
          <t>CLI-1737</t>
        </is>
      </c>
      <c r="B1739" t="inlineStr">
        <is>
          <t>Mariana Montoya Zapata</t>
        </is>
      </c>
      <c r="C1739" t="inlineStr">
        <is>
          <t>3154133748</t>
        </is>
      </c>
      <c r="D1739" t="inlineStr">
        <is>
          <t>mariana.montoya77@hotmail.com</t>
        </is>
      </c>
      <c r="E1739" t="inlineStr">
        <is>
          <t>Medellín</t>
        </is>
      </c>
      <c r="F1739" t="inlineStr">
        <is>
          <t>PRY-001</t>
        </is>
      </c>
      <c r="G1739" t="inlineStr">
        <is>
          <t>Portal Web</t>
        </is>
      </c>
      <c r="H1739" t="inlineStr">
        <is>
          <t>Andrés Torres</t>
        </is>
      </c>
      <c r="I1739" t="inlineStr">
        <is>
          <t>Perdido</t>
        </is>
      </c>
      <c r="J1739" s="28" t="n">
        <v>45823</v>
      </c>
      <c r="K1739" s="28" t="n">
        <v>45830</v>
      </c>
      <c r="L1739" t="inlineStr">
        <is>
          <t>Buscaba arriendo, no compra</t>
        </is>
      </c>
    </row>
    <row r="1740">
      <c r="A1740" t="inlineStr">
        <is>
          <t>CLI-1738</t>
        </is>
      </c>
      <c r="B1740" t="inlineStr">
        <is>
          <t>Simón Hernández Echeverri</t>
        </is>
      </c>
      <c r="C1740" t="inlineStr">
        <is>
          <t>3243235743</t>
        </is>
      </c>
      <c r="D1740" t="inlineStr">
        <is>
          <t>simon.hernandez17@outlook.com</t>
        </is>
      </c>
      <c r="E1740" t="inlineStr">
        <is>
          <t>Itagüí</t>
        </is>
      </c>
      <c r="F1740" t="inlineStr">
        <is>
          <t>PRY-002</t>
        </is>
      </c>
      <c r="G1740" t="inlineStr">
        <is>
          <t>Portal Web</t>
        </is>
      </c>
      <c r="H1740" t="inlineStr">
        <is>
          <t>Sofía Prada</t>
        </is>
      </c>
      <c r="I1740" t="inlineStr">
        <is>
          <t>Perdido</t>
        </is>
      </c>
      <c r="J1740" s="28" t="n">
        <v>45823</v>
      </c>
      <c r="K1740" s="28" t="n">
        <v>45837</v>
      </c>
      <c r="L1740" t="inlineStr">
        <is>
          <t>Sin respuesta tras 3 contactos</t>
        </is>
      </c>
    </row>
    <row r="1741">
      <c r="A1741" t="inlineStr">
        <is>
          <t>CLI-1739</t>
        </is>
      </c>
      <c r="B1741" t="inlineStr">
        <is>
          <t>Alejandra Rojas Vásquez</t>
        </is>
      </c>
      <c r="C1741" t="inlineStr">
        <is>
          <t>3224183545</t>
        </is>
      </c>
      <c r="D1741" t="inlineStr">
        <is>
          <t>alejandra.rojas95@outlook.com</t>
        </is>
      </c>
      <c r="E1741" t="inlineStr">
        <is>
          <t>Itagüí</t>
        </is>
      </c>
      <c r="F1741" t="inlineStr">
        <is>
          <t>PRY-002</t>
        </is>
      </c>
      <c r="G1741" t="inlineStr">
        <is>
          <t>Facebook</t>
        </is>
      </c>
      <c r="H1741" t="inlineStr">
        <is>
          <t>Juliana Vélez</t>
        </is>
      </c>
      <c r="I1741" t="inlineStr">
        <is>
          <t>Perdido</t>
        </is>
      </c>
      <c r="J1741" s="28" t="n">
        <v>45823</v>
      </c>
      <c r="K1741" s="28" t="n">
        <v>45839</v>
      </c>
      <c r="L1741" t="inlineStr">
        <is>
          <t>Buscaba arriendo, no compra</t>
        </is>
      </c>
    </row>
    <row r="1742">
      <c r="A1742" t="inlineStr">
        <is>
          <t>CLI-1740</t>
        </is>
      </c>
      <c r="B1742" t="inlineStr">
        <is>
          <t>Manuela Mejía Mejía</t>
        </is>
      </c>
      <c r="C1742" t="inlineStr">
        <is>
          <t>3148506631</t>
        </is>
      </c>
      <c r="D1742" t="inlineStr">
        <is>
          <t>manuela.mejia39@hotmail.com</t>
        </is>
      </c>
      <c r="E1742" t="inlineStr">
        <is>
          <t>Medellín</t>
        </is>
      </c>
      <c r="F1742" t="inlineStr">
        <is>
          <t>PRY-003</t>
        </is>
      </c>
      <c r="G1742" t="inlineStr">
        <is>
          <t>Llamada directa</t>
        </is>
      </c>
      <c r="H1742" t="inlineStr">
        <is>
          <t>Daniela Ríos</t>
        </is>
      </c>
      <c r="I1742" t="inlineStr">
        <is>
          <t>Ganado</t>
        </is>
      </c>
      <c r="J1742" s="28" t="n">
        <v>45824</v>
      </c>
      <c r="K1742" s="28" t="n">
        <v>45921</v>
      </c>
      <c r="L1742" t="inlineStr">
        <is>
          <t>Compró Apto 2608 en Conecta Laureles</t>
        </is>
      </c>
    </row>
    <row r="1743">
      <c r="A1743" t="inlineStr">
        <is>
          <t>CLI-1741</t>
        </is>
      </c>
      <c r="B1743" t="inlineStr">
        <is>
          <t>Paola Arango Salcedo</t>
        </is>
      </c>
      <c r="C1743" t="inlineStr">
        <is>
          <t>3158306648</t>
        </is>
      </c>
      <c r="D1743" t="inlineStr">
        <is>
          <t>paola.arango71@hotmail.com</t>
        </is>
      </c>
      <c r="E1743" t="inlineStr">
        <is>
          <t>Rionegro</t>
        </is>
      </c>
      <c r="F1743" t="inlineStr">
        <is>
          <t>PRY-001</t>
        </is>
      </c>
      <c r="G1743" t="inlineStr">
        <is>
          <t>Facebook</t>
        </is>
      </c>
      <c r="H1743" t="inlineStr">
        <is>
          <t>Paula Arenas</t>
        </is>
      </c>
      <c r="I1743" t="inlineStr">
        <is>
          <t>Perdido</t>
        </is>
      </c>
      <c r="J1743" s="28" t="n">
        <v>45824</v>
      </c>
      <c r="K1743" s="28" t="n">
        <v>45830</v>
      </c>
      <c r="L1743" t="inlineStr">
        <is>
          <t>Sin respuesta tras 3 contactos</t>
        </is>
      </c>
    </row>
    <row r="1744">
      <c r="A1744" t="inlineStr">
        <is>
          <t>CLI-1742</t>
        </is>
      </c>
      <c r="B1744" t="inlineStr">
        <is>
          <t>Felipe Salcedo Palacio</t>
        </is>
      </c>
      <c r="C1744" t="inlineStr">
        <is>
          <t>3156419902</t>
        </is>
      </c>
      <c r="D1744" t="inlineStr">
        <is>
          <t>felipe.salcedo59@gmail.com</t>
        </is>
      </c>
      <c r="E1744" t="inlineStr">
        <is>
          <t>Itagüí</t>
        </is>
      </c>
      <c r="F1744" t="inlineStr">
        <is>
          <t>PRY-008</t>
        </is>
      </c>
      <c r="G1744" t="inlineStr">
        <is>
          <t>Feria Inmobiliaria</t>
        </is>
      </c>
      <c r="H1744" t="inlineStr">
        <is>
          <t>Santiago Muñoz</t>
        </is>
      </c>
      <c r="I1744" t="inlineStr">
        <is>
          <t>Perdido</t>
        </is>
      </c>
      <c r="J1744" s="28" t="n">
        <v>45824</v>
      </c>
      <c r="K1744" s="28" t="n">
        <v>45850</v>
      </c>
      <c r="L1744" t="inlineStr">
        <is>
          <t>No calificó para crédito</t>
        </is>
      </c>
    </row>
    <row r="1745">
      <c r="A1745" t="inlineStr">
        <is>
          <t>CLI-1743</t>
        </is>
      </c>
      <c r="B1745" t="inlineStr">
        <is>
          <t>Sebastián Salazar Pérez</t>
        </is>
      </c>
      <c r="C1745" t="inlineStr">
        <is>
          <t>3207858462</t>
        </is>
      </c>
      <c r="D1745" t="inlineStr">
        <is>
          <t>sebastian.salazar88@yahoo.com</t>
        </is>
      </c>
      <c r="E1745" t="inlineStr">
        <is>
          <t>Sabaneta</t>
        </is>
      </c>
      <c r="F1745" t="inlineStr">
        <is>
          <t>PRY-001</t>
        </is>
      </c>
      <c r="G1745" t="inlineStr">
        <is>
          <t>Portal Web</t>
        </is>
      </c>
      <c r="H1745" t="inlineStr">
        <is>
          <t>Juliana Vélez</t>
        </is>
      </c>
      <c r="I1745" t="inlineStr">
        <is>
          <t>Perdido</t>
        </is>
      </c>
      <c r="J1745" s="28" t="n">
        <v>45824</v>
      </c>
      <c r="K1745" s="28" t="n">
        <v>45838</v>
      </c>
      <c r="L1745" t="inlineStr">
        <is>
          <t>Presupuesto insuficiente</t>
        </is>
      </c>
    </row>
    <row r="1746">
      <c r="A1746" t="inlineStr">
        <is>
          <t>CLI-1744</t>
        </is>
      </c>
      <c r="B1746" t="inlineStr">
        <is>
          <t>Patricia Rojas Montes</t>
        </is>
      </c>
      <c r="C1746" t="inlineStr">
        <is>
          <t>3018844214</t>
        </is>
      </c>
      <c r="D1746" t="inlineStr">
        <is>
          <t>patricia.rojas81@hotmail.com</t>
        </is>
      </c>
      <c r="E1746" t="inlineStr">
        <is>
          <t>Bello</t>
        </is>
      </c>
      <c r="F1746" t="inlineStr">
        <is>
          <t>PRY-003</t>
        </is>
      </c>
      <c r="G1746" t="inlineStr">
        <is>
          <t>Facebook</t>
        </is>
      </c>
      <c r="H1746" t="inlineStr">
        <is>
          <t>Daniela Ríos</t>
        </is>
      </c>
      <c r="I1746" t="inlineStr">
        <is>
          <t>Ganado</t>
        </is>
      </c>
      <c r="J1746" s="28" t="n">
        <v>45825</v>
      </c>
      <c r="K1746" s="28" t="n">
        <v>45908</v>
      </c>
      <c r="L1746" t="inlineStr">
        <is>
          <t>Compró Apto 2406 en Conecta Laureles</t>
        </is>
      </c>
    </row>
    <row r="1747">
      <c r="A1747" t="inlineStr">
        <is>
          <t>CLI-1745</t>
        </is>
      </c>
      <c r="B1747" t="inlineStr">
        <is>
          <t>José Álvarez Álvarez</t>
        </is>
      </c>
      <c r="C1747" t="inlineStr">
        <is>
          <t>3175814484</t>
        </is>
      </c>
      <c r="D1747" t="inlineStr">
        <is>
          <t>jose.alvarez25@gmail.com</t>
        </is>
      </c>
      <c r="E1747" t="inlineStr">
        <is>
          <t>Envigado</t>
        </is>
      </c>
      <c r="F1747" t="inlineStr">
        <is>
          <t>PRY-007</t>
        </is>
      </c>
      <c r="G1747" t="inlineStr">
        <is>
          <t>Portal Web</t>
        </is>
      </c>
      <c r="H1747" t="inlineStr">
        <is>
          <t>Miguel Salazar</t>
        </is>
      </c>
      <c r="I1747" t="inlineStr">
        <is>
          <t>Ganado</t>
        </is>
      </c>
      <c r="J1747" s="28" t="n">
        <v>45826</v>
      </c>
      <c r="K1747" s="28" t="n">
        <v>45939</v>
      </c>
      <c r="L1747" t="inlineStr">
        <is>
          <t>Compró Apto 603 en Mirador de Envigado</t>
        </is>
      </c>
    </row>
    <row r="1748">
      <c r="A1748" t="inlineStr">
        <is>
          <t>CLI-1746</t>
        </is>
      </c>
      <c r="B1748" t="inlineStr">
        <is>
          <t>Iván Cardona Duque</t>
        </is>
      </c>
      <c r="C1748" t="inlineStr">
        <is>
          <t>3173371474</t>
        </is>
      </c>
      <c r="D1748" t="inlineStr">
        <is>
          <t>ivan.cardona43@hotmail.com</t>
        </is>
      </c>
      <c r="E1748" t="inlineStr">
        <is>
          <t>Medellín</t>
        </is>
      </c>
      <c r="F1748" t="inlineStr">
        <is>
          <t>PRY-002</t>
        </is>
      </c>
      <c r="G1748" t="inlineStr">
        <is>
          <t>Feria Inmobiliaria</t>
        </is>
      </c>
      <c r="H1748" t="inlineStr">
        <is>
          <t>Daniela Ríos</t>
        </is>
      </c>
      <c r="I1748" t="inlineStr">
        <is>
          <t>Perdido</t>
        </is>
      </c>
      <c r="J1748" s="28" t="n">
        <v>45826</v>
      </c>
      <c r="K1748" s="28" t="n">
        <v>45847</v>
      </c>
      <c r="L1748" t="inlineStr">
        <is>
          <t>Datos de contacto errados</t>
        </is>
      </c>
    </row>
    <row r="1749">
      <c r="A1749" t="inlineStr">
        <is>
          <t>CLI-1747</t>
        </is>
      </c>
      <c r="B1749" t="inlineStr">
        <is>
          <t>Diego Salazar Arango</t>
        </is>
      </c>
      <c r="C1749" t="inlineStr">
        <is>
          <t>3042051518</t>
        </is>
      </c>
      <c r="D1749" t="inlineStr">
        <is>
          <t>diego.salazar25@gmail.com</t>
        </is>
      </c>
      <c r="E1749" t="inlineStr">
        <is>
          <t>Sabaneta</t>
        </is>
      </c>
      <c r="F1749" t="inlineStr">
        <is>
          <t>PRY-002</t>
        </is>
      </c>
      <c r="G1749" t="inlineStr">
        <is>
          <t>Instagram</t>
        </is>
      </c>
      <c r="H1749" t="inlineStr">
        <is>
          <t>Miguel Salazar</t>
        </is>
      </c>
      <c r="I1749" t="inlineStr">
        <is>
          <t>Perdido</t>
        </is>
      </c>
      <c r="J1749" s="28" t="n">
        <v>45826</v>
      </c>
      <c r="K1749" s="28" t="n">
        <v>45846</v>
      </c>
      <c r="L1749" t="inlineStr">
        <is>
          <t>Presupuesto insuficiente</t>
        </is>
      </c>
    </row>
    <row r="1750">
      <c r="A1750" t="inlineStr">
        <is>
          <t>CLI-1748</t>
        </is>
      </c>
      <c r="B1750" t="inlineStr">
        <is>
          <t>Isabel Londoño Hernández</t>
        </is>
      </c>
      <c r="C1750" t="inlineStr">
        <is>
          <t>3008846127</t>
        </is>
      </c>
      <c r="D1750" t="inlineStr">
        <is>
          <t>isabel.londono61@gmail.com</t>
        </is>
      </c>
      <c r="E1750" t="inlineStr">
        <is>
          <t>Medellín</t>
        </is>
      </c>
      <c r="F1750" t="inlineStr">
        <is>
          <t>PRY-002</t>
        </is>
      </c>
      <c r="G1750" t="inlineStr">
        <is>
          <t>Feria Inmobiliaria</t>
        </is>
      </c>
      <c r="H1750" t="inlineStr">
        <is>
          <t>Miguel Salazar</t>
        </is>
      </c>
      <c r="I1750" t="inlineStr">
        <is>
          <t>Perdido</t>
        </is>
      </c>
      <c r="J1750" s="28" t="n">
        <v>45826</v>
      </c>
      <c r="K1750" s="28" t="n">
        <v>45842</v>
      </c>
      <c r="L1750" t="inlineStr">
        <is>
          <t>Presupuesto insuficiente</t>
        </is>
      </c>
    </row>
    <row r="1751">
      <c r="A1751" t="inlineStr">
        <is>
          <t>CLI-1749</t>
        </is>
      </c>
      <c r="B1751" t="inlineStr">
        <is>
          <t>Mauricio Agudelo Castaño</t>
        </is>
      </c>
      <c r="C1751" t="inlineStr">
        <is>
          <t>3174603669</t>
        </is>
      </c>
      <c r="D1751" t="inlineStr">
        <is>
          <t>mauricio.agudelo33@gmail.com</t>
        </is>
      </c>
      <c r="E1751" t="inlineStr">
        <is>
          <t>Medellín</t>
        </is>
      </c>
      <c r="F1751" t="inlineStr">
        <is>
          <t>PRY-005</t>
        </is>
      </c>
      <c r="G1751" t="inlineStr">
        <is>
          <t>Facebook</t>
        </is>
      </c>
      <c r="H1751" t="inlineStr">
        <is>
          <t>Andrés Torres</t>
        </is>
      </c>
      <c r="I1751" t="inlineStr">
        <is>
          <t>Perdido</t>
        </is>
      </c>
      <c r="J1751" s="28" t="n">
        <v>45827</v>
      </c>
      <c r="K1751" s="28" t="n">
        <v>45855</v>
      </c>
      <c r="L1751" t="inlineStr">
        <is>
          <t>Datos de contacto errados</t>
        </is>
      </c>
    </row>
    <row r="1752">
      <c r="A1752" t="inlineStr">
        <is>
          <t>CLI-1750</t>
        </is>
      </c>
      <c r="B1752" t="inlineStr">
        <is>
          <t>Mónica Duque Vargas</t>
        </is>
      </c>
      <c r="C1752" t="inlineStr">
        <is>
          <t>3042765816</t>
        </is>
      </c>
      <c r="D1752" t="inlineStr">
        <is>
          <t>monica.duque65@outlook.com</t>
        </is>
      </c>
      <c r="E1752" t="inlineStr">
        <is>
          <t>Envigado</t>
        </is>
      </c>
      <c r="F1752" t="inlineStr">
        <is>
          <t>PRY-007</t>
        </is>
      </c>
      <c r="G1752" t="inlineStr">
        <is>
          <t>Portal Web</t>
        </is>
      </c>
      <c r="H1752" t="inlineStr">
        <is>
          <t>Sofía Prada</t>
        </is>
      </c>
      <c r="I1752" t="inlineStr">
        <is>
          <t>Perdido</t>
        </is>
      </c>
      <c r="J1752" s="28" t="n">
        <v>45827</v>
      </c>
      <c r="K1752" s="28" t="n">
        <v>45835</v>
      </c>
      <c r="L1752" t="inlineStr">
        <is>
          <t>Presupuesto insuficiente</t>
        </is>
      </c>
    </row>
    <row r="1753">
      <c r="A1753" t="inlineStr">
        <is>
          <t>CLI-1751</t>
        </is>
      </c>
      <c r="B1753" t="inlineStr">
        <is>
          <t>Felipe Gaviria Cardona</t>
        </is>
      </c>
      <c r="C1753" t="inlineStr">
        <is>
          <t>3227443630</t>
        </is>
      </c>
      <c r="D1753" t="inlineStr">
        <is>
          <t>felipe.gaviria25@gmail.com</t>
        </is>
      </c>
      <c r="E1753" t="inlineStr">
        <is>
          <t>Sabaneta</t>
        </is>
      </c>
      <c r="F1753" t="inlineStr">
        <is>
          <t>PRY-002</t>
        </is>
      </c>
      <c r="G1753" t="inlineStr">
        <is>
          <t>Portal Web</t>
        </is>
      </c>
      <c r="H1753" t="inlineStr">
        <is>
          <t>Sofía Prada</t>
        </is>
      </c>
      <c r="I1753" t="inlineStr">
        <is>
          <t>Perdido</t>
        </is>
      </c>
      <c r="J1753" s="28" t="n">
        <v>45827</v>
      </c>
      <c r="K1753" s="28" t="n">
        <v>45839</v>
      </c>
      <c r="L1753" t="inlineStr">
        <is>
          <t>Sin respuesta tras 3 contactos</t>
        </is>
      </c>
    </row>
    <row r="1754">
      <c r="A1754" t="inlineStr">
        <is>
          <t>CLI-1752</t>
        </is>
      </c>
      <c r="B1754" t="inlineStr">
        <is>
          <t>Rodrigo Hernández Montoya</t>
        </is>
      </c>
      <c r="C1754" t="inlineStr">
        <is>
          <t>3106077020</t>
        </is>
      </c>
      <c r="D1754" t="inlineStr">
        <is>
          <t>rodrigo.hernandez52@outlook.com</t>
        </is>
      </c>
      <c r="E1754" t="inlineStr">
        <is>
          <t>Bello</t>
        </is>
      </c>
      <c r="F1754" t="inlineStr">
        <is>
          <t>PRY-007</t>
        </is>
      </c>
      <c r="G1754" t="inlineStr">
        <is>
          <t>Facebook</t>
        </is>
      </c>
      <c r="H1754" t="inlineStr">
        <is>
          <t>Ana Quintero</t>
        </is>
      </c>
      <c r="I1754" t="inlineStr">
        <is>
          <t>Perdido</t>
        </is>
      </c>
      <c r="J1754" s="28" t="n">
        <v>45827</v>
      </c>
      <c r="K1754" s="28" t="n">
        <v>45835</v>
      </c>
      <c r="L1754" t="inlineStr">
        <is>
          <t>Datos de contacto errados</t>
        </is>
      </c>
    </row>
    <row r="1755">
      <c r="A1755" t="inlineStr">
        <is>
          <t>CLI-1753</t>
        </is>
      </c>
      <c r="B1755" t="inlineStr">
        <is>
          <t>Sandra Henao Gómez</t>
        </is>
      </c>
      <c r="C1755" t="inlineStr">
        <is>
          <t>3154551307</t>
        </is>
      </c>
      <c r="D1755" t="inlineStr">
        <is>
          <t>sandra.henao11@gmail.com</t>
        </is>
      </c>
      <c r="E1755" t="inlineStr">
        <is>
          <t>Medellín</t>
        </is>
      </c>
      <c r="F1755" t="inlineStr">
        <is>
          <t>PRY-003</t>
        </is>
      </c>
      <c r="G1755" t="inlineStr">
        <is>
          <t>Llamada directa</t>
        </is>
      </c>
      <c r="H1755" t="inlineStr">
        <is>
          <t>Ana Quintero</t>
        </is>
      </c>
      <c r="I1755" t="inlineStr">
        <is>
          <t>Perdido</t>
        </is>
      </c>
      <c r="J1755" s="28" t="n">
        <v>45827</v>
      </c>
      <c r="K1755" s="28" t="n">
        <v>45854</v>
      </c>
      <c r="L1755" t="inlineStr">
        <is>
          <t>No calificó para crédito</t>
        </is>
      </c>
    </row>
    <row r="1756">
      <c r="A1756" t="inlineStr">
        <is>
          <t>CLI-1754</t>
        </is>
      </c>
      <c r="B1756" t="inlineStr">
        <is>
          <t>Iván Vargas Henao</t>
        </is>
      </c>
      <c r="C1756" t="inlineStr">
        <is>
          <t>3016374592</t>
        </is>
      </c>
      <c r="D1756" t="inlineStr">
        <is>
          <t>ivan.vargas34@hotmail.com</t>
        </is>
      </c>
      <c r="E1756" t="inlineStr">
        <is>
          <t>Medellín</t>
        </is>
      </c>
      <c r="F1756" t="inlineStr">
        <is>
          <t>PRY-003</t>
        </is>
      </c>
      <c r="G1756" t="inlineStr">
        <is>
          <t>Llamada directa</t>
        </is>
      </c>
      <c r="H1756" t="inlineStr">
        <is>
          <t>Miguel Salazar</t>
        </is>
      </c>
      <c r="I1756" t="inlineStr">
        <is>
          <t>Perdido</t>
        </is>
      </c>
      <c r="J1756" s="28" t="n">
        <v>45828</v>
      </c>
      <c r="K1756" s="28" t="n">
        <v>45888</v>
      </c>
      <c r="L1756" t="inlineStr">
        <is>
          <t>Crédito no aprobado</t>
        </is>
      </c>
    </row>
    <row r="1757">
      <c r="A1757" t="inlineStr">
        <is>
          <t>CLI-1755</t>
        </is>
      </c>
      <c r="B1757" t="inlineStr">
        <is>
          <t>Lorena Uribe Espinosa</t>
        </is>
      </c>
      <c r="C1757" t="inlineStr">
        <is>
          <t>3157587400</t>
        </is>
      </c>
      <c r="D1757" t="inlineStr">
        <is>
          <t>lorena.uribe19@gmail.com</t>
        </is>
      </c>
      <c r="E1757" t="inlineStr">
        <is>
          <t>La Estrella</t>
        </is>
      </c>
      <c r="F1757" t="inlineStr">
        <is>
          <t>PRY-005</t>
        </is>
      </c>
      <c r="G1757" t="inlineStr">
        <is>
          <t>Facebook</t>
        </is>
      </c>
      <c r="H1757" t="inlineStr">
        <is>
          <t>Paula Arenas</t>
        </is>
      </c>
      <c r="I1757" t="inlineStr">
        <is>
          <t>Perdido</t>
        </is>
      </c>
      <c r="J1757" s="28" t="n">
        <v>45828</v>
      </c>
      <c r="K1757" s="28" t="n">
        <v>45840</v>
      </c>
      <c r="L1757" t="inlineStr">
        <is>
          <t>No calificó para crédito</t>
        </is>
      </c>
    </row>
    <row r="1758">
      <c r="A1758" t="inlineStr">
        <is>
          <t>CLI-1756</t>
        </is>
      </c>
      <c r="B1758" t="inlineStr">
        <is>
          <t>Iván Giraldo Montoya</t>
        </is>
      </c>
      <c r="C1758" t="inlineStr">
        <is>
          <t>3131843336</t>
        </is>
      </c>
      <c r="D1758" t="inlineStr">
        <is>
          <t>ivan.giraldo77@hotmail.com</t>
        </is>
      </c>
      <c r="E1758" t="inlineStr">
        <is>
          <t>Envigado</t>
        </is>
      </c>
      <c r="F1758" t="inlineStr">
        <is>
          <t>PRY-007</t>
        </is>
      </c>
      <c r="G1758" t="inlineStr">
        <is>
          <t>Llamada directa</t>
        </is>
      </c>
      <c r="H1758" t="inlineStr">
        <is>
          <t>Paula Arenas</t>
        </is>
      </c>
      <c r="I1758" t="inlineStr">
        <is>
          <t>Perdido</t>
        </is>
      </c>
      <c r="J1758" s="28" t="n">
        <v>45829</v>
      </c>
      <c r="K1758" s="28" t="n">
        <v>45922</v>
      </c>
      <c r="L1758" t="inlineStr">
        <is>
          <t>Eligió otro proyecto</t>
        </is>
      </c>
    </row>
    <row r="1759">
      <c r="A1759" t="inlineStr">
        <is>
          <t>CLI-1757</t>
        </is>
      </c>
      <c r="B1759" t="inlineStr">
        <is>
          <t>Juliana Salazar Henao</t>
        </is>
      </c>
      <c r="C1759" t="inlineStr">
        <is>
          <t>3003732858</t>
        </is>
      </c>
      <c r="D1759" t="inlineStr">
        <is>
          <t>juliana.salazar16@yahoo.com</t>
        </is>
      </c>
      <c r="E1759" t="inlineStr">
        <is>
          <t>Medellín</t>
        </is>
      </c>
      <c r="F1759" t="inlineStr">
        <is>
          <t>PRY-005</t>
        </is>
      </c>
      <c r="G1759" t="inlineStr">
        <is>
          <t>Referido</t>
        </is>
      </c>
      <c r="H1759" t="inlineStr">
        <is>
          <t>Sofía Prada</t>
        </is>
      </c>
      <c r="I1759" t="inlineStr">
        <is>
          <t>Ganado</t>
        </is>
      </c>
      <c r="J1759" s="28" t="n">
        <v>45829</v>
      </c>
      <c r="K1759" s="28" t="n">
        <v>45987</v>
      </c>
      <c r="L1759" t="inlineStr">
        <is>
          <t>Compró Casa 32 en Ciudadela Rionegro</t>
        </is>
      </c>
    </row>
    <row r="1760">
      <c r="A1760" t="inlineStr">
        <is>
          <t>CLI-1758</t>
        </is>
      </c>
      <c r="B1760" t="inlineStr">
        <is>
          <t>Valeria Osorio Marín</t>
        </is>
      </c>
      <c r="C1760" t="inlineStr">
        <is>
          <t>3152672372</t>
        </is>
      </c>
      <c r="D1760" t="inlineStr">
        <is>
          <t>valeria.osorio49@gmail.com</t>
        </is>
      </c>
      <c r="E1760" t="inlineStr">
        <is>
          <t>Medellín</t>
        </is>
      </c>
      <c r="F1760" t="inlineStr">
        <is>
          <t>PRY-003</t>
        </is>
      </c>
      <c r="G1760" t="inlineStr">
        <is>
          <t>Instagram</t>
        </is>
      </c>
      <c r="H1760" t="inlineStr">
        <is>
          <t>Luis Bedoya</t>
        </is>
      </c>
      <c r="I1760" t="inlineStr">
        <is>
          <t>Perdido</t>
        </is>
      </c>
      <c r="J1760" s="28" t="n">
        <v>45829</v>
      </c>
      <c r="K1760" s="28" t="n">
        <v>45851</v>
      </c>
      <c r="L1760" t="inlineStr">
        <is>
          <t>Sin respuesta tras 3 contactos</t>
        </is>
      </c>
    </row>
    <row r="1761">
      <c r="A1761" t="inlineStr">
        <is>
          <t>CLI-1759</t>
        </is>
      </c>
      <c r="B1761" t="inlineStr">
        <is>
          <t>Lorena López Sánchez</t>
        </is>
      </c>
      <c r="C1761" t="inlineStr">
        <is>
          <t>3238402997</t>
        </is>
      </c>
      <c r="D1761" t="inlineStr">
        <is>
          <t>lorena.lopez11@hotmail.com</t>
        </is>
      </c>
      <c r="E1761" t="inlineStr">
        <is>
          <t>Medellín</t>
        </is>
      </c>
      <c r="F1761" t="inlineStr">
        <is>
          <t>PRY-003</t>
        </is>
      </c>
      <c r="G1761" t="inlineStr">
        <is>
          <t>Portal Web</t>
        </is>
      </c>
      <c r="H1761" t="inlineStr">
        <is>
          <t>Luis Bedoya</t>
        </is>
      </c>
      <c r="I1761" t="inlineStr">
        <is>
          <t>Perdido</t>
        </is>
      </c>
      <c r="J1761" s="28" t="n">
        <v>45830</v>
      </c>
      <c r="K1761" s="28" t="n">
        <v>45852</v>
      </c>
      <c r="L1761" t="inlineStr">
        <is>
          <t>Presupuesto insuficiente</t>
        </is>
      </c>
    </row>
    <row r="1762">
      <c r="A1762" t="inlineStr">
        <is>
          <t>CLI-1760</t>
        </is>
      </c>
      <c r="B1762" t="inlineStr">
        <is>
          <t>Camila Salcedo Londoño</t>
        </is>
      </c>
      <c r="C1762" t="inlineStr">
        <is>
          <t>3146968900</t>
        </is>
      </c>
      <c r="D1762" t="inlineStr">
        <is>
          <t>camila.salcedo99@yahoo.com</t>
        </is>
      </c>
      <c r="E1762" t="inlineStr">
        <is>
          <t>Medellín</t>
        </is>
      </c>
      <c r="F1762" t="inlineStr">
        <is>
          <t>PRY-001</t>
        </is>
      </c>
      <c r="G1762" t="inlineStr">
        <is>
          <t>Llamada directa</t>
        </is>
      </c>
      <c r="H1762" t="inlineStr">
        <is>
          <t>Daniela Ríos</t>
        </is>
      </c>
      <c r="I1762" t="inlineStr">
        <is>
          <t>Perdido</t>
        </is>
      </c>
      <c r="J1762" s="28" t="n">
        <v>45830</v>
      </c>
      <c r="K1762" s="28" t="n">
        <v>45857</v>
      </c>
      <c r="L1762" t="inlineStr">
        <is>
          <t>Datos de contacto errados</t>
        </is>
      </c>
    </row>
    <row r="1763">
      <c r="A1763" t="inlineStr">
        <is>
          <t>CLI-1761</t>
        </is>
      </c>
      <c r="B1763" t="inlineStr">
        <is>
          <t>Mateo Duque Duque</t>
        </is>
      </c>
      <c r="C1763" t="inlineStr">
        <is>
          <t>3159280620</t>
        </is>
      </c>
      <c r="D1763" t="inlineStr">
        <is>
          <t>mateo.duque84@yahoo.com</t>
        </is>
      </c>
      <c r="E1763" t="inlineStr">
        <is>
          <t>Rionegro</t>
        </is>
      </c>
      <c r="F1763" t="inlineStr">
        <is>
          <t>PRY-005</t>
        </is>
      </c>
      <c r="G1763" t="inlineStr">
        <is>
          <t>Portal Web</t>
        </is>
      </c>
      <c r="H1763" t="inlineStr">
        <is>
          <t>Sofía Prada</t>
        </is>
      </c>
      <c r="I1763" t="inlineStr">
        <is>
          <t>Perdido</t>
        </is>
      </c>
      <c r="J1763" s="28" t="n">
        <v>45830</v>
      </c>
      <c r="K1763" s="28" t="n">
        <v>45857</v>
      </c>
      <c r="L1763" t="inlineStr">
        <is>
          <t>No calificó para crédito</t>
        </is>
      </c>
    </row>
    <row r="1764">
      <c r="A1764" t="inlineStr">
        <is>
          <t>CLI-1762</t>
        </is>
      </c>
      <c r="B1764" t="inlineStr">
        <is>
          <t>Rodrigo Jaramillo Salcedo</t>
        </is>
      </c>
      <c r="C1764" t="inlineStr">
        <is>
          <t>3103286304</t>
        </is>
      </c>
      <c r="D1764" t="inlineStr">
        <is>
          <t>rodrigo.jaramillo39@gmail.com</t>
        </is>
      </c>
      <c r="E1764" t="inlineStr">
        <is>
          <t>La Estrella</t>
        </is>
      </c>
      <c r="F1764" t="inlineStr">
        <is>
          <t>PRY-006</t>
        </is>
      </c>
      <c r="G1764" t="inlineStr">
        <is>
          <t>Referido</t>
        </is>
      </c>
      <c r="H1764" t="inlineStr">
        <is>
          <t>Santiago Muñoz</t>
        </is>
      </c>
      <c r="I1764" t="inlineStr">
        <is>
          <t>Ganado</t>
        </is>
      </c>
      <c r="J1764" s="28" t="n">
        <v>45831</v>
      </c>
      <c r="K1764" s="28" t="n">
        <v>45984</v>
      </c>
      <c r="L1764" t="inlineStr">
        <is>
          <t>Compró Local 40 en Plaza Bello</t>
        </is>
      </c>
    </row>
    <row r="1765">
      <c r="A1765" t="inlineStr">
        <is>
          <t>CLI-1763</t>
        </is>
      </c>
      <c r="B1765" t="inlineStr">
        <is>
          <t>David Pérez Zapata</t>
        </is>
      </c>
      <c r="C1765" t="inlineStr">
        <is>
          <t>3174817597</t>
        </is>
      </c>
      <c r="D1765" t="inlineStr">
        <is>
          <t>david.perez60@yahoo.com</t>
        </is>
      </c>
      <c r="E1765" t="inlineStr">
        <is>
          <t>Sabaneta</t>
        </is>
      </c>
      <c r="F1765" t="inlineStr">
        <is>
          <t>PRY-005</t>
        </is>
      </c>
      <c r="G1765" t="inlineStr">
        <is>
          <t>Portal Web</t>
        </is>
      </c>
      <c r="H1765" t="inlineStr">
        <is>
          <t>Juliana Vélez</t>
        </is>
      </c>
      <c r="I1765" t="inlineStr">
        <is>
          <t>Perdido</t>
        </is>
      </c>
      <c r="J1765" s="28" t="n">
        <v>45831</v>
      </c>
      <c r="K1765" s="28" t="n">
        <v>45850</v>
      </c>
      <c r="L1765" t="inlineStr">
        <is>
          <t>Presupuesto insuficiente</t>
        </is>
      </c>
    </row>
    <row r="1766">
      <c r="A1766" t="inlineStr">
        <is>
          <t>CLI-1764</t>
        </is>
      </c>
      <c r="B1766" t="inlineStr">
        <is>
          <t>Juliana Salcedo Montoya</t>
        </is>
      </c>
      <c r="C1766" t="inlineStr">
        <is>
          <t>3047781188</t>
        </is>
      </c>
      <c r="D1766" t="inlineStr">
        <is>
          <t>juliana.salcedo69@yahoo.com</t>
        </is>
      </c>
      <c r="E1766" t="inlineStr">
        <is>
          <t>Rionegro</t>
        </is>
      </c>
      <c r="F1766" t="inlineStr">
        <is>
          <t>PRY-001</t>
        </is>
      </c>
      <c r="G1766" t="inlineStr">
        <is>
          <t>Instagram</t>
        </is>
      </c>
      <c r="H1766" t="inlineStr">
        <is>
          <t>Juliana Vélez</t>
        </is>
      </c>
      <c r="I1766" t="inlineStr">
        <is>
          <t>Perdido</t>
        </is>
      </c>
      <c r="J1766" s="28" t="n">
        <v>45831</v>
      </c>
      <c r="K1766" s="28" t="n">
        <v>45854</v>
      </c>
      <c r="L1766" t="inlineStr">
        <is>
          <t>Sin respuesta tras 3 contactos</t>
        </is>
      </c>
    </row>
    <row r="1767">
      <c r="A1767" t="inlineStr">
        <is>
          <t>CLI-1765</t>
        </is>
      </c>
      <c r="B1767" t="inlineStr">
        <is>
          <t>Julián Ramírez Pérez</t>
        </is>
      </c>
      <c r="C1767" t="inlineStr">
        <is>
          <t>3172797424</t>
        </is>
      </c>
      <c r="D1767" t="inlineStr">
        <is>
          <t>julian.ramirez90@yahoo.com</t>
        </is>
      </c>
      <c r="E1767" t="inlineStr">
        <is>
          <t>Rionegro</t>
        </is>
      </c>
      <c r="F1767" t="inlineStr">
        <is>
          <t>PRY-005</t>
        </is>
      </c>
      <c r="G1767" t="inlineStr">
        <is>
          <t>Portal Web</t>
        </is>
      </c>
      <c r="H1767" t="inlineStr">
        <is>
          <t>Sofía Prada</t>
        </is>
      </c>
      <c r="I1767" t="inlineStr">
        <is>
          <t>Ganado</t>
        </is>
      </c>
      <c r="J1767" s="28" t="n">
        <v>45832</v>
      </c>
      <c r="K1767" s="28" t="n">
        <v>45981</v>
      </c>
      <c r="L1767" t="inlineStr">
        <is>
          <t>Compró Casa 43 en Ciudadela Rionegro</t>
        </is>
      </c>
    </row>
    <row r="1768">
      <c r="A1768" t="inlineStr">
        <is>
          <t>CLI-1766</t>
        </is>
      </c>
      <c r="B1768" t="inlineStr">
        <is>
          <t>Juan Pablo Henao Castaño</t>
        </is>
      </c>
      <c r="C1768" t="inlineStr">
        <is>
          <t>3242396895</t>
        </is>
      </c>
      <c r="D1768" t="inlineStr">
        <is>
          <t>juan.henao89@outlook.com</t>
        </is>
      </c>
      <c r="E1768" t="inlineStr">
        <is>
          <t>Envigado</t>
        </is>
      </c>
      <c r="F1768" t="inlineStr">
        <is>
          <t>PRY-007</t>
        </is>
      </c>
      <c r="G1768" t="inlineStr">
        <is>
          <t>Feria Inmobiliaria</t>
        </is>
      </c>
      <c r="H1768" t="inlineStr">
        <is>
          <t>Sofía Prada</t>
        </is>
      </c>
      <c r="I1768" t="inlineStr">
        <is>
          <t>Perdido</t>
        </is>
      </c>
      <c r="J1768" s="28" t="n">
        <v>45832</v>
      </c>
      <c r="K1768" s="28" t="n">
        <v>45837</v>
      </c>
      <c r="L1768" t="inlineStr">
        <is>
          <t>Buscaba arriendo, no compra</t>
        </is>
      </c>
    </row>
    <row r="1769">
      <c r="A1769" t="inlineStr">
        <is>
          <t>CLI-1767</t>
        </is>
      </c>
      <c r="B1769" t="inlineStr">
        <is>
          <t>Sofía Mejía Marín</t>
        </is>
      </c>
      <c r="C1769" t="inlineStr">
        <is>
          <t>3224057853</t>
        </is>
      </c>
      <c r="D1769" t="inlineStr">
        <is>
          <t>sofia.mejia89@outlook.com</t>
        </is>
      </c>
      <c r="E1769" t="inlineStr">
        <is>
          <t>Bello</t>
        </is>
      </c>
      <c r="F1769" t="inlineStr">
        <is>
          <t>PRY-001</t>
        </is>
      </c>
      <c r="G1769" t="inlineStr">
        <is>
          <t>Instagram</t>
        </is>
      </c>
      <c r="H1769" t="inlineStr">
        <is>
          <t>Juliana Vélez</t>
        </is>
      </c>
      <c r="I1769" t="inlineStr">
        <is>
          <t>Perdido</t>
        </is>
      </c>
      <c r="J1769" s="28" t="n">
        <v>45832</v>
      </c>
      <c r="K1769" s="28" t="n">
        <v>45856</v>
      </c>
      <c r="L1769" t="inlineStr">
        <is>
          <t>Sin respuesta tras 3 contactos</t>
        </is>
      </c>
    </row>
    <row r="1770">
      <c r="A1770" t="inlineStr">
        <is>
          <t>CLI-1768</t>
        </is>
      </c>
      <c r="B1770" t="inlineStr">
        <is>
          <t>Felipe Ramírez Restrepo</t>
        </is>
      </c>
      <c r="C1770" t="inlineStr">
        <is>
          <t>3201240734</t>
        </is>
      </c>
      <c r="D1770" t="inlineStr">
        <is>
          <t>felipe.ramirez16@outlook.com</t>
        </is>
      </c>
      <c r="E1770" t="inlineStr">
        <is>
          <t>Rionegro</t>
        </is>
      </c>
      <c r="F1770" t="inlineStr">
        <is>
          <t>PRY-005</t>
        </is>
      </c>
      <c r="G1770" t="inlineStr">
        <is>
          <t>Referido</t>
        </is>
      </c>
      <c r="H1770" t="inlineStr">
        <is>
          <t>Ana Quintero</t>
        </is>
      </c>
      <c r="I1770" t="inlineStr">
        <is>
          <t>Perdido</t>
        </is>
      </c>
      <c r="J1770" s="28" t="n">
        <v>45832</v>
      </c>
      <c r="K1770" s="28" t="n">
        <v>45856</v>
      </c>
      <c r="L1770" t="inlineStr">
        <is>
          <t>Sin respuesta tras 3 contactos</t>
        </is>
      </c>
    </row>
    <row r="1771">
      <c r="A1771" t="inlineStr">
        <is>
          <t>CLI-1769</t>
        </is>
      </c>
      <c r="B1771" t="inlineStr">
        <is>
          <t>Carlos Escobar Muñoz</t>
        </is>
      </c>
      <c r="C1771" t="inlineStr">
        <is>
          <t>3008143421</t>
        </is>
      </c>
      <c r="D1771" t="inlineStr">
        <is>
          <t>carlos.escobar49@outlook.com</t>
        </is>
      </c>
      <c r="E1771" t="inlineStr">
        <is>
          <t>Medellín</t>
        </is>
      </c>
      <c r="F1771" t="inlineStr">
        <is>
          <t>PRY-003</t>
        </is>
      </c>
      <c r="G1771" t="inlineStr">
        <is>
          <t>Portal Web</t>
        </is>
      </c>
      <c r="H1771" t="inlineStr">
        <is>
          <t>Daniela Ríos</t>
        </is>
      </c>
      <c r="I1771" t="inlineStr">
        <is>
          <t>Perdido</t>
        </is>
      </c>
      <c r="J1771" s="28" t="n">
        <v>45832</v>
      </c>
      <c r="K1771" s="28" t="n">
        <v>45845</v>
      </c>
      <c r="L1771" t="inlineStr">
        <is>
          <t>Sin respuesta tras 3 contactos</t>
        </is>
      </c>
    </row>
    <row r="1772">
      <c r="A1772" t="inlineStr">
        <is>
          <t>CLI-1770</t>
        </is>
      </c>
      <c r="B1772" t="inlineStr">
        <is>
          <t>Carolina Toro Londoño</t>
        </is>
      </c>
      <c r="C1772" t="inlineStr">
        <is>
          <t>3236921907</t>
        </is>
      </c>
      <c r="D1772" t="inlineStr">
        <is>
          <t>carolina.toro33@outlook.com</t>
        </is>
      </c>
      <c r="E1772" t="inlineStr">
        <is>
          <t>Rionegro</t>
        </is>
      </c>
      <c r="F1772" t="inlineStr">
        <is>
          <t>PRY-005</t>
        </is>
      </c>
      <c r="G1772" t="inlineStr">
        <is>
          <t>Llamada directa</t>
        </is>
      </c>
      <c r="H1772" t="inlineStr">
        <is>
          <t>Andrés Torres</t>
        </is>
      </c>
      <c r="I1772" t="inlineStr">
        <is>
          <t>Ganado</t>
        </is>
      </c>
      <c r="J1772" s="28" t="n">
        <v>45833</v>
      </c>
      <c r="K1772" s="28" t="n">
        <v>45946</v>
      </c>
      <c r="L1772" t="inlineStr">
        <is>
          <t>Compró Casa 24 en Ciudadela Rionegro</t>
        </is>
      </c>
    </row>
    <row r="1773">
      <c r="A1773" t="inlineStr">
        <is>
          <t>CLI-1771</t>
        </is>
      </c>
      <c r="B1773" t="inlineStr">
        <is>
          <t>Fernando Ochoa Zuluaga</t>
        </is>
      </c>
      <c r="C1773" t="inlineStr">
        <is>
          <t>3248735089</t>
        </is>
      </c>
      <c r="D1773" t="inlineStr">
        <is>
          <t>fernando.ochoa88@outlook.com</t>
        </is>
      </c>
      <c r="E1773" t="inlineStr">
        <is>
          <t>Itagüí</t>
        </is>
      </c>
      <c r="F1773" t="inlineStr">
        <is>
          <t>PRY-008</t>
        </is>
      </c>
      <c r="G1773" t="inlineStr">
        <is>
          <t>Instagram</t>
        </is>
      </c>
      <c r="H1773" t="inlineStr">
        <is>
          <t>Mateo Herrera</t>
        </is>
      </c>
      <c r="I1773" t="inlineStr">
        <is>
          <t>Ganado</t>
        </is>
      </c>
      <c r="J1773" s="28" t="n">
        <v>45833</v>
      </c>
      <c r="K1773" s="28" t="n">
        <v>45910</v>
      </c>
      <c r="L1773" t="inlineStr">
        <is>
          <t>Compró Casa 34 en Valle Verde Itagüí</t>
        </is>
      </c>
    </row>
    <row r="1774">
      <c r="A1774" t="inlineStr">
        <is>
          <t>CLI-1772</t>
        </is>
      </c>
      <c r="B1774" t="inlineStr">
        <is>
          <t>Gloria Mejía Sánchez</t>
        </is>
      </c>
      <c r="C1774" t="inlineStr">
        <is>
          <t>3176740719</t>
        </is>
      </c>
      <c r="D1774" t="inlineStr">
        <is>
          <t>gloria.mejia98@outlook.com</t>
        </is>
      </c>
      <c r="E1774" t="inlineStr">
        <is>
          <t>Itagüí</t>
        </is>
      </c>
      <c r="F1774" t="inlineStr">
        <is>
          <t>PRY-008</t>
        </is>
      </c>
      <c r="G1774" t="inlineStr">
        <is>
          <t>Facebook</t>
        </is>
      </c>
      <c r="H1774" t="inlineStr">
        <is>
          <t>Daniela Ríos</t>
        </is>
      </c>
      <c r="I1774" t="inlineStr">
        <is>
          <t>Perdido</t>
        </is>
      </c>
      <c r="J1774" s="28" t="n">
        <v>45833</v>
      </c>
      <c r="K1774" s="28" t="n">
        <v>45838</v>
      </c>
      <c r="L1774" t="inlineStr">
        <is>
          <t>No calificó para crédito</t>
        </is>
      </c>
    </row>
    <row r="1775">
      <c r="A1775" t="inlineStr">
        <is>
          <t>CLI-1773</t>
        </is>
      </c>
      <c r="B1775" t="inlineStr">
        <is>
          <t>Wilson Salazar Hernández</t>
        </is>
      </c>
      <c r="C1775" t="inlineStr">
        <is>
          <t>3106358144</t>
        </is>
      </c>
      <c r="D1775" t="inlineStr">
        <is>
          <t>wilson.salazar48@gmail.com</t>
        </is>
      </c>
      <c r="E1775" t="inlineStr">
        <is>
          <t>Envigado</t>
        </is>
      </c>
      <c r="F1775" t="inlineStr">
        <is>
          <t>PRY-007</t>
        </is>
      </c>
      <c r="G1775" t="inlineStr">
        <is>
          <t>Llamada directa</t>
        </is>
      </c>
      <c r="H1775" t="inlineStr">
        <is>
          <t>Miguel Salazar</t>
        </is>
      </c>
      <c r="I1775" t="inlineStr">
        <is>
          <t>Perdido</t>
        </is>
      </c>
      <c r="J1775" s="28" t="n">
        <v>45833</v>
      </c>
      <c r="K1775" s="28" t="n">
        <v>45839</v>
      </c>
      <c r="L1775" t="inlineStr">
        <is>
          <t>No calificó para crédito</t>
        </is>
      </c>
    </row>
    <row r="1776">
      <c r="A1776" t="inlineStr">
        <is>
          <t>CLI-1774</t>
        </is>
      </c>
      <c r="B1776" t="inlineStr">
        <is>
          <t>Juliana Gómez Uribe</t>
        </is>
      </c>
      <c r="C1776" t="inlineStr">
        <is>
          <t>3002381903</t>
        </is>
      </c>
      <c r="D1776" t="inlineStr">
        <is>
          <t>juliana.gomez15@yahoo.com</t>
        </is>
      </c>
      <c r="E1776" t="inlineStr">
        <is>
          <t>Itagüí</t>
        </is>
      </c>
      <c r="F1776" t="inlineStr">
        <is>
          <t>PRY-008</t>
        </is>
      </c>
      <c r="G1776" t="inlineStr">
        <is>
          <t>Feria Inmobiliaria</t>
        </is>
      </c>
      <c r="H1776" t="inlineStr">
        <is>
          <t>Miguel Salazar</t>
        </is>
      </c>
      <c r="I1776" t="inlineStr">
        <is>
          <t>Perdido</t>
        </is>
      </c>
      <c r="J1776" s="28" t="n">
        <v>45833</v>
      </c>
      <c r="K1776" s="28" t="n">
        <v>45861</v>
      </c>
      <c r="L1776" t="inlineStr">
        <is>
          <t>Datos de contacto errados</t>
        </is>
      </c>
    </row>
    <row r="1777">
      <c r="A1777" t="inlineStr">
        <is>
          <t>CLI-1775</t>
        </is>
      </c>
      <c r="B1777" t="inlineStr">
        <is>
          <t>Óscar Mejía Agudelo</t>
        </is>
      </c>
      <c r="C1777" t="inlineStr">
        <is>
          <t>3158670174</t>
        </is>
      </c>
      <c r="D1777" t="inlineStr">
        <is>
          <t>oscar.mejia94@yahoo.com</t>
        </is>
      </c>
      <c r="E1777" t="inlineStr">
        <is>
          <t>Envigado</t>
        </is>
      </c>
      <c r="F1777" t="inlineStr">
        <is>
          <t>PRY-007</t>
        </is>
      </c>
      <c r="G1777" t="inlineStr">
        <is>
          <t>Facebook</t>
        </is>
      </c>
      <c r="H1777" t="inlineStr">
        <is>
          <t>Miguel Salazar</t>
        </is>
      </c>
      <c r="I1777" t="inlineStr">
        <is>
          <t>Ganado</t>
        </is>
      </c>
      <c r="J1777" s="28" t="n">
        <v>45834</v>
      </c>
      <c r="K1777" s="28" t="n">
        <v>45908</v>
      </c>
      <c r="L1777" t="inlineStr">
        <is>
          <t>Compró Apto 702 en Mirador de Envigado</t>
        </is>
      </c>
    </row>
    <row r="1778">
      <c r="A1778" t="inlineStr">
        <is>
          <t>CLI-1776</t>
        </is>
      </c>
      <c r="B1778" t="inlineStr">
        <is>
          <t>Alejandra Jaramillo Gómez</t>
        </is>
      </c>
      <c r="C1778" t="inlineStr">
        <is>
          <t>3171158547</t>
        </is>
      </c>
      <c r="D1778" t="inlineStr">
        <is>
          <t>alejandra.jaramillo34@outlook.com</t>
        </is>
      </c>
      <c r="E1778" t="inlineStr">
        <is>
          <t>Medellín</t>
        </is>
      </c>
      <c r="F1778" t="inlineStr">
        <is>
          <t>PRY-001</t>
        </is>
      </c>
      <c r="G1778" t="inlineStr">
        <is>
          <t>Portal Web</t>
        </is>
      </c>
      <c r="H1778" t="inlineStr">
        <is>
          <t>Andrés Torres</t>
        </is>
      </c>
      <c r="I1778" t="inlineStr">
        <is>
          <t>Perdido</t>
        </is>
      </c>
      <c r="J1778" s="28" t="n">
        <v>45834</v>
      </c>
      <c r="K1778" s="28" t="n">
        <v>45954</v>
      </c>
      <c r="L1778" t="inlineStr">
        <is>
          <t>Precio fuera de presupuesto</t>
        </is>
      </c>
    </row>
    <row r="1779">
      <c r="A1779" t="inlineStr">
        <is>
          <t>CLI-1777</t>
        </is>
      </c>
      <c r="B1779" t="inlineStr">
        <is>
          <t>Patricia Londoño Henao</t>
        </is>
      </c>
      <c r="C1779" t="inlineStr">
        <is>
          <t>3151710883</t>
        </is>
      </c>
      <c r="D1779" t="inlineStr">
        <is>
          <t>patricia.londono51@yahoo.com</t>
        </is>
      </c>
      <c r="E1779" t="inlineStr">
        <is>
          <t>Medellín</t>
        </is>
      </c>
      <c r="F1779" t="inlineStr">
        <is>
          <t>PRY-001</t>
        </is>
      </c>
      <c r="G1779" t="inlineStr">
        <is>
          <t>Referido</t>
        </is>
      </c>
      <c r="H1779" t="inlineStr">
        <is>
          <t>Luis Bedoya</t>
        </is>
      </c>
      <c r="I1779" t="inlineStr">
        <is>
          <t>Perdido</t>
        </is>
      </c>
      <c r="J1779" s="28" t="n">
        <v>45834</v>
      </c>
      <c r="K1779" s="28" t="n">
        <v>45844</v>
      </c>
      <c r="L1779" t="inlineStr">
        <is>
          <t>No calificó para crédito</t>
        </is>
      </c>
    </row>
    <row r="1780">
      <c r="A1780" t="inlineStr">
        <is>
          <t>CLI-1778</t>
        </is>
      </c>
      <c r="B1780" t="inlineStr">
        <is>
          <t>Simón Salcedo Gómez</t>
        </is>
      </c>
      <c r="C1780" t="inlineStr">
        <is>
          <t>3247913847</t>
        </is>
      </c>
      <c r="D1780" t="inlineStr">
        <is>
          <t>simon.salcedo77@hotmail.com</t>
        </is>
      </c>
      <c r="E1780" t="inlineStr">
        <is>
          <t>Medellín</t>
        </is>
      </c>
      <c r="F1780" t="inlineStr">
        <is>
          <t>PRY-001</t>
        </is>
      </c>
      <c r="G1780" t="inlineStr">
        <is>
          <t>Instagram</t>
        </is>
      </c>
      <c r="H1780" t="inlineStr">
        <is>
          <t>Sofía Prada</t>
        </is>
      </c>
      <c r="I1780" t="inlineStr">
        <is>
          <t>Perdido</t>
        </is>
      </c>
      <c r="J1780" s="28" t="n">
        <v>45835</v>
      </c>
      <c r="K1780" s="28" t="n">
        <v>45857</v>
      </c>
      <c r="L1780" t="inlineStr">
        <is>
          <t>No calificó para crédito</t>
        </is>
      </c>
    </row>
    <row r="1781">
      <c r="A1781" t="inlineStr">
        <is>
          <t>CLI-1779</t>
        </is>
      </c>
      <c r="B1781" t="inlineStr">
        <is>
          <t>Sebastián Muñoz Salcedo</t>
        </is>
      </c>
      <c r="C1781" t="inlineStr">
        <is>
          <t>3148953329</t>
        </is>
      </c>
      <c r="D1781" t="inlineStr">
        <is>
          <t>sebastian.munoz78@yahoo.com</t>
        </is>
      </c>
      <c r="E1781" t="inlineStr">
        <is>
          <t>Rionegro</t>
        </is>
      </c>
      <c r="F1781" t="inlineStr">
        <is>
          <t>PRY-005</t>
        </is>
      </c>
      <c r="G1781" t="inlineStr">
        <is>
          <t>Portal Web</t>
        </is>
      </c>
      <c r="H1781" t="inlineStr">
        <is>
          <t>Luis Bedoya</t>
        </is>
      </c>
      <c r="I1781" t="inlineStr">
        <is>
          <t>Perdido</t>
        </is>
      </c>
      <c r="J1781" s="28" t="n">
        <v>45835</v>
      </c>
      <c r="K1781" s="28" t="n">
        <v>45842</v>
      </c>
      <c r="L1781" t="inlineStr">
        <is>
          <t>Presupuesto insuficiente</t>
        </is>
      </c>
    </row>
    <row r="1782">
      <c r="A1782" t="inlineStr">
        <is>
          <t>CLI-1780</t>
        </is>
      </c>
      <c r="B1782" t="inlineStr">
        <is>
          <t>Juan Pablo Toro Uribe</t>
        </is>
      </c>
      <c r="C1782" t="inlineStr">
        <is>
          <t>3226750474</t>
        </is>
      </c>
      <c r="D1782" t="inlineStr">
        <is>
          <t>juan.toro25@gmail.com</t>
        </is>
      </c>
      <c r="E1782" t="inlineStr">
        <is>
          <t>Bello</t>
        </is>
      </c>
      <c r="F1782" t="inlineStr">
        <is>
          <t>PRY-006</t>
        </is>
      </c>
      <c r="G1782" t="inlineStr">
        <is>
          <t>Referido</t>
        </is>
      </c>
      <c r="H1782" t="inlineStr">
        <is>
          <t>Luis Bedoya</t>
        </is>
      </c>
      <c r="I1782" t="inlineStr">
        <is>
          <t>Perdido</t>
        </is>
      </c>
      <c r="J1782" s="28" t="n">
        <v>45835</v>
      </c>
      <c r="K1782" s="28" t="n">
        <v>45845</v>
      </c>
      <c r="L1782" t="inlineStr">
        <is>
          <t>No calificó para crédito</t>
        </is>
      </c>
    </row>
    <row r="1783">
      <c r="A1783" t="inlineStr">
        <is>
          <t>CLI-1781</t>
        </is>
      </c>
      <c r="B1783" t="inlineStr">
        <is>
          <t>Catalina Valencia Vargas</t>
        </is>
      </c>
      <c r="C1783" t="inlineStr">
        <is>
          <t>3136704899</t>
        </is>
      </c>
      <c r="D1783" t="inlineStr">
        <is>
          <t>catalina.valencia55@outlook.com</t>
        </is>
      </c>
      <c r="E1783" t="inlineStr">
        <is>
          <t>Medellín</t>
        </is>
      </c>
      <c r="F1783" t="inlineStr">
        <is>
          <t>PRY-001</t>
        </is>
      </c>
      <c r="G1783" t="inlineStr">
        <is>
          <t>Instagram</t>
        </is>
      </c>
      <c r="H1783" t="inlineStr">
        <is>
          <t>Ana Quintero</t>
        </is>
      </c>
      <c r="I1783" t="inlineStr">
        <is>
          <t>Perdido</t>
        </is>
      </c>
      <c r="J1783" s="28" t="n">
        <v>45835</v>
      </c>
      <c r="K1783" s="28" t="n">
        <v>45857</v>
      </c>
      <c r="L1783" t="inlineStr">
        <is>
          <t>Presupuesto insuficiente</t>
        </is>
      </c>
    </row>
    <row r="1784">
      <c r="A1784" t="inlineStr">
        <is>
          <t>CLI-1782</t>
        </is>
      </c>
      <c r="B1784" t="inlineStr">
        <is>
          <t>Emilio Londoño Vargas</t>
        </is>
      </c>
      <c r="C1784" t="inlineStr">
        <is>
          <t>3002532127</t>
        </is>
      </c>
      <c r="D1784" t="inlineStr">
        <is>
          <t>emilio.londono79@yahoo.com</t>
        </is>
      </c>
      <c r="E1784" t="inlineStr">
        <is>
          <t>Itagüí</t>
        </is>
      </c>
      <c r="F1784" t="inlineStr">
        <is>
          <t>PRY-008</t>
        </is>
      </c>
      <c r="G1784" t="inlineStr">
        <is>
          <t>Instagram</t>
        </is>
      </c>
      <c r="H1784" t="inlineStr">
        <is>
          <t>Andrés Torres</t>
        </is>
      </c>
      <c r="I1784" t="inlineStr">
        <is>
          <t>Ganado</t>
        </is>
      </c>
      <c r="J1784" s="28" t="n">
        <v>45836</v>
      </c>
      <c r="K1784" s="28" t="n">
        <v>45928</v>
      </c>
      <c r="L1784" t="inlineStr">
        <is>
          <t>Compró Casa 2 en Valle Verde Itagüí</t>
        </is>
      </c>
    </row>
    <row r="1785">
      <c r="A1785" t="inlineStr">
        <is>
          <t>CLI-1783</t>
        </is>
      </c>
      <c r="B1785" t="inlineStr">
        <is>
          <t>Alejandro Sánchez Muñoz</t>
        </is>
      </c>
      <c r="C1785" t="inlineStr">
        <is>
          <t>3179495594</t>
        </is>
      </c>
      <c r="D1785" t="inlineStr">
        <is>
          <t>alejandro.sanchez96@outlook.com</t>
        </is>
      </c>
      <c r="E1785" t="inlineStr">
        <is>
          <t>La Estrella</t>
        </is>
      </c>
      <c r="F1785" t="inlineStr">
        <is>
          <t>PRY-003</t>
        </is>
      </c>
      <c r="G1785" t="inlineStr">
        <is>
          <t>Referido</t>
        </is>
      </c>
      <c r="H1785" t="inlineStr">
        <is>
          <t>Luis Bedoya</t>
        </is>
      </c>
      <c r="I1785" t="inlineStr">
        <is>
          <t>Perdido</t>
        </is>
      </c>
      <c r="J1785" s="28" t="n">
        <v>45836</v>
      </c>
      <c r="K1785" s="28" t="n">
        <v>45841</v>
      </c>
      <c r="L1785" t="inlineStr">
        <is>
          <t>Datos de contacto errados</t>
        </is>
      </c>
    </row>
    <row r="1786">
      <c r="A1786" t="inlineStr">
        <is>
          <t>CLI-1784</t>
        </is>
      </c>
      <c r="B1786" t="inlineStr">
        <is>
          <t>Manuela Salcedo Londoño</t>
        </is>
      </c>
      <c r="C1786" t="inlineStr">
        <is>
          <t>3173155407</t>
        </is>
      </c>
      <c r="D1786" t="inlineStr">
        <is>
          <t>manuela.salcedo62@hotmail.com</t>
        </is>
      </c>
      <c r="E1786" t="inlineStr">
        <is>
          <t>Rionegro</t>
        </is>
      </c>
      <c r="F1786" t="inlineStr">
        <is>
          <t>PRY-006</t>
        </is>
      </c>
      <c r="G1786" t="inlineStr">
        <is>
          <t>Instagram</t>
        </is>
      </c>
      <c r="H1786" t="inlineStr">
        <is>
          <t>Sofía Prada</t>
        </is>
      </c>
      <c r="I1786" t="inlineStr">
        <is>
          <t>Perdido</t>
        </is>
      </c>
      <c r="J1786" s="28" t="n">
        <v>45836</v>
      </c>
      <c r="K1786" s="28" t="n">
        <v>45857</v>
      </c>
      <c r="L1786" t="inlineStr">
        <is>
          <t>Sin respuesta tras 3 contactos</t>
        </is>
      </c>
    </row>
    <row r="1787">
      <c r="A1787" t="inlineStr">
        <is>
          <t>CLI-1785</t>
        </is>
      </c>
      <c r="B1787" t="inlineStr">
        <is>
          <t>Sebastián Palacio Giraldo</t>
        </is>
      </c>
      <c r="C1787" t="inlineStr">
        <is>
          <t>3209452551</t>
        </is>
      </c>
      <c r="D1787" t="inlineStr">
        <is>
          <t>sebastian.palacio17@gmail.com</t>
        </is>
      </c>
      <c r="E1787" t="inlineStr">
        <is>
          <t>Sabaneta</t>
        </is>
      </c>
      <c r="F1787" t="inlineStr">
        <is>
          <t>PRY-006</t>
        </is>
      </c>
      <c r="G1787" t="inlineStr">
        <is>
          <t>Feria Inmobiliaria</t>
        </is>
      </c>
      <c r="H1787" t="inlineStr">
        <is>
          <t>Sofía Prada</t>
        </is>
      </c>
      <c r="I1787" t="inlineStr">
        <is>
          <t>Perdido</t>
        </is>
      </c>
      <c r="J1787" s="28" t="n">
        <v>45836</v>
      </c>
      <c r="K1787" s="28" t="n">
        <v>45865</v>
      </c>
      <c r="L1787" t="inlineStr">
        <is>
          <t>Sin respuesta tras 3 contactos</t>
        </is>
      </c>
    </row>
    <row r="1788">
      <c r="A1788" t="inlineStr">
        <is>
          <t>CLI-1786</t>
        </is>
      </c>
      <c r="B1788" t="inlineStr">
        <is>
          <t>Sofía Castaño Salcedo</t>
        </is>
      </c>
      <c r="C1788" t="inlineStr">
        <is>
          <t>3012763136</t>
        </is>
      </c>
      <c r="D1788" t="inlineStr">
        <is>
          <t>sofia.castano59@hotmail.com</t>
        </is>
      </c>
      <c r="E1788" t="inlineStr">
        <is>
          <t>La Estrella</t>
        </is>
      </c>
      <c r="F1788" t="inlineStr">
        <is>
          <t>PRY-003</t>
        </is>
      </c>
      <c r="G1788" t="inlineStr">
        <is>
          <t>Llamada directa</t>
        </is>
      </c>
      <c r="H1788" t="inlineStr">
        <is>
          <t>Andrés Torres</t>
        </is>
      </c>
      <c r="I1788" t="inlineStr">
        <is>
          <t>Perdido</t>
        </is>
      </c>
      <c r="J1788" s="28" t="n">
        <v>45836</v>
      </c>
      <c r="K1788" s="28" t="n">
        <v>45862</v>
      </c>
      <c r="L1788" t="inlineStr">
        <is>
          <t>No calificó para crédito</t>
        </is>
      </c>
    </row>
    <row r="1789">
      <c r="A1789" t="inlineStr">
        <is>
          <t>CLI-1787</t>
        </is>
      </c>
      <c r="B1789" t="inlineStr">
        <is>
          <t>Iván Escobar Sánchez</t>
        </is>
      </c>
      <c r="C1789" t="inlineStr">
        <is>
          <t>3202708718</t>
        </is>
      </c>
      <c r="D1789" t="inlineStr">
        <is>
          <t>ivan.escobar71@gmail.com</t>
        </is>
      </c>
      <c r="E1789" t="inlineStr">
        <is>
          <t>Sabaneta</t>
        </is>
      </c>
      <c r="F1789" t="inlineStr">
        <is>
          <t>PRY-003</t>
        </is>
      </c>
      <c r="G1789" t="inlineStr">
        <is>
          <t>Facebook</t>
        </is>
      </c>
      <c r="H1789" t="inlineStr">
        <is>
          <t>Miguel Salazar</t>
        </is>
      </c>
      <c r="I1789" t="inlineStr">
        <is>
          <t>Ganado</t>
        </is>
      </c>
      <c r="J1789" s="28" t="n">
        <v>45837</v>
      </c>
      <c r="K1789" s="28" t="n">
        <v>45960</v>
      </c>
      <c r="L1789" t="inlineStr">
        <is>
          <t>Compró Apto 1407 en Conecta Laureles</t>
        </is>
      </c>
    </row>
    <row r="1790">
      <c r="A1790" t="inlineStr">
        <is>
          <t>CLI-1788</t>
        </is>
      </c>
      <c r="B1790" t="inlineStr">
        <is>
          <t>Catalina Montoya Mejía</t>
        </is>
      </c>
      <c r="C1790" t="inlineStr">
        <is>
          <t>3041080153</t>
        </is>
      </c>
      <c r="D1790" t="inlineStr">
        <is>
          <t>catalina.montoya77@yahoo.com</t>
        </is>
      </c>
      <c r="E1790" t="inlineStr">
        <is>
          <t>Sabaneta</t>
        </is>
      </c>
      <c r="F1790" t="inlineStr">
        <is>
          <t>PRY-005</t>
        </is>
      </c>
      <c r="G1790" t="inlineStr">
        <is>
          <t>Llamada directa</t>
        </is>
      </c>
      <c r="H1790" t="inlineStr">
        <is>
          <t>Sofía Prada</t>
        </is>
      </c>
      <c r="I1790" t="inlineStr">
        <is>
          <t>Perdido</t>
        </is>
      </c>
      <c r="J1790" s="28" t="n">
        <v>45837</v>
      </c>
      <c r="K1790" s="28" t="n">
        <v>45866</v>
      </c>
      <c r="L1790" t="inlineStr">
        <is>
          <t>No calificó para crédito</t>
        </is>
      </c>
    </row>
    <row r="1791">
      <c r="A1791" t="inlineStr">
        <is>
          <t>CLI-1789</t>
        </is>
      </c>
      <c r="B1791" t="inlineStr">
        <is>
          <t>Jorge Mejía Muñoz</t>
        </is>
      </c>
      <c r="C1791" t="inlineStr">
        <is>
          <t>3171223295</t>
        </is>
      </c>
      <c r="D1791" t="inlineStr">
        <is>
          <t>jorge.mejia31@gmail.com</t>
        </is>
      </c>
      <c r="E1791" t="inlineStr">
        <is>
          <t>Medellín</t>
        </is>
      </c>
      <c r="F1791" t="inlineStr">
        <is>
          <t>PRY-003</t>
        </is>
      </c>
      <c r="G1791" t="inlineStr">
        <is>
          <t>Facebook</t>
        </is>
      </c>
      <c r="H1791" t="inlineStr">
        <is>
          <t>Juliana Vélez</t>
        </is>
      </c>
      <c r="I1791" t="inlineStr">
        <is>
          <t>Perdido</t>
        </is>
      </c>
      <c r="J1791" s="28" t="n">
        <v>45837</v>
      </c>
      <c r="K1791" s="28" t="n">
        <v>45857</v>
      </c>
      <c r="L1791" t="inlineStr">
        <is>
          <t>Sin respuesta tras 3 contactos</t>
        </is>
      </c>
    </row>
    <row r="1792">
      <c r="A1792" t="inlineStr">
        <is>
          <t>CLI-1790</t>
        </is>
      </c>
      <c r="B1792" t="inlineStr">
        <is>
          <t>Patricia Henao Vargas</t>
        </is>
      </c>
      <c r="C1792" t="inlineStr">
        <is>
          <t>3141839001</t>
        </is>
      </c>
      <c r="D1792" t="inlineStr">
        <is>
          <t>patricia.henao30@hotmail.com</t>
        </is>
      </c>
      <c r="E1792" t="inlineStr">
        <is>
          <t>La Estrella</t>
        </is>
      </c>
      <c r="F1792" t="inlineStr">
        <is>
          <t>PRY-001</t>
        </is>
      </c>
      <c r="G1792" t="inlineStr">
        <is>
          <t>Facebook</t>
        </is>
      </c>
      <c r="H1792" t="inlineStr">
        <is>
          <t>Daniela Ríos</t>
        </is>
      </c>
      <c r="I1792" t="inlineStr">
        <is>
          <t>Perdido</t>
        </is>
      </c>
      <c r="J1792" s="28" t="n">
        <v>45837</v>
      </c>
      <c r="K1792" s="28" t="n">
        <v>45852</v>
      </c>
      <c r="L1792" t="inlineStr">
        <is>
          <t>Buscaba arriendo, no compra</t>
        </is>
      </c>
    </row>
    <row r="1793">
      <c r="A1793" t="inlineStr">
        <is>
          <t>CLI-1791</t>
        </is>
      </c>
      <c r="B1793" t="inlineStr">
        <is>
          <t>Lorena Gómez Zuluaga</t>
        </is>
      </c>
      <c r="C1793" t="inlineStr">
        <is>
          <t>3229315940</t>
        </is>
      </c>
      <c r="D1793" t="inlineStr">
        <is>
          <t>lorena.gomez55@hotmail.com</t>
        </is>
      </c>
      <c r="E1793" t="inlineStr">
        <is>
          <t>Itagüí</t>
        </is>
      </c>
      <c r="F1793" t="inlineStr">
        <is>
          <t>PRY-008</t>
        </is>
      </c>
      <c r="G1793" t="inlineStr">
        <is>
          <t>Instagram</t>
        </is>
      </c>
      <c r="H1793" t="inlineStr">
        <is>
          <t>Ana Quintero</t>
        </is>
      </c>
      <c r="I1793" t="inlineStr">
        <is>
          <t>Ganado</t>
        </is>
      </c>
      <c r="J1793" s="28" t="n">
        <v>45838</v>
      </c>
      <c r="K1793" s="28" t="n">
        <v>45895</v>
      </c>
      <c r="L1793" t="inlineStr">
        <is>
          <t>Compró Casa 70 en Valle Verde Itagüí</t>
        </is>
      </c>
    </row>
    <row r="1794">
      <c r="A1794" t="inlineStr">
        <is>
          <t>CLI-1792</t>
        </is>
      </c>
      <c r="B1794" t="inlineStr">
        <is>
          <t>María Echeverri Toro</t>
        </is>
      </c>
      <c r="C1794" t="inlineStr">
        <is>
          <t>3143510513</t>
        </is>
      </c>
      <c r="D1794" t="inlineStr">
        <is>
          <t>maria.echeverri25@outlook.com</t>
        </is>
      </c>
      <c r="E1794" t="inlineStr">
        <is>
          <t>Itagüí</t>
        </is>
      </c>
      <c r="F1794" t="inlineStr">
        <is>
          <t>PRY-008</t>
        </is>
      </c>
      <c r="G1794" t="inlineStr">
        <is>
          <t>Portal Web</t>
        </is>
      </c>
      <c r="H1794" t="inlineStr">
        <is>
          <t>Sofía Prada</t>
        </is>
      </c>
      <c r="I1794" t="inlineStr">
        <is>
          <t>Ganado</t>
        </is>
      </c>
      <c r="J1794" s="28" t="n">
        <v>45838</v>
      </c>
      <c r="K1794" s="28" t="n">
        <v>45912</v>
      </c>
      <c r="L1794" t="inlineStr">
        <is>
          <t>Compró Casa 1 en Valle Verde Itagüí</t>
        </is>
      </c>
    </row>
    <row r="1795">
      <c r="A1795" t="inlineStr">
        <is>
          <t>CLI-1793</t>
        </is>
      </c>
      <c r="B1795" t="inlineStr">
        <is>
          <t>Paula Franco Echeverri</t>
        </is>
      </c>
      <c r="C1795" t="inlineStr">
        <is>
          <t>3171345329</t>
        </is>
      </c>
      <c r="D1795" t="inlineStr">
        <is>
          <t>paula.franco38@outlook.com</t>
        </is>
      </c>
      <c r="E1795" t="inlineStr">
        <is>
          <t>Rionegro</t>
        </is>
      </c>
      <c r="F1795" t="inlineStr">
        <is>
          <t>PRY-003</t>
        </is>
      </c>
      <c r="G1795" t="inlineStr">
        <is>
          <t>Portal Web</t>
        </is>
      </c>
      <c r="H1795" t="inlineStr">
        <is>
          <t>Andrés Torres</t>
        </is>
      </c>
      <c r="I1795" t="inlineStr">
        <is>
          <t>Perdido</t>
        </is>
      </c>
      <c r="J1795" s="28" t="n">
        <v>45838</v>
      </c>
      <c r="K1795" s="28" t="n">
        <v>45947</v>
      </c>
      <c r="L1795" t="inlineStr">
        <is>
          <t>Desistió de la compra</t>
        </is>
      </c>
    </row>
    <row r="1796">
      <c r="A1796" t="inlineStr">
        <is>
          <t>CLI-1794</t>
        </is>
      </c>
      <c r="B1796" t="inlineStr">
        <is>
          <t>Catalina Franco Toro</t>
        </is>
      </c>
      <c r="C1796" t="inlineStr">
        <is>
          <t>3131460048</t>
        </is>
      </c>
      <c r="D1796" t="inlineStr">
        <is>
          <t>catalina.franco5@yahoo.com</t>
        </is>
      </c>
      <c r="E1796" t="inlineStr">
        <is>
          <t>Sabaneta</t>
        </is>
      </c>
      <c r="F1796" t="inlineStr">
        <is>
          <t>PRY-008</t>
        </is>
      </c>
      <c r="G1796" t="inlineStr">
        <is>
          <t>Facebook</t>
        </is>
      </c>
      <c r="H1796" t="inlineStr">
        <is>
          <t>Ana Quintero</t>
        </is>
      </c>
      <c r="I1796" t="inlineStr">
        <is>
          <t>Perdido</t>
        </is>
      </c>
      <c r="J1796" s="28" t="n">
        <v>45838</v>
      </c>
      <c r="K1796" s="28" t="n">
        <v>45866</v>
      </c>
      <c r="L1796" t="inlineStr">
        <is>
          <t>Sin respuesta tras 3 contactos</t>
        </is>
      </c>
    </row>
    <row r="1797">
      <c r="A1797" t="inlineStr">
        <is>
          <t>CLI-1795</t>
        </is>
      </c>
      <c r="B1797" t="inlineStr">
        <is>
          <t>Juliana Ramírez Montoya</t>
        </is>
      </c>
      <c r="C1797" t="inlineStr">
        <is>
          <t>3147988694</t>
        </is>
      </c>
      <c r="D1797" t="inlineStr">
        <is>
          <t>juliana.ramirez15@gmail.com</t>
        </is>
      </c>
      <c r="E1797" t="inlineStr">
        <is>
          <t>Medellín</t>
        </is>
      </c>
      <c r="F1797" t="inlineStr">
        <is>
          <t>PRY-002</t>
        </is>
      </c>
      <c r="G1797" t="inlineStr">
        <is>
          <t>Portal Web</t>
        </is>
      </c>
      <c r="H1797" t="inlineStr">
        <is>
          <t>Santiago Muñoz</t>
        </is>
      </c>
      <c r="I1797" t="inlineStr">
        <is>
          <t>Perdido</t>
        </is>
      </c>
      <c r="J1797" s="28" t="n">
        <v>45838</v>
      </c>
      <c r="K1797" s="28" t="n">
        <v>45865</v>
      </c>
      <c r="L1797" t="inlineStr">
        <is>
          <t>Datos de contacto errados</t>
        </is>
      </c>
    </row>
    <row r="1798">
      <c r="A1798" t="inlineStr">
        <is>
          <t>CLI-1796</t>
        </is>
      </c>
      <c r="B1798" t="inlineStr">
        <is>
          <t>Gabriel Gómez Osorio</t>
        </is>
      </c>
      <c r="C1798" t="inlineStr">
        <is>
          <t>3248339502</t>
        </is>
      </c>
      <c r="D1798" t="inlineStr">
        <is>
          <t>gabriel.gomez58@outlook.com</t>
        </is>
      </c>
      <c r="E1798" t="inlineStr">
        <is>
          <t>Medellín</t>
        </is>
      </c>
      <c r="F1798" t="inlineStr">
        <is>
          <t>PRY-005</t>
        </is>
      </c>
      <c r="G1798" t="inlineStr">
        <is>
          <t>Feria Inmobiliaria</t>
        </is>
      </c>
      <c r="H1798" t="inlineStr">
        <is>
          <t>Luis Bedoya</t>
        </is>
      </c>
      <c r="I1798" t="inlineStr">
        <is>
          <t>Ganado</t>
        </is>
      </c>
      <c r="J1798" s="28" t="n">
        <v>45839</v>
      </c>
      <c r="K1798" s="28" t="n">
        <v>45976</v>
      </c>
      <c r="L1798" t="inlineStr">
        <is>
          <t>Compró Apto 706 en Ciudadela Rionegro</t>
        </is>
      </c>
    </row>
    <row r="1799">
      <c r="A1799" t="inlineStr">
        <is>
          <t>CLI-1797</t>
        </is>
      </c>
      <c r="B1799" t="inlineStr">
        <is>
          <t>Sebastián Palacio Salazar</t>
        </is>
      </c>
      <c r="C1799" t="inlineStr">
        <is>
          <t>3238302150</t>
        </is>
      </c>
      <c r="D1799" t="inlineStr">
        <is>
          <t>sebastian.palacio7@yahoo.com</t>
        </is>
      </c>
      <c r="E1799" t="inlineStr">
        <is>
          <t>La Estrella</t>
        </is>
      </c>
      <c r="F1799" t="inlineStr">
        <is>
          <t>PRY-006</t>
        </is>
      </c>
      <c r="G1799" t="inlineStr">
        <is>
          <t>Portal Web</t>
        </is>
      </c>
      <c r="H1799" t="inlineStr">
        <is>
          <t>Daniela Ríos</t>
        </is>
      </c>
      <c r="I1799" t="inlineStr">
        <is>
          <t>Ganado</t>
        </is>
      </c>
      <c r="J1799" s="28" t="n">
        <v>45839</v>
      </c>
      <c r="K1799" s="28" t="n">
        <v>45960</v>
      </c>
      <c r="L1799" t="inlineStr">
        <is>
          <t>Compró Local 13 en Plaza Bello</t>
        </is>
      </c>
    </row>
    <row r="1800">
      <c r="A1800" t="inlineStr">
        <is>
          <t>CLI-1798</t>
        </is>
      </c>
      <c r="B1800" t="inlineStr">
        <is>
          <t>Camila López Giraldo</t>
        </is>
      </c>
      <c r="C1800" t="inlineStr">
        <is>
          <t>3107593732</t>
        </is>
      </c>
      <c r="D1800" t="inlineStr">
        <is>
          <t>camila.lopez33@yahoo.com</t>
        </is>
      </c>
      <c r="E1800" t="inlineStr">
        <is>
          <t>Rionegro</t>
        </is>
      </c>
      <c r="F1800" t="inlineStr">
        <is>
          <t>PRY-005</t>
        </is>
      </c>
      <c r="G1800" t="inlineStr">
        <is>
          <t>Instagram</t>
        </is>
      </c>
      <c r="H1800" t="inlineStr">
        <is>
          <t>Luis Bedoya</t>
        </is>
      </c>
      <c r="I1800" t="inlineStr">
        <is>
          <t>Perdido</t>
        </is>
      </c>
      <c r="J1800" s="28" t="n">
        <v>45839</v>
      </c>
      <c r="K1800" s="28" t="n">
        <v>45859</v>
      </c>
      <c r="L1800" t="inlineStr">
        <is>
          <t>Sin respuesta tras 3 contactos</t>
        </is>
      </c>
    </row>
    <row r="1801">
      <c r="A1801" t="inlineStr">
        <is>
          <t>CLI-1799</t>
        </is>
      </c>
      <c r="B1801" t="inlineStr">
        <is>
          <t>Diego Jaramillo Espinosa</t>
        </is>
      </c>
      <c r="C1801" t="inlineStr">
        <is>
          <t>3221636817</t>
        </is>
      </c>
      <c r="D1801" t="inlineStr">
        <is>
          <t>diego.jaramillo84@outlook.com</t>
        </is>
      </c>
      <c r="E1801" t="inlineStr">
        <is>
          <t>Envigado</t>
        </is>
      </c>
      <c r="F1801" t="inlineStr">
        <is>
          <t>PRY-007</t>
        </is>
      </c>
      <c r="G1801" t="inlineStr">
        <is>
          <t>Facebook</t>
        </is>
      </c>
      <c r="H1801" t="inlineStr">
        <is>
          <t>Paula Arenas</t>
        </is>
      </c>
      <c r="I1801" t="inlineStr">
        <is>
          <t>Perdido</t>
        </is>
      </c>
      <c r="J1801" s="28" t="n">
        <v>45839</v>
      </c>
      <c r="K1801" s="28" t="n">
        <v>45855</v>
      </c>
      <c r="L1801" t="inlineStr">
        <is>
          <t>Sin respuesta tras 3 contactos</t>
        </is>
      </c>
    </row>
    <row r="1802">
      <c r="A1802" t="inlineStr">
        <is>
          <t>CLI-1800</t>
        </is>
      </c>
      <c r="B1802" t="inlineStr">
        <is>
          <t>Patricia Montoya Quintero</t>
        </is>
      </c>
      <c r="C1802" t="inlineStr">
        <is>
          <t>3109291450</t>
        </is>
      </c>
      <c r="D1802" t="inlineStr">
        <is>
          <t>patricia.montoya45@yahoo.com</t>
        </is>
      </c>
      <c r="E1802" t="inlineStr">
        <is>
          <t>Bello</t>
        </is>
      </c>
      <c r="F1802" t="inlineStr">
        <is>
          <t>PRY-003</t>
        </is>
      </c>
      <c r="G1802" t="inlineStr">
        <is>
          <t>Portal Web</t>
        </is>
      </c>
      <c r="H1802" t="inlineStr">
        <is>
          <t>Santiago Muñoz</t>
        </is>
      </c>
      <c r="I1802" t="inlineStr">
        <is>
          <t>Ganado</t>
        </is>
      </c>
      <c r="J1802" s="28" t="n">
        <v>45840</v>
      </c>
      <c r="K1802" s="28" t="n">
        <v>45957</v>
      </c>
      <c r="L1802" t="inlineStr">
        <is>
          <t>Compró Apto 2203 en Conecta Laureles</t>
        </is>
      </c>
    </row>
    <row r="1803">
      <c r="A1803" t="inlineStr">
        <is>
          <t>CLI-1801</t>
        </is>
      </c>
      <c r="B1803" t="inlineStr">
        <is>
          <t>Iván Restrepo Henao</t>
        </is>
      </c>
      <c r="C1803" t="inlineStr">
        <is>
          <t>3133332156</t>
        </is>
      </c>
      <c r="D1803" t="inlineStr">
        <is>
          <t>ivan.restrepo62@hotmail.com</t>
        </is>
      </c>
      <c r="E1803" t="inlineStr">
        <is>
          <t>Medellín</t>
        </is>
      </c>
      <c r="F1803" t="inlineStr">
        <is>
          <t>PRY-005</t>
        </is>
      </c>
      <c r="G1803" t="inlineStr">
        <is>
          <t>Llamada directa</t>
        </is>
      </c>
      <c r="H1803" t="inlineStr">
        <is>
          <t>Andrés Torres</t>
        </is>
      </c>
      <c r="I1803" t="inlineStr">
        <is>
          <t>Ganado</t>
        </is>
      </c>
      <c r="J1803" s="28" t="n">
        <v>45840</v>
      </c>
      <c r="K1803" s="28" t="n">
        <v>45995</v>
      </c>
      <c r="L1803" t="inlineStr">
        <is>
          <t>Compró Casa 10 en Ciudadela Rionegro</t>
        </is>
      </c>
    </row>
    <row r="1804">
      <c r="A1804" t="inlineStr">
        <is>
          <t>CLI-1802</t>
        </is>
      </c>
      <c r="B1804" t="inlineStr">
        <is>
          <t>Emilio Cifuentes Osorio</t>
        </is>
      </c>
      <c r="C1804" t="inlineStr">
        <is>
          <t>3246206706</t>
        </is>
      </c>
      <c r="D1804" t="inlineStr">
        <is>
          <t>emilio.cifuentes98@gmail.com</t>
        </is>
      </c>
      <c r="E1804" t="inlineStr">
        <is>
          <t>Bello</t>
        </is>
      </c>
      <c r="F1804" t="inlineStr">
        <is>
          <t>PRY-006</t>
        </is>
      </c>
      <c r="G1804" t="inlineStr">
        <is>
          <t>Referido</t>
        </is>
      </c>
      <c r="H1804" t="inlineStr">
        <is>
          <t>Luis Bedoya</t>
        </is>
      </c>
      <c r="I1804" t="inlineStr">
        <is>
          <t>Perdido</t>
        </is>
      </c>
      <c r="J1804" s="28" t="n">
        <v>45841</v>
      </c>
      <c r="K1804" s="28" t="n">
        <v>45937</v>
      </c>
      <c r="L1804" t="inlineStr">
        <is>
          <t>Precio fuera de presupuesto</t>
        </is>
      </c>
    </row>
    <row r="1805">
      <c r="A1805" t="inlineStr">
        <is>
          <t>CLI-1803</t>
        </is>
      </c>
      <c r="B1805" t="inlineStr">
        <is>
          <t>Diana Sánchez Mejía</t>
        </is>
      </c>
      <c r="C1805" t="inlineStr">
        <is>
          <t>3247678161</t>
        </is>
      </c>
      <c r="D1805" t="inlineStr">
        <is>
          <t>diana.sanchez41@hotmail.com</t>
        </is>
      </c>
      <c r="E1805" t="inlineStr">
        <is>
          <t>Envigado</t>
        </is>
      </c>
      <c r="F1805" t="inlineStr">
        <is>
          <t>PRY-007</t>
        </is>
      </c>
      <c r="G1805" t="inlineStr">
        <is>
          <t>Portal Web</t>
        </is>
      </c>
      <c r="H1805" t="inlineStr">
        <is>
          <t>Andrés Torres</t>
        </is>
      </c>
      <c r="I1805" t="inlineStr">
        <is>
          <t>Perdido</t>
        </is>
      </c>
      <c r="J1805" s="28" t="n">
        <v>45841</v>
      </c>
      <c r="K1805" s="28" t="n">
        <v>45871</v>
      </c>
      <c r="L1805" t="inlineStr">
        <is>
          <t>Datos de contacto errados</t>
        </is>
      </c>
    </row>
    <row r="1806">
      <c r="A1806" t="inlineStr">
        <is>
          <t>CLI-1804</t>
        </is>
      </c>
      <c r="B1806" t="inlineStr">
        <is>
          <t>Diana Sánchez Hernández</t>
        </is>
      </c>
      <c r="C1806" t="inlineStr">
        <is>
          <t>3203821162</t>
        </is>
      </c>
      <c r="D1806" t="inlineStr">
        <is>
          <t>diana.sanchez86@gmail.com</t>
        </is>
      </c>
      <c r="E1806" t="inlineStr">
        <is>
          <t>Envigado</t>
        </is>
      </c>
      <c r="F1806" t="inlineStr">
        <is>
          <t>PRY-007</t>
        </is>
      </c>
      <c r="G1806" t="inlineStr">
        <is>
          <t>Portal Web</t>
        </is>
      </c>
      <c r="H1806" t="inlineStr">
        <is>
          <t>Andrés Torres</t>
        </is>
      </c>
      <c r="I1806" t="inlineStr">
        <is>
          <t>Perdido</t>
        </is>
      </c>
      <c r="J1806" s="28" t="n">
        <v>45841</v>
      </c>
      <c r="K1806" s="28" t="n">
        <v>45869</v>
      </c>
      <c r="L1806" t="inlineStr">
        <is>
          <t>No calificó para crédito</t>
        </is>
      </c>
    </row>
    <row r="1807">
      <c r="A1807" t="inlineStr">
        <is>
          <t>CLI-1805</t>
        </is>
      </c>
      <c r="B1807" t="inlineStr">
        <is>
          <t>José Arango Espinosa</t>
        </is>
      </c>
      <c r="C1807" t="inlineStr">
        <is>
          <t>3002620923</t>
        </is>
      </c>
      <c r="D1807" t="inlineStr">
        <is>
          <t>jose.arango32@yahoo.com</t>
        </is>
      </c>
      <c r="E1807" t="inlineStr">
        <is>
          <t>Bello</t>
        </is>
      </c>
      <c r="F1807" t="inlineStr">
        <is>
          <t>PRY-006</t>
        </is>
      </c>
      <c r="G1807" t="inlineStr">
        <is>
          <t>Facebook</t>
        </is>
      </c>
      <c r="H1807" t="inlineStr">
        <is>
          <t>Mateo Herrera</t>
        </is>
      </c>
      <c r="I1807" t="inlineStr">
        <is>
          <t>Perdido</t>
        </is>
      </c>
      <c r="J1807" s="28" t="n">
        <v>45841</v>
      </c>
      <c r="K1807" s="28" t="n">
        <v>45857</v>
      </c>
      <c r="L1807" t="inlineStr">
        <is>
          <t>Sin respuesta tras 3 contactos</t>
        </is>
      </c>
    </row>
    <row r="1808">
      <c r="A1808" t="inlineStr">
        <is>
          <t>CLI-1806</t>
        </is>
      </c>
      <c r="B1808" t="inlineStr">
        <is>
          <t>Alejandro López Salazar</t>
        </is>
      </c>
      <c r="C1808" t="inlineStr">
        <is>
          <t>3105804917</t>
        </is>
      </c>
      <c r="D1808" t="inlineStr">
        <is>
          <t>alejandro.lopez73@outlook.com</t>
        </is>
      </c>
      <c r="E1808" t="inlineStr">
        <is>
          <t>Itagüí</t>
        </is>
      </c>
      <c r="F1808" t="inlineStr">
        <is>
          <t>PRY-008</t>
        </is>
      </c>
      <c r="G1808" t="inlineStr">
        <is>
          <t>Portal Web</t>
        </is>
      </c>
      <c r="H1808" t="inlineStr">
        <is>
          <t>Santiago Muñoz</t>
        </is>
      </c>
      <c r="I1808" t="inlineStr">
        <is>
          <t>Perdido</t>
        </is>
      </c>
      <c r="J1808" s="28" t="n">
        <v>45842</v>
      </c>
      <c r="K1808" s="28" t="n">
        <v>45873</v>
      </c>
      <c r="L1808" t="inlineStr">
        <is>
          <t>Precio fuera de presupuesto</t>
        </is>
      </c>
    </row>
    <row r="1809">
      <c r="A1809" t="inlineStr">
        <is>
          <t>CLI-1807</t>
        </is>
      </c>
      <c r="B1809" t="inlineStr">
        <is>
          <t>Valentina Palacio Gaviria</t>
        </is>
      </c>
      <c r="C1809" t="inlineStr">
        <is>
          <t>3001610211</t>
        </is>
      </c>
      <c r="D1809" t="inlineStr">
        <is>
          <t>valentina.palacio33@yahoo.com</t>
        </is>
      </c>
      <c r="E1809" t="inlineStr">
        <is>
          <t>Medellín</t>
        </is>
      </c>
      <c r="F1809" t="inlineStr">
        <is>
          <t>PRY-001</t>
        </is>
      </c>
      <c r="G1809" t="inlineStr">
        <is>
          <t>Portal Web</t>
        </is>
      </c>
      <c r="H1809" t="inlineStr">
        <is>
          <t>Luis Bedoya</t>
        </is>
      </c>
      <c r="I1809" t="inlineStr">
        <is>
          <t>Perdido</t>
        </is>
      </c>
      <c r="J1809" s="28" t="n">
        <v>45842</v>
      </c>
      <c r="K1809" s="28" t="n">
        <v>45968</v>
      </c>
      <c r="L1809" t="inlineStr">
        <is>
          <t>Desistió de la compra</t>
        </is>
      </c>
    </row>
    <row r="1810">
      <c r="A1810" t="inlineStr">
        <is>
          <t>CLI-1808</t>
        </is>
      </c>
      <c r="B1810" t="inlineStr">
        <is>
          <t>Carolina Muñoz Palacio</t>
        </is>
      </c>
      <c r="C1810" t="inlineStr">
        <is>
          <t>3176219426</t>
        </is>
      </c>
      <c r="D1810" t="inlineStr">
        <is>
          <t>carolina.munoz25@gmail.com</t>
        </is>
      </c>
      <c r="E1810" t="inlineStr">
        <is>
          <t>Itagüí</t>
        </is>
      </c>
      <c r="F1810" t="inlineStr">
        <is>
          <t>PRY-008</t>
        </is>
      </c>
      <c r="G1810" t="inlineStr">
        <is>
          <t>Referido</t>
        </is>
      </c>
      <c r="H1810" t="inlineStr">
        <is>
          <t>Luis Bedoya</t>
        </is>
      </c>
      <c r="I1810" t="inlineStr">
        <is>
          <t>Ganado</t>
        </is>
      </c>
      <c r="J1810" s="28" t="n">
        <v>45842</v>
      </c>
      <c r="K1810" s="28" t="n">
        <v>45941</v>
      </c>
      <c r="L1810" t="inlineStr">
        <is>
          <t>Compró Casa 6 en Valle Verde Itagüí</t>
        </is>
      </c>
    </row>
    <row r="1811">
      <c r="A1811" t="inlineStr">
        <is>
          <t>CLI-1809</t>
        </is>
      </c>
      <c r="B1811" t="inlineStr">
        <is>
          <t>Felipe Salcedo Vélez</t>
        </is>
      </c>
      <c r="C1811" t="inlineStr">
        <is>
          <t>3201236720</t>
        </is>
      </c>
      <c r="D1811" t="inlineStr">
        <is>
          <t>felipe.salcedo17@outlook.com</t>
        </is>
      </c>
      <c r="E1811" t="inlineStr">
        <is>
          <t>La Estrella</t>
        </is>
      </c>
      <c r="F1811" t="inlineStr">
        <is>
          <t>PRY-003</t>
        </is>
      </c>
      <c r="G1811" t="inlineStr">
        <is>
          <t>Instagram</t>
        </is>
      </c>
      <c r="H1811" t="inlineStr">
        <is>
          <t>Juliana Vélez</t>
        </is>
      </c>
      <c r="I1811" t="inlineStr">
        <is>
          <t>Perdido</t>
        </is>
      </c>
      <c r="J1811" s="28" t="n">
        <v>45842</v>
      </c>
      <c r="K1811" s="28" t="n">
        <v>45851</v>
      </c>
      <c r="L1811" t="inlineStr">
        <is>
          <t>Sin respuesta tras 3 contactos</t>
        </is>
      </c>
    </row>
    <row r="1812">
      <c r="A1812" t="inlineStr">
        <is>
          <t>CLI-1810</t>
        </is>
      </c>
      <c r="B1812" t="inlineStr">
        <is>
          <t>Fernando Jaramillo Cano</t>
        </is>
      </c>
      <c r="C1812" t="inlineStr">
        <is>
          <t>3143018756</t>
        </is>
      </c>
      <c r="D1812" t="inlineStr">
        <is>
          <t>fernando.jaramillo88@gmail.com</t>
        </is>
      </c>
      <c r="E1812" t="inlineStr">
        <is>
          <t>Envigado</t>
        </is>
      </c>
      <c r="F1812" t="inlineStr">
        <is>
          <t>PRY-007</t>
        </is>
      </c>
      <c r="G1812" t="inlineStr">
        <is>
          <t>Feria Inmobiliaria</t>
        </is>
      </c>
      <c r="H1812" t="inlineStr">
        <is>
          <t>Andrés Torres</t>
        </is>
      </c>
      <c r="I1812" t="inlineStr">
        <is>
          <t>Perdido</t>
        </is>
      </c>
      <c r="J1812" s="28" t="n">
        <v>45842</v>
      </c>
      <c r="K1812" s="28" t="n">
        <v>45849</v>
      </c>
      <c r="L1812" t="inlineStr">
        <is>
          <t>Presupuesto insuficiente</t>
        </is>
      </c>
    </row>
    <row r="1813">
      <c r="A1813" t="inlineStr">
        <is>
          <t>CLI-1811</t>
        </is>
      </c>
      <c r="B1813" t="inlineStr">
        <is>
          <t>Gabriel Hernández Salazar</t>
        </is>
      </c>
      <c r="C1813" t="inlineStr">
        <is>
          <t>3174744899</t>
        </is>
      </c>
      <c r="D1813" t="inlineStr">
        <is>
          <t>gabriel.hernandez14@gmail.com</t>
        </is>
      </c>
      <c r="E1813" t="inlineStr">
        <is>
          <t>Rionegro</t>
        </is>
      </c>
      <c r="F1813" t="inlineStr">
        <is>
          <t>PRY-007</t>
        </is>
      </c>
      <c r="G1813" t="inlineStr">
        <is>
          <t>Facebook</t>
        </is>
      </c>
      <c r="H1813" t="inlineStr">
        <is>
          <t>Luis Bedoya</t>
        </is>
      </c>
      <c r="I1813" t="inlineStr">
        <is>
          <t>Perdido</t>
        </is>
      </c>
      <c r="J1813" s="28" t="n">
        <v>45842</v>
      </c>
      <c r="K1813" s="28" t="n">
        <v>45856</v>
      </c>
      <c r="L1813" t="inlineStr">
        <is>
          <t>Presupuesto insuficiente</t>
        </is>
      </c>
    </row>
    <row r="1814">
      <c r="A1814" t="inlineStr">
        <is>
          <t>CLI-1812</t>
        </is>
      </c>
      <c r="B1814" t="inlineStr">
        <is>
          <t>José Peláez Duque</t>
        </is>
      </c>
      <c r="C1814" t="inlineStr">
        <is>
          <t>3138865784</t>
        </is>
      </c>
      <c r="D1814" t="inlineStr">
        <is>
          <t>jose.pelaez5@outlook.com</t>
        </is>
      </c>
      <c r="E1814" t="inlineStr">
        <is>
          <t>Bello</t>
        </is>
      </c>
      <c r="F1814" t="inlineStr">
        <is>
          <t>PRY-005</t>
        </is>
      </c>
      <c r="G1814" t="inlineStr">
        <is>
          <t>Portal Web</t>
        </is>
      </c>
      <c r="H1814" t="inlineStr">
        <is>
          <t>Paula Arenas</t>
        </is>
      </c>
      <c r="I1814" t="inlineStr">
        <is>
          <t>Perdido</t>
        </is>
      </c>
      <c r="J1814" s="28" t="n">
        <v>45843</v>
      </c>
      <c r="K1814" s="28" t="n">
        <v>45849</v>
      </c>
      <c r="L1814" t="inlineStr">
        <is>
          <t>Datos de contacto errados</t>
        </is>
      </c>
    </row>
    <row r="1815">
      <c r="A1815" t="inlineStr">
        <is>
          <t>CLI-1813</t>
        </is>
      </c>
      <c r="B1815" t="inlineStr">
        <is>
          <t>Sofía Vargas Gómez</t>
        </is>
      </c>
      <c r="C1815" t="inlineStr">
        <is>
          <t>3157211295</t>
        </is>
      </c>
      <c r="D1815" t="inlineStr">
        <is>
          <t>sofia.vargas28@yahoo.com</t>
        </is>
      </c>
      <c r="E1815" t="inlineStr">
        <is>
          <t>Bello</t>
        </is>
      </c>
      <c r="F1815" t="inlineStr">
        <is>
          <t>PRY-005</t>
        </is>
      </c>
      <c r="G1815" t="inlineStr">
        <is>
          <t>Llamada directa</t>
        </is>
      </c>
      <c r="H1815" t="inlineStr">
        <is>
          <t>Juliana Vélez</t>
        </is>
      </c>
      <c r="I1815" t="inlineStr">
        <is>
          <t>Ganado</t>
        </is>
      </c>
      <c r="J1815" s="28" t="n">
        <v>45844</v>
      </c>
      <c r="K1815" s="28" t="n">
        <v>45954</v>
      </c>
      <c r="L1815" t="inlineStr">
        <is>
          <t>Compró Casa 15 en Ciudadela Rionegro</t>
        </is>
      </c>
    </row>
    <row r="1816">
      <c r="A1816" t="inlineStr">
        <is>
          <t>CLI-1814</t>
        </is>
      </c>
      <c r="B1816" t="inlineStr">
        <is>
          <t>Esteban Valencia Mejía</t>
        </is>
      </c>
      <c r="C1816" t="inlineStr">
        <is>
          <t>3147590730</t>
        </is>
      </c>
      <c r="D1816" t="inlineStr">
        <is>
          <t>esteban.valencia66@hotmail.com</t>
        </is>
      </c>
      <c r="E1816" t="inlineStr">
        <is>
          <t>Medellín</t>
        </is>
      </c>
      <c r="F1816" t="inlineStr">
        <is>
          <t>PRY-003</t>
        </is>
      </c>
      <c r="G1816" t="inlineStr">
        <is>
          <t>Portal Web</t>
        </is>
      </c>
      <c r="H1816" t="inlineStr">
        <is>
          <t>Luis Bedoya</t>
        </is>
      </c>
      <c r="I1816" t="inlineStr">
        <is>
          <t>Perdido</t>
        </is>
      </c>
      <c r="J1816" s="28" t="n">
        <v>45844</v>
      </c>
      <c r="K1816" s="28" t="n">
        <v>45857</v>
      </c>
      <c r="L1816" t="inlineStr">
        <is>
          <t>No calificó para crédito</t>
        </is>
      </c>
    </row>
    <row r="1817">
      <c r="A1817" t="inlineStr">
        <is>
          <t>CLI-1815</t>
        </is>
      </c>
      <c r="B1817" t="inlineStr">
        <is>
          <t>Alejandra Montoya Muñoz</t>
        </is>
      </c>
      <c r="C1817" t="inlineStr">
        <is>
          <t>3146176847</t>
        </is>
      </c>
      <c r="D1817" t="inlineStr">
        <is>
          <t>alejandra.montoya99@outlook.com</t>
        </is>
      </c>
      <c r="E1817" t="inlineStr">
        <is>
          <t>Itagüí</t>
        </is>
      </c>
      <c r="F1817" t="inlineStr">
        <is>
          <t>PRY-005</t>
        </is>
      </c>
      <c r="G1817" t="inlineStr">
        <is>
          <t>Referido</t>
        </is>
      </c>
      <c r="H1817" t="inlineStr">
        <is>
          <t>Luis Bedoya</t>
        </is>
      </c>
      <c r="I1817" t="inlineStr">
        <is>
          <t>Ganado</t>
        </is>
      </c>
      <c r="J1817" s="28" t="n">
        <v>45845</v>
      </c>
      <c r="K1817" s="28" t="n">
        <v>45925</v>
      </c>
      <c r="L1817" t="inlineStr">
        <is>
          <t>Compró Apto 1307 en Ciudadela Rionegro</t>
        </is>
      </c>
    </row>
    <row r="1818">
      <c r="A1818" t="inlineStr">
        <is>
          <t>CLI-1816</t>
        </is>
      </c>
      <c r="B1818" t="inlineStr">
        <is>
          <t>Sandra Ramírez Cano</t>
        </is>
      </c>
      <c r="C1818" t="inlineStr">
        <is>
          <t>3017560601</t>
        </is>
      </c>
      <c r="D1818" t="inlineStr">
        <is>
          <t>sandra.ramirez19@yahoo.com</t>
        </is>
      </c>
      <c r="E1818" t="inlineStr">
        <is>
          <t>Rionegro</t>
        </is>
      </c>
      <c r="F1818" t="inlineStr">
        <is>
          <t>PRY-005</t>
        </is>
      </c>
      <c r="G1818" t="inlineStr">
        <is>
          <t>Facebook</t>
        </is>
      </c>
      <c r="H1818" t="inlineStr">
        <is>
          <t>Miguel Salazar</t>
        </is>
      </c>
      <c r="I1818" t="inlineStr">
        <is>
          <t>Ganado</t>
        </is>
      </c>
      <c r="J1818" s="28" t="n">
        <v>45845</v>
      </c>
      <c r="K1818" s="28" t="n">
        <v>46003</v>
      </c>
      <c r="L1818" t="inlineStr">
        <is>
          <t>Compró Apto 901 en Ciudadela Rionegro</t>
        </is>
      </c>
    </row>
    <row r="1819">
      <c r="A1819" t="inlineStr">
        <is>
          <t>CLI-1817</t>
        </is>
      </c>
      <c r="B1819" t="inlineStr">
        <is>
          <t>María Álvarez López</t>
        </is>
      </c>
      <c r="C1819" t="inlineStr">
        <is>
          <t>3232258897</t>
        </is>
      </c>
      <c r="D1819" t="inlineStr">
        <is>
          <t>maria.alvarez5@outlook.com</t>
        </is>
      </c>
      <c r="E1819" t="inlineStr">
        <is>
          <t>Rionegro</t>
        </is>
      </c>
      <c r="F1819" t="inlineStr">
        <is>
          <t>PRY-006</t>
        </is>
      </c>
      <c r="G1819" t="inlineStr">
        <is>
          <t>Feria Inmobiliaria</t>
        </is>
      </c>
      <c r="H1819" t="inlineStr">
        <is>
          <t>Ana Quintero</t>
        </is>
      </c>
      <c r="I1819" t="inlineStr">
        <is>
          <t>Ganado</t>
        </is>
      </c>
      <c r="J1819" s="28" t="n">
        <v>45846</v>
      </c>
      <c r="K1819" s="28" t="n">
        <v>45972</v>
      </c>
      <c r="L1819" t="inlineStr">
        <is>
          <t>Compró Local 2 en Plaza Bello</t>
        </is>
      </c>
    </row>
    <row r="1820">
      <c r="A1820" t="inlineStr">
        <is>
          <t>CLI-1818</t>
        </is>
      </c>
      <c r="B1820" t="inlineStr">
        <is>
          <t>Daniel Cardona Uribe</t>
        </is>
      </c>
      <c r="C1820" t="inlineStr">
        <is>
          <t>3202726095</t>
        </is>
      </c>
      <c r="D1820" t="inlineStr">
        <is>
          <t>daniel.cardona29@hotmail.com</t>
        </is>
      </c>
      <c r="E1820" t="inlineStr">
        <is>
          <t>Itagüí</t>
        </is>
      </c>
      <c r="F1820" t="inlineStr">
        <is>
          <t>PRY-002</t>
        </is>
      </c>
      <c r="G1820" t="inlineStr">
        <is>
          <t>Instagram</t>
        </is>
      </c>
      <c r="H1820" t="inlineStr">
        <is>
          <t>Mateo Herrera</t>
        </is>
      </c>
      <c r="I1820" t="inlineStr">
        <is>
          <t>Perdido</t>
        </is>
      </c>
      <c r="J1820" s="28" t="n">
        <v>45846</v>
      </c>
      <c r="K1820" s="28" t="n">
        <v>45875</v>
      </c>
      <c r="L1820" t="inlineStr">
        <is>
          <t>Sin respuesta tras 3 contactos</t>
        </is>
      </c>
    </row>
    <row r="1821">
      <c r="A1821" t="inlineStr">
        <is>
          <t>CLI-1819</t>
        </is>
      </c>
      <c r="B1821" t="inlineStr">
        <is>
          <t>Julián Arango Peláez</t>
        </is>
      </c>
      <c r="C1821" t="inlineStr">
        <is>
          <t>3019550831</t>
        </is>
      </c>
      <c r="D1821" t="inlineStr">
        <is>
          <t>julian.arango89@hotmail.com</t>
        </is>
      </c>
      <c r="E1821" t="inlineStr">
        <is>
          <t>Medellín</t>
        </is>
      </c>
      <c r="F1821" t="inlineStr">
        <is>
          <t>PRY-001</t>
        </is>
      </c>
      <c r="G1821" t="inlineStr">
        <is>
          <t>Instagram</t>
        </is>
      </c>
      <c r="H1821" t="inlineStr">
        <is>
          <t>Paula Arenas</t>
        </is>
      </c>
      <c r="I1821" t="inlineStr">
        <is>
          <t>Perdido</t>
        </is>
      </c>
      <c r="J1821" s="28" t="n">
        <v>45847</v>
      </c>
      <c r="K1821" s="28" t="n">
        <v>45949</v>
      </c>
      <c r="L1821" t="inlineStr">
        <is>
          <t>No volvió a responder</t>
        </is>
      </c>
    </row>
    <row r="1822">
      <c r="A1822" t="inlineStr">
        <is>
          <t>CLI-1820</t>
        </is>
      </c>
      <c r="B1822" t="inlineStr">
        <is>
          <t>Laura Castaño Ramírez</t>
        </is>
      </c>
      <c r="C1822" t="inlineStr">
        <is>
          <t>3179292467</t>
        </is>
      </c>
      <c r="D1822" t="inlineStr">
        <is>
          <t>laura.castano11@yahoo.com</t>
        </is>
      </c>
      <c r="E1822" t="inlineStr">
        <is>
          <t>Bello</t>
        </is>
      </c>
      <c r="F1822" t="inlineStr">
        <is>
          <t>PRY-008</t>
        </is>
      </c>
      <c r="G1822" t="inlineStr">
        <is>
          <t>Referido</t>
        </is>
      </c>
      <c r="H1822" t="inlineStr">
        <is>
          <t>Santiago Muñoz</t>
        </is>
      </c>
      <c r="I1822" t="inlineStr">
        <is>
          <t>Ganado</t>
        </is>
      </c>
      <c r="J1822" s="28" t="n">
        <v>45847</v>
      </c>
      <c r="K1822" s="28" t="n">
        <v>45961</v>
      </c>
      <c r="L1822" t="inlineStr">
        <is>
          <t>Compró Casa 69 en Valle Verde Itagüí</t>
        </is>
      </c>
    </row>
    <row r="1823">
      <c r="A1823" t="inlineStr">
        <is>
          <t>CLI-1821</t>
        </is>
      </c>
      <c r="B1823" t="inlineStr">
        <is>
          <t>Manuela Uribe Rojas</t>
        </is>
      </c>
      <c r="C1823" t="inlineStr">
        <is>
          <t>3174484183</t>
        </is>
      </c>
      <c r="D1823" t="inlineStr">
        <is>
          <t>manuela.uribe85@yahoo.com</t>
        </is>
      </c>
      <c r="E1823" t="inlineStr">
        <is>
          <t>Envigado</t>
        </is>
      </c>
      <c r="F1823" t="inlineStr">
        <is>
          <t>PRY-005</t>
        </is>
      </c>
      <c r="G1823" t="inlineStr">
        <is>
          <t>Feria Inmobiliaria</t>
        </is>
      </c>
      <c r="H1823" t="inlineStr">
        <is>
          <t>Miguel Salazar</t>
        </is>
      </c>
      <c r="I1823" t="inlineStr">
        <is>
          <t>Perdido</t>
        </is>
      </c>
      <c r="J1823" s="28" t="n">
        <v>45847</v>
      </c>
      <c r="K1823" s="28" t="n">
        <v>45874</v>
      </c>
      <c r="L1823" t="inlineStr">
        <is>
          <t>Sin respuesta tras 3 contactos</t>
        </is>
      </c>
    </row>
    <row r="1824">
      <c r="A1824" t="inlineStr">
        <is>
          <t>CLI-1822</t>
        </is>
      </c>
      <c r="B1824" t="inlineStr">
        <is>
          <t>Simón Mejía Montes</t>
        </is>
      </c>
      <c r="C1824" t="inlineStr">
        <is>
          <t>3108040377</t>
        </is>
      </c>
      <c r="D1824" t="inlineStr">
        <is>
          <t>simon.mejia37@gmail.com</t>
        </is>
      </c>
      <c r="E1824" t="inlineStr">
        <is>
          <t>La Estrella</t>
        </is>
      </c>
      <c r="F1824" t="inlineStr">
        <is>
          <t>PRY-006</t>
        </is>
      </c>
      <c r="G1824" t="inlineStr">
        <is>
          <t>Facebook</t>
        </is>
      </c>
      <c r="H1824" t="inlineStr">
        <is>
          <t>Daniela Ríos</t>
        </is>
      </c>
      <c r="I1824" t="inlineStr">
        <is>
          <t>Perdido</t>
        </is>
      </c>
      <c r="J1824" s="28" t="n">
        <v>45847</v>
      </c>
      <c r="K1824" s="28" t="n">
        <v>45872</v>
      </c>
      <c r="L1824" t="inlineStr">
        <is>
          <t>Datos de contacto errados</t>
        </is>
      </c>
    </row>
    <row r="1825">
      <c r="A1825" t="inlineStr">
        <is>
          <t>CLI-1823</t>
        </is>
      </c>
      <c r="B1825" t="inlineStr">
        <is>
          <t>Luisa Londoño Zapata</t>
        </is>
      </c>
      <c r="C1825" t="inlineStr">
        <is>
          <t>3138699297</t>
        </is>
      </c>
      <c r="D1825" t="inlineStr">
        <is>
          <t>luisa.londono53@outlook.com</t>
        </is>
      </c>
      <c r="E1825" t="inlineStr">
        <is>
          <t>Sabaneta</t>
        </is>
      </c>
      <c r="F1825" t="inlineStr">
        <is>
          <t>PRY-008</t>
        </is>
      </c>
      <c r="G1825" t="inlineStr">
        <is>
          <t>Instagram</t>
        </is>
      </c>
      <c r="H1825" t="inlineStr">
        <is>
          <t>Sofía Prada</t>
        </is>
      </c>
      <c r="I1825" t="inlineStr">
        <is>
          <t>Perdido</t>
        </is>
      </c>
      <c r="J1825" s="28" t="n">
        <v>45847</v>
      </c>
      <c r="K1825" s="28" t="n">
        <v>45867</v>
      </c>
      <c r="L1825" t="inlineStr">
        <is>
          <t>Sin respuesta tras 3 contactos</t>
        </is>
      </c>
    </row>
    <row r="1826">
      <c r="A1826" t="inlineStr">
        <is>
          <t>CLI-1824</t>
        </is>
      </c>
      <c r="B1826" t="inlineStr">
        <is>
          <t>Iván Giraldo Vélez</t>
        </is>
      </c>
      <c r="C1826" t="inlineStr">
        <is>
          <t>3047918050</t>
        </is>
      </c>
      <c r="D1826" t="inlineStr">
        <is>
          <t>ivan.giraldo74@gmail.com</t>
        </is>
      </c>
      <c r="E1826" t="inlineStr">
        <is>
          <t>Sabaneta</t>
        </is>
      </c>
      <c r="F1826" t="inlineStr">
        <is>
          <t>PRY-006</t>
        </is>
      </c>
      <c r="G1826" t="inlineStr">
        <is>
          <t>Referido</t>
        </is>
      </c>
      <c r="H1826" t="inlineStr">
        <is>
          <t>Sofía Prada</t>
        </is>
      </c>
      <c r="I1826" t="inlineStr">
        <is>
          <t>Ganado</t>
        </is>
      </c>
      <c r="J1826" s="28" t="n">
        <v>45848</v>
      </c>
      <c r="K1826" s="28" t="n">
        <v>45998</v>
      </c>
      <c r="L1826" t="inlineStr">
        <is>
          <t>Compró Local 21 en Plaza Bello</t>
        </is>
      </c>
    </row>
    <row r="1827">
      <c r="A1827" t="inlineStr">
        <is>
          <t>CLI-1825</t>
        </is>
      </c>
      <c r="B1827" t="inlineStr">
        <is>
          <t>Camila Henao Escobar</t>
        </is>
      </c>
      <c r="C1827" t="inlineStr">
        <is>
          <t>3157980252</t>
        </is>
      </c>
      <c r="D1827" t="inlineStr">
        <is>
          <t>camila.henao19@hotmail.com</t>
        </is>
      </c>
      <c r="E1827" t="inlineStr">
        <is>
          <t>Bello</t>
        </is>
      </c>
      <c r="F1827" t="inlineStr">
        <is>
          <t>PRY-006</t>
        </is>
      </c>
      <c r="G1827" t="inlineStr">
        <is>
          <t>Facebook</t>
        </is>
      </c>
      <c r="H1827" t="inlineStr">
        <is>
          <t>Santiago Muñoz</t>
        </is>
      </c>
      <c r="I1827" t="inlineStr">
        <is>
          <t>Perdido</t>
        </is>
      </c>
      <c r="J1827" s="28" t="n">
        <v>45848</v>
      </c>
      <c r="K1827" s="28" t="n">
        <v>45870</v>
      </c>
      <c r="L1827" t="inlineStr">
        <is>
          <t>Presupuesto insuficiente</t>
        </is>
      </c>
    </row>
    <row r="1828">
      <c r="A1828" t="inlineStr">
        <is>
          <t>CLI-1826</t>
        </is>
      </c>
      <c r="B1828" t="inlineStr">
        <is>
          <t>Jorge Espinosa Álvarez</t>
        </is>
      </c>
      <c r="C1828" t="inlineStr">
        <is>
          <t>3001658682</t>
        </is>
      </c>
      <c r="D1828" t="inlineStr">
        <is>
          <t>jorge.espinosa46@gmail.com</t>
        </is>
      </c>
      <c r="E1828" t="inlineStr">
        <is>
          <t>Medellín</t>
        </is>
      </c>
      <c r="F1828" t="inlineStr">
        <is>
          <t>PRY-001</t>
        </is>
      </c>
      <c r="G1828" t="inlineStr">
        <is>
          <t>Portal Web</t>
        </is>
      </c>
      <c r="H1828" t="inlineStr">
        <is>
          <t>Luis Bedoya</t>
        </is>
      </c>
      <c r="I1828" t="inlineStr">
        <is>
          <t>Perdido</t>
        </is>
      </c>
      <c r="J1828" s="28" t="n">
        <v>45848</v>
      </c>
      <c r="K1828" s="28" t="n">
        <v>45860</v>
      </c>
      <c r="L1828" t="inlineStr">
        <is>
          <t>No calificó para crédito</t>
        </is>
      </c>
    </row>
    <row r="1829">
      <c r="A1829" t="inlineStr">
        <is>
          <t>CLI-1827</t>
        </is>
      </c>
      <c r="B1829" t="inlineStr">
        <is>
          <t>David Pérez Gaviria</t>
        </is>
      </c>
      <c r="C1829" t="inlineStr">
        <is>
          <t>3229813781</t>
        </is>
      </c>
      <c r="D1829" t="inlineStr">
        <is>
          <t>david.perez56@gmail.com</t>
        </is>
      </c>
      <c r="E1829" t="inlineStr">
        <is>
          <t>Medellín</t>
        </is>
      </c>
      <c r="F1829" t="inlineStr">
        <is>
          <t>PRY-003</t>
        </is>
      </c>
      <c r="G1829" t="inlineStr">
        <is>
          <t>Facebook</t>
        </is>
      </c>
      <c r="H1829" t="inlineStr">
        <is>
          <t>Andrés Torres</t>
        </is>
      </c>
      <c r="I1829" t="inlineStr">
        <is>
          <t>Perdido</t>
        </is>
      </c>
      <c r="J1829" s="28" t="n">
        <v>45848</v>
      </c>
      <c r="K1829" s="28" t="n">
        <v>45862</v>
      </c>
      <c r="L1829" t="inlineStr">
        <is>
          <t>No calificó para crédito</t>
        </is>
      </c>
    </row>
    <row r="1830">
      <c r="A1830" t="inlineStr">
        <is>
          <t>CLI-1828</t>
        </is>
      </c>
      <c r="B1830" t="inlineStr">
        <is>
          <t>Juliana Gaviria Uribe</t>
        </is>
      </c>
      <c r="C1830" t="inlineStr">
        <is>
          <t>3242552212</t>
        </is>
      </c>
      <c r="D1830" t="inlineStr">
        <is>
          <t>juliana.gaviria89@yahoo.com</t>
        </is>
      </c>
      <c r="E1830" t="inlineStr">
        <is>
          <t>Medellín</t>
        </is>
      </c>
      <c r="F1830" t="inlineStr">
        <is>
          <t>PRY-001</t>
        </is>
      </c>
      <c r="G1830" t="inlineStr">
        <is>
          <t>Facebook</t>
        </is>
      </c>
      <c r="H1830" t="inlineStr">
        <is>
          <t>Andrés Torres</t>
        </is>
      </c>
      <c r="I1830" t="inlineStr">
        <is>
          <t>Perdido</t>
        </is>
      </c>
      <c r="J1830" s="28" t="n">
        <v>45848</v>
      </c>
      <c r="K1830" s="28" t="n">
        <v>45853</v>
      </c>
      <c r="L1830" t="inlineStr">
        <is>
          <t>Presupuesto insuficiente</t>
        </is>
      </c>
    </row>
    <row r="1831">
      <c r="A1831" t="inlineStr">
        <is>
          <t>CLI-1829</t>
        </is>
      </c>
      <c r="B1831" t="inlineStr">
        <is>
          <t>Wilson Rojas Ochoa</t>
        </is>
      </c>
      <c r="C1831" t="inlineStr">
        <is>
          <t>3134674300</t>
        </is>
      </c>
      <c r="D1831" t="inlineStr">
        <is>
          <t>wilson.rojas42@hotmail.com</t>
        </is>
      </c>
      <c r="E1831" t="inlineStr">
        <is>
          <t>Itagüí</t>
        </is>
      </c>
      <c r="F1831" t="inlineStr">
        <is>
          <t>PRY-003</t>
        </is>
      </c>
      <c r="G1831" t="inlineStr">
        <is>
          <t>Portal Web</t>
        </is>
      </c>
      <c r="H1831" t="inlineStr">
        <is>
          <t>Luis Bedoya</t>
        </is>
      </c>
      <c r="I1831" t="inlineStr">
        <is>
          <t>Ganado</t>
        </is>
      </c>
      <c r="J1831" s="28" t="n">
        <v>45849</v>
      </c>
      <c r="K1831" s="28" t="n">
        <v>45953</v>
      </c>
      <c r="L1831" t="inlineStr">
        <is>
          <t>Compró Apto 1802 en Conecta Laureles</t>
        </is>
      </c>
    </row>
    <row r="1832">
      <c r="A1832" t="inlineStr">
        <is>
          <t>CLI-1830</t>
        </is>
      </c>
      <c r="B1832" t="inlineStr">
        <is>
          <t>Daniela Arango Ochoa</t>
        </is>
      </c>
      <c r="C1832" t="inlineStr">
        <is>
          <t>3222526043</t>
        </is>
      </c>
      <c r="D1832" t="inlineStr">
        <is>
          <t>daniela.arango92@yahoo.com</t>
        </is>
      </c>
      <c r="E1832" t="inlineStr">
        <is>
          <t>Medellín</t>
        </is>
      </c>
      <c r="F1832" t="inlineStr">
        <is>
          <t>PRY-002</t>
        </is>
      </c>
      <c r="G1832" t="inlineStr">
        <is>
          <t>Portal Web</t>
        </is>
      </c>
      <c r="H1832" t="inlineStr">
        <is>
          <t>Sofía Prada</t>
        </is>
      </c>
      <c r="I1832" t="inlineStr">
        <is>
          <t>Ganado</t>
        </is>
      </c>
      <c r="J1832" s="28" t="n">
        <v>45849</v>
      </c>
      <c r="K1832" s="28" t="n">
        <v>45993</v>
      </c>
      <c r="L1832" t="inlineStr">
        <is>
          <t>Compró Casa 60 en Reserva Santa Elena</t>
        </is>
      </c>
    </row>
    <row r="1833">
      <c r="A1833" t="inlineStr">
        <is>
          <t>CLI-1831</t>
        </is>
      </c>
      <c r="B1833" t="inlineStr">
        <is>
          <t>Juan Pablo Salcedo Vélez</t>
        </is>
      </c>
      <c r="C1833" t="inlineStr">
        <is>
          <t>3177319069</t>
        </is>
      </c>
      <c r="D1833" t="inlineStr">
        <is>
          <t>juan.salcedo28@gmail.com</t>
        </is>
      </c>
      <c r="E1833" t="inlineStr">
        <is>
          <t>Sabaneta</t>
        </is>
      </c>
      <c r="F1833" t="inlineStr">
        <is>
          <t>PRY-002</t>
        </is>
      </c>
      <c r="G1833" t="inlineStr">
        <is>
          <t>Portal Web</t>
        </is>
      </c>
      <c r="H1833" t="inlineStr">
        <is>
          <t>Luis Bedoya</t>
        </is>
      </c>
      <c r="I1833" t="inlineStr">
        <is>
          <t>Perdido</t>
        </is>
      </c>
      <c r="J1833" s="28" t="n">
        <v>45849</v>
      </c>
      <c r="K1833" s="28" t="n">
        <v>45872</v>
      </c>
      <c r="L1833" t="inlineStr">
        <is>
          <t>Sin respuesta tras 3 contactos</t>
        </is>
      </c>
    </row>
    <row r="1834">
      <c r="A1834" t="inlineStr">
        <is>
          <t>CLI-1832</t>
        </is>
      </c>
      <c r="B1834" t="inlineStr">
        <is>
          <t>Rodrigo Cano Franco</t>
        </is>
      </c>
      <c r="C1834" t="inlineStr">
        <is>
          <t>3208455223</t>
        </is>
      </c>
      <c r="D1834" t="inlineStr">
        <is>
          <t>rodrigo.cano16@gmail.com</t>
        </is>
      </c>
      <c r="E1834" t="inlineStr">
        <is>
          <t>Rionegro</t>
        </is>
      </c>
      <c r="F1834" t="inlineStr">
        <is>
          <t>PRY-008</t>
        </is>
      </c>
      <c r="G1834" t="inlineStr">
        <is>
          <t>Portal Web</t>
        </is>
      </c>
      <c r="H1834" t="inlineStr">
        <is>
          <t>Luis Bedoya</t>
        </is>
      </c>
      <c r="I1834" t="inlineStr">
        <is>
          <t>Perdido</t>
        </is>
      </c>
      <c r="J1834" s="28" t="n">
        <v>45849</v>
      </c>
      <c r="K1834" s="28" t="n">
        <v>45867</v>
      </c>
      <c r="L1834" t="inlineStr">
        <is>
          <t>No calificó para crédito</t>
        </is>
      </c>
    </row>
    <row r="1835">
      <c r="A1835" t="inlineStr">
        <is>
          <t>CLI-1833</t>
        </is>
      </c>
      <c r="B1835" t="inlineStr">
        <is>
          <t>Laura Ríos Cardona</t>
        </is>
      </c>
      <c r="C1835" t="inlineStr">
        <is>
          <t>3107945668</t>
        </is>
      </c>
      <c r="D1835" t="inlineStr">
        <is>
          <t>laura.rios69@hotmail.com</t>
        </is>
      </c>
      <c r="E1835" t="inlineStr">
        <is>
          <t>Itagüí</t>
        </is>
      </c>
      <c r="F1835" t="inlineStr">
        <is>
          <t>PRY-008</t>
        </is>
      </c>
      <c r="G1835" t="inlineStr">
        <is>
          <t>Referido</t>
        </is>
      </c>
      <c r="H1835" t="inlineStr">
        <is>
          <t>Sofía Prada</t>
        </is>
      </c>
      <c r="I1835" t="inlineStr">
        <is>
          <t>Ganado</t>
        </is>
      </c>
      <c r="J1835" s="28" t="n">
        <v>45850</v>
      </c>
      <c r="K1835" s="28" t="n">
        <v>45937</v>
      </c>
      <c r="L1835" t="inlineStr">
        <is>
          <t>Compró Casa 29 en Valle Verde Itagüí</t>
        </is>
      </c>
    </row>
    <row r="1836">
      <c r="A1836" t="inlineStr">
        <is>
          <t>CLI-1834</t>
        </is>
      </c>
      <c r="B1836" t="inlineStr">
        <is>
          <t>Cristian Escobar Zuluaga</t>
        </is>
      </c>
      <c r="C1836" t="inlineStr">
        <is>
          <t>3232975629</t>
        </is>
      </c>
      <c r="D1836" t="inlineStr">
        <is>
          <t>cristian.escobar89@gmail.com</t>
        </is>
      </c>
      <c r="E1836" t="inlineStr">
        <is>
          <t>Bello</t>
        </is>
      </c>
      <c r="F1836" t="inlineStr">
        <is>
          <t>PRY-001</t>
        </is>
      </c>
      <c r="G1836" t="inlineStr">
        <is>
          <t>Portal Web</t>
        </is>
      </c>
      <c r="H1836" t="inlineStr">
        <is>
          <t>Paula Arenas</t>
        </is>
      </c>
      <c r="I1836" t="inlineStr">
        <is>
          <t>Ganado</t>
        </is>
      </c>
      <c r="J1836" s="28" t="n">
        <v>45850</v>
      </c>
      <c r="K1836" s="28" t="n">
        <v>45953</v>
      </c>
      <c r="L1836" t="inlineStr">
        <is>
          <t>Compró Apto 704 en Torres del Poblado</t>
        </is>
      </c>
    </row>
    <row r="1837">
      <c r="A1837" t="inlineStr">
        <is>
          <t>CLI-1835</t>
        </is>
      </c>
      <c r="B1837" t="inlineStr">
        <is>
          <t>Ricardo Gaviria Rojas</t>
        </is>
      </c>
      <c r="C1837" t="inlineStr">
        <is>
          <t>3047562197</t>
        </is>
      </c>
      <c r="D1837" t="inlineStr">
        <is>
          <t>ricardo.gaviria13@yahoo.com</t>
        </is>
      </c>
      <c r="E1837" t="inlineStr">
        <is>
          <t>Medellín</t>
        </is>
      </c>
      <c r="F1837" t="inlineStr">
        <is>
          <t>PRY-003</t>
        </is>
      </c>
      <c r="G1837" t="inlineStr">
        <is>
          <t>Feria Inmobiliaria</t>
        </is>
      </c>
      <c r="H1837" t="inlineStr">
        <is>
          <t>Andrés Torres</t>
        </is>
      </c>
      <c r="I1837" t="inlineStr">
        <is>
          <t>Perdido</t>
        </is>
      </c>
      <c r="J1837" s="28" t="n">
        <v>45850</v>
      </c>
      <c r="K1837" s="28" t="n">
        <v>45858</v>
      </c>
      <c r="L1837" t="inlineStr">
        <is>
          <t>No calificó para crédito</t>
        </is>
      </c>
    </row>
    <row r="1838">
      <c r="A1838" t="inlineStr">
        <is>
          <t>CLI-1836</t>
        </is>
      </c>
      <c r="B1838" t="inlineStr">
        <is>
          <t>Daniela Betancur Muñoz</t>
        </is>
      </c>
      <c r="C1838" t="inlineStr">
        <is>
          <t>3205214049</t>
        </is>
      </c>
      <c r="D1838" t="inlineStr">
        <is>
          <t>daniela.betancur25@gmail.com</t>
        </is>
      </c>
      <c r="E1838" t="inlineStr">
        <is>
          <t>Medellín</t>
        </is>
      </c>
      <c r="F1838" t="inlineStr">
        <is>
          <t>PRY-002</t>
        </is>
      </c>
      <c r="G1838" t="inlineStr">
        <is>
          <t>Referido</t>
        </is>
      </c>
      <c r="H1838" t="inlineStr">
        <is>
          <t>Sofía Prada</t>
        </is>
      </c>
      <c r="I1838" t="inlineStr">
        <is>
          <t>Perdido</t>
        </is>
      </c>
      <c r="J1838" s="28" t="n">
        <v>45850</v>
      </c>
      <c r="K1838" s="28" t="n">
        <v>45858</v>
      </c>
      <c r="L1838" t="inlineStr">
        <is>
          <t>Presupuesto insuficiente</t>
        </is>
      </c>
    </row>
    <row r="1839">
      <c r="A1839" t="inlineStr">
        <is>
          <t>CLI-1837</t>
        </is>
      </c>
      <c r="B1839" t="inlineStr">
        <is>
          <t>Ricardo Giraldo Henao</t>
        </is>
      </c>
      <c r="C1839" t="inlineStr">
        <is>
          <t>3107611138</t>
        </is>
      </c>
      <c r="D1839" t="inlineStr">
        <is>
          <t>ricardo.giraldo88@yahoo.com</t>
        </is>
      </c>
      <c r="E1839" t="inlineStr">
        <is>
          <t>Medellín</t>
        </is>
      </c>
      <c r="F1839" t="inlineStr">
        <is>
          <t>PRY-002</t>
        </is>
      </c>
      <c r="G1839" t="inlineStr">
        <is>
          <t>Facebook</t>
        </is>
      </c>
      <c r="H1839" t="inlineStr">
        <is>
          <t>Sofía Prada</t>
        </is>
      </c>
      <c r="I1839" t="inlineStr">
        <is>
          <t>Perdido</t>
        </is>
      </c>
      <c r="J1839" s="28" t="n">
        <v>45850</v>
      </c>
      <c r="K1839" s="28" t="n">
        <v>45861</v>
      </c>
      <c r="L1839" t="inlineStr">
        <is>
          <t>Presupuesto insuficiente</t>
        </is>
      </c>
    </row>
    <row r="1840">
      <c r="A1840" t="inlineStr">
        <is>
          <t>CLI-1838</t>
        </is>
      </c>
      <c r="B1840" t="inlineStr">
        <is>
          <t>Jhon Cano Quintero</t>
        </is>
      </c>
      <c r="C1840" t="inlineStr">
        <is>
          <t>3204684917</t>
        </is>
      </c>
      <c r="D1840" t="inlineStr">
        <is>
          <t>jhon.cano55@yahoo.com</t>
        </is>
      </c>
      <c r="E1840" t="inlineStr">
        <is>
          <t>Medellín</t>
        </is>
      </c>
      <c r="F1840" t="inlineStr">
        <is>
          <t>PRY-003</t>
        </is>
      </c>
      <c r="G1840" t="inlineStr">
        <is>
          <t>Portal Web</t>
        </is>
      </c>
      <c r="H1840" t="inlineStr">
        <is>
          <t>Ana Quintero</t>
        </is>
      </c>
      <c r="I1840" t="inlineStr">
        <is>
          <t>Perdido</t>
        </is>
      </c>
      <c r="J1840" s="28" t="n">
        <v>45851</v>
      </c>
      <c r="K1840" s="28" t="n">
        <v>45863</v>
      </c>
      <c r="L1840" t="inlineStr">
        <is>
          <t>Buscaba arriendo, no compra</t>
        </is>
      </c>
    </row>
    <row r="1841">
      <c r="A1841" t="inlineStr">
        <is>
          <t>CLI-1839</t>
        </is>
      </c>
      <c r="B1841" t="inlineStr">
        <is>
          <t>Ximena Duque Restrepo</t>
        </is>
      </c>
      <c r="C1841" t="inlineStr">
        <is>
          <t>3222379609</t>
        </is>
      </c>
      <c r="D1841" t="inlineStr">
        <is>
          <t>ximena.duque53@outlook.com</t>
        </is>
      </c>
      <c r="E1841" t="inlineStr">
        <is>
          <t>Medellín</t>
        </is>
      </c>
      <c r="F1841" t="inlineStr">
        <is>
          <t>PRY-002</t>
        </is>
      </c>
      <c r="G1841" t="inlineStr">
        <is>
          <t>Portal Web</t>
        </is>
      </c>
      <c r="H1841" t="inlineStr">
        <is>
          <t>Luis Bedoya</t>
        </is>
      </c>
      <c r="I1841" t="inlineStr">
        <is>
          <t>Perdido</t>
        </is>
      </c>
      <c r="J1841" s="28" t="n">
        <v>45851</v>
      </c>
      <c r="K1841" s="28" t="n">
        <v>45871</v>
      </c>
      <c r="L1841" t="inlineStr">
        <is>
          <t>Sin respuesta tras 3 contactos</t>
        </is>
      </c>
    </row>
    <row r="1842">
      <c r="A1842" t="inlineStr">
        <is>
          <t>CLI-1840</t>
        </is>
      </c>
      <c r="B1842" t="inlineStr">
        <is>
          <t>Julián Cano Ramírez</t>
        </is>
      </c>
      <c r="C1842" t="inlineStr">
        <is>
          <t>3207066139</t>
        </is>
      </c>
      <c r="D1842" t="inlineStr">
        <is>
          <t>julian.cano89@outlook.com</t>
        </is>
      </c>
      <c r="E1842" t="inlineStr">
        <is>
          <t>Itagüí</t>
        </is>
      </c>
      <c r="F1842" t="inlineStr">
        <is>
          <t>PRY-008</t>
        </is>
      </c>
      <c r="G1842" t="inlineStr">
        <is>
          <t>Instagram</t>
        </is>
      </c>
      <c r="H1842" t="inlineStr">
        <is>
          <t>Luis Bedoya</t>
        </is>
      </c>
      <c r="I1842" t="inlineStr">
        <is>
          <t>Perdido</t>
        </is>
      </c>
      <c r="J1842" s="28" t="n">
        <v>45851</v>
      </c>
      <c r="K1842" s="28" t="n">
        <v>45876</v>
      </c>
      <c r="L1842" t="inlineStr">
        <is>
          <t>Buscaba arriendo, no compra</t>
        </is>
      </c>
    </row>
    <row r="1843">
      <c r="A1843" t="inlineStr">
        <is>
          <t>CLI-1841</t>
        </is>
      </c>
      <c r="B1843" t="inlineStr">
        <is>
          <t>Liliana Salazar Pérez</t>
        </is>
      </c>
      <c r="C1843" t="inlineStr">
        <is>
          <t>3144031122</t>
        </is>
      </c>
      <c r="D1843" t="inlineStr">
        <is>
          <t>liliana.salazar98@yahoo.com</t>
        </is>
      </c>
      <c r="E1843" t="inlineStr">
        <is>
          <t>Medellín</t>
        </is>
      </c>
      <c r="F1843" t="inlineStr">
        <is>
          <t>PRY-001</t>
        </is>
      </c>
      <c r="G1843" t="inlineStr">
        <is>
          <t>Portal Web</t>
        </is>
      </c>
      <c r="H1843" t="inlineStr">
        <is>
          <t>Sofía Prada</t>
        </is>
      </c>
      <c r="I1843" t="inlineStr">
        <is>
          <t>Perdido</t>
        </is>
      </c>
      <c r="J1843" s="28" t="n">
        <v>45852</v>
      </c>
      <c r="K1843" s="28" t="n">
        <v>45871</v>
      </c>
      <c r="L1843" t="inlineStr">
        <is>
          <t>Sin respuesta tras 3 contactos</t>
        </is>
      </c>
    </row>
    <row r="1844">
      <c r="A1844" t="inlineStr">
        <is>
          <t>CLI-1842</t>
        </is>
      </c>
      <c r="B1844" t="inlineStr">
        <is>
          <t>Mateo Palacio Gaviria</t>
        </is>
      </c>
      <c r="C1844" t="inlineStr">
        <is>
          <t>3151538578</t>
        </is>
      </c>
      <c r="D1844" t="inlineStr">
        <is>
          <t>mateo.palacio26@outlook.com</t>
        </is>
      </c>
      <c r="E1844" t="inlineStr">
        <is>
          <t>Medellín</t>
        </is>
      </c>
      <c r="F1844" t="inlineStr">
        <is>
          <t>PRY-003</t>
        </is>
      </c>
      <c r="G1844" t="inlineStr">
        <is>
          <t>Llamada directa</t>
        </is>
      </c>
      <c r="H1844" t="inlineStr">
        <is>
          <t>Daniela Ríos</t>
        </is>
      </c>
      <c r="I1844" t="inlineStr">
        <is>
          <t>Perdido</t>
        </is>
      </c>
      <c r="J1844" s="28" t="n">
        <v>45852</v>
      </c>
      <c r="K1844" s="28" t="n">
        <v>45881</v>
      </c>
      <c r="L1844" t="inlineStr">
        <is>
          <t>No calificó para crédito</t>
        </is>
      </c>
    </row>
    <row r="1845">
      <c r="A1845" t="inlineStr">
        <is>
          <t>CLI-1843</t>
        </is>
      </c>
      <c r="B1845" t="inlineStr">
        <is>
          <t>Nicolás Giraldo Arango</t>
        </is>
      </c>
      <c r="C1845" t="inlineStr">
        <is>
          <t>3011803641</t>
        </is>
      </c>
      <c r="D1845" t="inlineStr">
        <is>
          <t>nicolas.giraldo32@hotmail.com</t>
        </is>
      </c>
      <c r="E1845" t="inlineStr">
        <is>
          <t>Medellín</t>
        </is>
      </c>
      <c r="F1845" t="inlineStr">
        <is>
          <t>PRY-003</t>
        </is>
      </c>
      <c r="G1845" t="inlineStr">
        <is>
          <t>Facebook</t>
        </is>
      </c>
      <c r="H1845" t="inlineStr">
        <is>
          <t>Santiago Muñoz</t>
        </is>
      </c>
      <c r="I1845" t="inlineStr">
        <is>
          <t>Perdido</t>
        </is>
      </c>
      <c r="J1845" s="28" t="n">
        <v>45853</v>
      </c>
      <c r="K1845" s="28" t="n">
        <v>45915</v>
      </c>
      <c r="L1845" t="inlineStr">
        <is>
          <t>Crédito no aprobado</t>
        </is>
      </c>
    </row>
    <row r="1846">
      <c r="A1846" t="inlineStr">
        <is>
          <t>CLI-1844</t>
        </is>
      </c>
      <c r="B1846" t="inlineStr">
        <is>
          <t>Ricardo Cano Betancur</t>
        </is>
      </c>
      <c r="C1846" t="inlineStr">
        <is>
          <t>3015820652</t>
        </is>
      </c>
      <c r="D1846" t="inlineStr">
        <is>
          <t>ricardo.cano33@outlook.com</t>
        </is>
      </c>
      <c r="E1846" t="inlineStr">
        <is>
          <t>Itagüí</t>
        </is>
      </c>
      <c r="F1846" t="inlineStr">
        <is>
          <t>PRY-001</t>
        </is>
      </c>
      <c r="G1846" t="inlineStr">
        <is>
          <t>Llamada directa</t>
        </is>
      </c>
      <c r="H1846" t="inlineStr">
        <is>
          <t>Luis Bedoya</t>
        </is>
      </c>
      <c r="I1846" t="inlineStr">
        <is>
          <t>Ganado</t>
        </is>
      </c>
      <c r="J1846" s="28" t="n">
        <v>45853</v>
      </c>
      <c r="K1846" s="28" t="n">
        <v>45979</v>
      </c>
      <c r="L1846" t="inlineStr">
        <is>
          <t>Compró Apto 2104 en Torres del Poblado</t>
        </is>
      </c>
    </row>
    <row r="1847">
      <c r="A1847" t="inlineStr">
        <is>
          <t>CLI-1845</t>
        </is>
      </c>
      <c r="B1847" t="inlineStr">
        <is>
          <t>Mauricio Sánchez Hernández</t>
        </is>
      </c>
      <c r="C1847" t="inlineStr">
        <is>
          <t>3209143759</t>
        </is>
      </c>
      <c r="D1847" t="inlineStr">
        <is>
          <t>mauricio.sanchez1@hotmail.com</t>
        </is>
      </c>
      <c r="E1847" t="inlineStr">
        <is>
          <t>Envigado</t>
        </is>
      </c>
      <c r="F1847" t="inlineStr">
        <is>
          <t>PRY-008</t>
        </is>
      </c>
      <c r="G1847" t="inlineStr">
        <is>
          <t>Facebook</t>
        </is>
      </c>
      <c r="H1847" t="inlineStr">
        <is>
          <t>Sofía Prada</t>
        </is>
      </c>
      <c r="I1847" t="inlineStr">
        <is>
          <t>Perdido</t>
        </is>
      </c>
      <c r="J1847" s="28" t="n">
        <v>45853</v>
      </c>
      <c r="K1847" s="28" t="n">
        <v>45873</v>
      </c>
      <c r="L1847" t="inlineStr">
        <is>
          <t>Presupuesto insuficiente</t>
        </is>
      </c>
    </row>
    <row r="1848">
      <c r="A1848" t="inlineStr">
        <is>
          <t>CLI-1846</t>
        </is>
      </c>
      <c r="B1848" t="inlineStr">
        <is>
          <t>Fernando Álvarez Sánchez</t>
        </is>
      </c>
      <c r="C1848" t="inlineStr">
        <is>
          <t>3007549692</t>
        </is>
      </c>
      <c r="D1848" t="inlineStr">
        <is>
          <t>fernando.alvarez76@yahoo.com</t>
        </is>
      </c>
      <c r="E1848" t="inlineStr">
        <is>
          <t>Sabaneta</t>
        </is>
      </c>
      <c r="F1848" t="inlineStr">
        <is>
          <t>PRY-005</t>
        </is>
      </c>
      <c r="G1848" t="inlineStr">
        <is>
          <t>Feria Inmobiliaria</t>
        </is>
      </c>
      <c r="H1848" t="inlineStr">
        <is>
          <t>Luis Bedoya</t>
        </is>
      </c>
      <c r="I1848" t="inlineStr">
        <is>
          <t>Perdido</t>
        </is>
      </c>
      <c r="J1848" s="28" t="n">
        <v>45854</v>
      </c>
      <c r="K1848" s="28" t="n">
        <v>45966</v>
      </c>
      <c r="L1848" t="inlineStr">
        <is>
          <t>Precio fuera de presupuesto</t>
        </is>
      </c>
    </row>
    <row r="1849">
      <c r="A1849" t="inlineStr">
        <is>
          <t>CLI-1847</t>
        </is>
      </c>
      <c r="B1849" t="inlineStr">
        <is>
          <t>Gloria Salcedo Salazar</t>
        </is>
      </c>
      <c r="C1849" t="inlineStr">
        <is>
          <t>3103881686</t>
        </is>
      </c>
      <c r="D1849" t="inlineStr">
        <is>
          <t>gloria.salcedo96@yahoo.com</t>
        </is>
      </c>
      <c r="E1849" t="inlineStr">
        <is>
          <t>Envigado</t>
        </is>
      </c>
      <c r="F1849" t="inlineStr">
        <is>
          <t>PRY-007</t>
        </is>
      </c>
      <c r="G1849" t="inlineStr">
        <is>
          <t>Portal Web</t>
        </is>
      </c>
      <c r="H1849" t="inlineStr">
        <is>
          <t>Daniela Ríos</t>
        </is>
      </c>
      <c r="I1849" t="inlineStr">
        <is>
          <t>Ganado</t>
        </is>
      </c>
      <c r="J1849" s="28" t="n">
        <v>45854</v>
      </c>
      <c r="K1849" s="28" t="n">
        <v>45991</v>
      </c>
      <c r="L1849" t="inlineStr">
        <is>
          <t>Compró Apto 1605 en Mirador de Envigado</t>
        </is>
      </c>
    </row>
    <row r="1850">
      <c r="A1850" t="inlineStr">
        <is>
          <t>CLI-1848</t>
        </is>
      </c>
      <c r="B1850" t="inlineStr">
        <is>
          <t>Jorge Restrepo Salazar</t>
        </is>
      </c>
      <c r="C1850" t="inlineStr">
        <is>
          <t>3049743578</t>
        </is>
      </c>
      <c r="D1850" t="inlineStr">
        <is>
          <t>jorge.restrepo51@gmail.com</t>
        </is>
      </c>
      <c r="E1850" t="inlineStr">
        <is>
          <t>Envigado</t>
        </is>
      </c>
      <c r="F1850" t="inlineStr">
        <is>
          <t>PRY-006</t>
        </is>
      </c>
      <c r="G1850" t="inlineStr">
        <is>
          <t>Instagram</t>
        </is>
      </c>
      <c r="H1850" t="inlineStr">
        <is>
          <t>Miguel Salazar</t>
        </is>
      </c>
      <c r="I1850" t="inlineStr">
        <is>
          <t>Perdido</t>
        </is>
      </c>
      <c r="J1850" s="28" t="n">
        <v>45854</v>
      </c>
      <c r="K1850" s="28" t="n">
        <v>45869</v>
      </c>
      <c r="L1850" t="inlineStr">
        <is>
          <t>Buscaba arriendo, no compra</t>
        </is>
      </c>
    </row>
    <row r="1851">
      <c r="A1851" t="inlineStr">
        <is>
          <t>CLI-1849</t>
        </is>
      </c>
      <c r="B1851" t="inlineStr">
        <is>
          <t>Mauricio Duque Hernández</t>
        </is>
      </c>
      <c r="C1851" t="inlineStr">
        <is>
          <t>3135957450</t>
        </is>
      </c>
      <c r="D1851" t="inlineStr">
        <is>
          <t>mauricio.duque68@outlook.com</t>
        </is>
      </c>
      <c r="E1851" t="inlineStr">
        <is>
          <t>Rionegro</t>
        </is>
      </c>
      <c r="F1851" t="inlineStr">
        <is>
          <t>PRY-002</t>
        </is>
      </c>
      <c r="G1851" t="inlineStr">
        <is>
          <t>Instagram</t>
        </is>
      </c>
      <c r="H1851" t="inlineStr">
        <is>
          <t>Andrés Torres</t>
        </is>
      </c>
      <c r="I1851" t="inlineStr">
        <is>
          <t>Perdido</t>
        </is>
      </c>
      <c r="J1851" s="28" t="n">
        <v>45854</v>
      </c>
      <c r="K1851" s="28" t="n">
        <v>45872</v>
      </c>
      <c r="L1851" t="inlineStr">
        <is>
          <t>Buscaba arriendo, no compra</t>
        </is>
      </c>
    </row>
    <row r="1852">
      <c r="A1852" t="inlineStr">
        <is>
          <t>CLI-1850</t>
        </is>
      </c>
      <c r="B1852" t="inlineStr">
        <is>
          <t>Ricardo Bedoya Henao</t>
        </is>
      </c>
      <c r="C1852" t="inlineStr">
        <is>
          <t>3178806767</t>
        </is>
      </c>
      <c r="D1852" t="inlineStr">
        <is>
          <t>ricardo.bedoya3@hotmail.com</t>
        </is>
      </c>
      <c r="E1852" t="inlineStr">
        <is>
          <t>Bello</t>
        </is>
      </c>
      <c r="F1852" t="inlineStr">
        <is>
          <t>PRY-003</t>
        </is>
      </c>
      <c r="G1852" t="inlineStr">
        <is>
          <t>Facebook</t>
        </is>
      </c>
      <c r="H1852" t="inlineStr">
        <is>
          <t>Andrés Torres</t>
        </is>
      </c>
      <c r="I1852" t="inlineStr">
        <is>
          <t>Perdido</t>
        </is>
      </c>
      <c r="J1852" s="28" t="n">
        <v>45854</v>
      </c>
      <c r="K1852" s="28" t="n">
        <v>45869</v>
      </c>
      <c r="L1852" t="inlineStr">
        <is>
          <t>Sin respuesta tras 3 contactos</t>
        </is>
      </c>
    </row>
    <row r="1853">
      <c r="A1853" t="inlineStr">
        <is>
          <t>CLI-1851</t>
        </is>
      </c>
      <c r="B1853" t="inlineStr">
        <is>
          <t>Nicolás Palacio Londoño</t>
        </is>
      </c>
      <c r="C1853" t="inlineStr">
        <is>
          <t>3015918422</t>
        </is>
      </c>
      <c r="D1853" t="inlineStr">
        <is>
          <t>nicolas.palacio45@outlook.com</t>
        </is>
      </c>
      <c r="E1853" t="inlineStr">
        <is>
          <t>Sabaneta</t>
        </is>
      </c>
      <c r="F1853" t="inlineStr">
        <is>
          <t>PRY-003</t>
        </is>
      </c>
      <c r="G1853" t="inlineStr">
        <is>
          <t>Instagram</t>
        </is>
      </c>
      <c r="H1853" t="inlineStr">
        <is>
          <t>Luis Bedoya</t>
        </is>
      </c>
      <c r="I1853" t="inlineStr">
        <is>
          <t>Perdido</t>
        </is>
      </c>
      <c r="J1853" s="28" t="n">
        <v>45854</v>
      </c>
      <c r="K1853" s="28" t="n">
        <v>45870</v>
      </c>
      <c r="L1853" t="inlineStr">
        <is>
          <t>Presupuesto insuficiente</t>
        </is>
      </c>
    </row>
    <row r="1854">
      <c r="A1854" t="inlineStr">
        <is>
          <t>CLI-1852</t>
        </is>
      </c>
      <c r="B1854" t="inlineStr">
        <is>
          <t>Catalina Londoño Henao</t>
        </is>
      </c>
      <c r="C1854" t="inlineStr">
        <is>
          <t>3152883556</t>
        </is>
      </c>
      <c r="D1854" t="inlineStr">
        <is>
          <t>catalina.londono54@yahoo.com</t>
        </is>
      </c>
      <c r="E1854" t="inlineStr">
        <is>
          <t>Bello</t>
        </is>
      </c>
      <c r="F1854" t="inlineStr">
        <is>
          <t>PRY-008</t>
        </is>
      </c>
      <c r="G1854" t="inlineStr">
        <is>
          <t>Llamada directa</t>
        </is>
      </c>
      <c r="H1854" t="inlineStr">
        <is>
          <t>Sofía Prada</t>
        </is>
      </c>
      <c r="I1854" t="inlineStr">
        <is>
          <t>Perdido</t>
        </is>
      </c>
      <c r="J1854" s="28" t="n">
        <v>45854</v>
      </c>
      <c r="K1854" s="28" t="n">
        <v>45878</v>
      </c>
      <c r="L1854" t="inlineStr">
        <is>
          <t>No calificó para crédito</t>
        </is>
      </c>
    </row>
    <row r="1855">
      <c r="A1855" t="inlineStr">
        <is>
          <t>CLI-1853</t>
        </is>
      </c>
      <c r="B1855" t="inlineStr">
        <is>
          <t>Catalina Osorio Álvarez</t>
        </is>
      </c>
      <c r="C1855" t="inlineStr">
        <is>
          <t>3172888233</t>
        </is>
      </c>
      <c r="D1855" t="inlineStr">
        <is>
          <t>catalina.osorio67@hotmail.com</t>
        </is>
      </c>
      <c r="E1855" t="inlineStr">
        <is>
          <t>Rionegro</t>
        </is>
      </c>
      <c r="F1855" t="inlineStr">
        <is>
          <t>PRY-005</t>
        </is>
      </c>
      <c r="G1855" t="inlineStr">
        <is>
          <t>Llamada directa</t>
        </is>
      </c>
      <c r="H1855" t="inlineStr">
        <is>
          <t>Mateo Herrera</t>
        </is>
      </c>
      <c r="I1855" t="inlineStr">
        <is>
          <t>Ganado</t>
        </is>
      </c>
      <c r="J1855" s="28" t="n">
        <v>45855</v>
      </c>
      <c r="K1855" s="28" t="n">
        <v>45947</v>
      </c>
      <c r="L1855" t="inlineStr">
        <is>
          <t>Compró Casa 18 en Ciudadela Rionegro</t>
        </is>
      </c>
    </row>
    <row r="1856">
      <c r="A1856" t="inlineStr">
        <is>
          <t>CLI-1854</t>
        </is>
      </c>
      <c r="B1856" t="inlineStr">
        <is>
          <t>José Castaño Echeverri</t>
        </is>
      </c>
      <c r="C1856" t="inlineStr">
        <is>
          <t>3244219473</t>
        </is>
      </c>
      <c r="D1856" t="inlineStr">
        <is>
          <t>jose.castano24@yahoo.com</t>
        </is>
      </c>
      <c r="E1856" t="inlineStr">
        <is>
          <t>Itagüí</t>
        </is>
      </c>
      <c r="F1856" t="inlineStr">
        <is>
          <t>PRY-001</t>
        </is>
      </c>
      <c r="G1856" t="inlineStr">
        <is>
          <t>Instagram</t>
        </is>
      </c>
      <c r="H1856" t="inlineStr">
        <is>
          <t>Mateo Herrera</t>
        </is>
      </c>
      <c r="I1856" t="inlineStr">
        <is>
          <t>Perdido</t>
        </is>
      </c>
      <c r="J1856" s="28" t="n">
        <v>45855</v>
      </c>
      <c r="K1856" s="28" t="n">
        <v>45861</v>
      </c>
      <c r="L1856" t="inlineStr">
        <is>
          <t>Buscaba arriendo, no compra</t>
        </is>
      </c>
    </row>
    <row r="1857">
      <c r="A1857" t="inlineStr">
        <is>
          <t>CLI-1855</t>
        </is>
      </c>
      <c r="B1857" t="inlineStr">
        <is>
          <t>David Gómez Giraldo</t>
        </is>
      </c>
      <c r="C1857" t="inlineStr">
        <is>
          <t>3043496584</t>
        </is>
      </c>
      <c r="D1857" t="inlineStr">
        <is>
          <t>david.gomez22@gmail.com</t>
        </is>
      </c>
      <c r="E1857" t="inlineStr">
        <is>
          <t>La Estrella</t>
        </is>
      </c>
      <c r="F1857" t="inlineStr">
        <is>
          <t>PRY-003</t>
        </is>
      </c>
      <c r="G1857" t="inlineStr">
        <is>
          <t>Llamada directa</t>
        </is>
      </c>
      <c r="H1857" t="inlineStr">
        <is>
          <t>Andrés Torres</t>
        </is>
      </c>
      <c r="I1857" t="inlineStr">
        <is>
          <t>Perdido</t>
        </is>
      </c>
      <c r="J1857" s="28" t="n">
        <v>45855</v>
      </c>
      <c r="K1857" s="28" t="n">
        <v>45867</v>
      </c>
      <c r="L1857" t="inlineStr">
        <is>
          <t>Sin respuesta tras 3 contactos</t>
        </is>
      </c>
    </row>
    <row r="1858">
      <c r="A1858" t="inlineStr">
        <is>
          <t>CLI-1856</t>
        </is>
      </c>
      <c r="B1858" t="inlineStr">
        <is>
          <t>María Ochoa Vargas</t>
        </is>
      </c>
      <c r="C1858" t="inlineStr">
        <is>
          <t>3202382839</t>
        </is>
      </c>
      <c r="D1858" t="inlineStr">
        <is>
          <t>maria.ochoa77@hotmail.com</t>
        </is>
      </c>
      <c r="E1858" t="inlineStr">
        <is>
          <t>Bello</t>
        </is>
      </c>
      <c r="F1858" t="inlineStr">
        <is>
          <t>PRY-006</t>
        </is>
      </c>
      <c r="G1858" t="inlineStr">
        <is>
          <t>Portal Web</t>
        </is>
      </c>
      <c r="H1858" t="inlineStr">
        <is>
          <t>Juliana Vélez</t>
        </is>
      </c>
      <c r="I1858" t="inlineStr">
        <is>
          <t>Perdido</t>
        </is>
      </c>
      <c r="J1858" s="28" t="n">
        <v>45855</v>
      </c>
      <c r="K1858" s="28" t="n">
        <v>45870</v>
      </c>
      <c r="L1858" t="inlineStr">
        <is>
          <t>Buscaba arriendo, no compra</t>
        </is>
      </c>
    </row>
    <row r="1859">
      <c r="A1859" t="inlineStr">
        <is>
          <t>CLI-1857</t>
        </is>
      </c>
      <c r="B1859" t="inlineStr">
        <is>
          <t>Iván Agudelo Gaviria</t>
        </is>
      </c>
      <c r="C1859" t="inlineStr">
        <is>
          <t>3153900578</t>
        </is>
      </c>
      <c r="D1859" t="inlineStr">
        <is>
          <t>ivan.agudelo94@gmail.com</t>
        </is>
      </c>
      <c r="E1859" t="inlineStr">
        <is>
          <t>Itagüí</t>
        </is>
      </c>
      <c r="F1859" t="inlineStr">
        <is>
          <t>PRY-008</t>
        </is>
      </c>
      <c r="G1859" t="inlineStr">
        <is>
          <t>Facebook</t>
        </is>
      </c>
      <c r="H1859" t="inlineStr">
        <is>
          <t>Luis Bedoya</t>
        </is>
      </c>
      <c r="I1859" t="inlineStr">
        <is>
          <t>Perdido</t>
        </is>
      </c>
      <c r="J1859" s="28" t="n">
        <v>45856</v>
      </c>
      <c r="K1859" s="28" t="n">
        <v>45911</v>
      </c>
      <c r="L1859" t="inlineStr">
        <is>
          <t>Precio fuera de presupuesto</t>
        </is>
      </c>
    </row>
    <row r="1860">
      <c r="A1860" t="inlineStr">
        <is>
          <t>CLI-1858</t>
        </is>
      </c>
      <c r="B1860" t="inlineStr">
        <is>
          <t>Camila Castaño Cardona</t>
        </is>
      </c>
      <c r="C1860" t="inlineStr">
        <is>
          <t>3234313312</t>
        </is>
      </c>
      <c r="D1860" t="inlineStr">
        <is>
          <t>camila.castano13@hotmail.com</t>
        </is>
      </c>
      <c r="E1860" t="inlineStr">
        <is>
          <t>Rionegro</t>
        </is>
      </c>
      <c r="F1860" t="inlineStr">
        <is>
          <t>PRY-005</t>
        </is>
      </c>
      <c r="G1860" t="inlineStr">
        <is>
          <t>Instagram</t>
        </is>
      </c>
      <c r="H1860" t="inlineStr">
        <is>
          <t>Andrés Torres</t>
        </is>
      </c>
      <c r="I1860" t="inlineStr">
        <is>
          <t>Ganado</t>
        </is>
      </c>
      <c r="J1860" s="28" t="n">
        <v>45856</v>
      </c>
      <c r="K1860" s="28" t="n">
        <v>46011</v>
      </c>
      <c r="L1860" t="inlineStr">
        <is>
          <t>Compró Apto 1403 en Ciudadela Rionegro</t>
        </is>
      </c>
    </row>
    <row r="1861">
      <c r="A1861" t="inlineStr">
        <is>
          <t>CLI-1859</t>
        </is>
      </c>
      <c r="B1861" t="inlineStr">
        <is>
          <t>Valentina Cifuentes Toro</t>
        </is>
      </c>
      <c r="C1861" t="inlineStr">
        <is>
          <t>3019249716</t>
        </is>
      </c>
      <c r="D1861" t="inlineStr">
        <is>
          <t>valentina.cifuentes66@outlook.com</t>
        </is>
      </c>
      <c r="E1861" t="inlineStr">
        <is>
          <t>Medellín</t>
        </is>
      </c>
      <c r="F1861" t="inlineStr">
        <is>
          <t>PRY-002</t>
        </is>
      </c>
      <c r="G1861" t="inlineStr">
        <is>
          <t>Facebook</t>
        </is>
      </c>
      <c r="H1861" t="inlineStr">
        <is>
          <t>Miguel Salazar</t>
        </is>
      </c>
      <c r="I1861" t="inlineStr">
        <is>
          <t>Perdido</t>
        </is>
      </c>
      <c r="J1861" s="28" t="n">
        <v>45856</v>
      </c>
      <c r="K1861" s="28" t="n">
        <v>45879</v>
      </c>
      <c r="L1861" t="inlineStr">
        <is>
          <t>No calificó para crédito</t>
        </is>
      </c>
    </row>
    <row r="1862">
      <c r="A1862" t="inlineStr">
        <is>
          <t>CLI-1860</t>
        </is>
      </c>
      <c r="B1862" t="inlineStr">
        <is>
          <t>Jhon Vargas Peláez</t>
        </is>
      </c>
      <c r="C1862" t="inlineStr">
        <is>
          <t>3009010922</t>
        </is>
      </c>
      <c r="D1862" t="inlineStr">
        <is>
          <t>jhon.vargas80@hotmail.com</t>
        </is>
      </c>
      <c r="E1862" t="inlineStr">
        <is>
          <t>Bello</t>
        </is>
      </c>
      <c r="F1862" t="inlineStr">
        <is>
          <t>PRY-006</t>
        </is>
      </c>
      <c r="G1862" t="inlineStr">
        <is>
          <t>Facebook</t>
        </is>
      </c>
      <c r="H1862" t="inlineStr">
        <is>
          <t>Santiago Muñoz</t>
        </is>
      </c>
      <c r="I1862" t="inlineStr">
        <is>
          <t>Perdido</t>
        </is>
      </c>
      <c r="J1862" s="28" t="n">
        <v>45856</v>
      </c>
      <c r="K1862" s="28" t="n">
        <v>45862</v>
      </c>
      <c r="L1862" t="inlineStr">
        <is>
          <t>Sin respuesta tras 3 contactos</t>
        </is>
      </c>
    </row>
    <row r="1863">
      <c r="A1863" t="inlineStr">
        <is>
          <t>CLI-1861</t>
        </is>
      </c>
      <c r="B1863" t="inlineStr">
        <is>
          <t>Natalia Vásquez Osorio</t>
        </is>
      </c>
      <c r="C1863" t="inlineStr">
        <is>
          <t>3009324720</t>
        </is>
      </c>
      <c r="D1863" t="inlineStr">
        <is>
          <t>natalia.vasquez79@gmail.com</t>
        </is>
      </c>
      <c r="E1863" t="inlineStr">
        <is>
          <t>Envigado</t>
        </is>
      </c>
      <c r="F1863" t="inlineStr">
        <is>
          <t>PRY-007</t>
        </is>
      </c>
      <c r="G1863" t="inlineStr">
        <is>
          <t>Portal Web</t>
        </is>
      </c>
      <c r="H1863" t="inlineStr">
        <is>
          <t>Sofía Prada</t>
        </is>
      </c>
      <c r="I1863" t="inlineStr">
        <is>
          <t>Perdido</t>
        </is>
      </c>
      <c r="J1863" s="28" t="n">
        <v>45856</v>
      </c>
      <c r="K1863" s="28" t="n">
        <v>45885</v>
      </c>
      <c r="L1863" t="inlineStr">
        <is>
          <t>Datos de contacto errados</t>
        </is>
      </c>
    </row>
    <row r="1864">
      <c r="A1864" t="inlineStr">
        <is>
          <t>CLI-1862</t>
        </is>
      </c>
      <c r="B1864" t="inlineStr">
        <is>
          <t>Nicolás Espinosa Sánchez</t>
        </is>
      </c>
      <c r="C1864" t="inlineStr">
        <is>
          <t>3014445088</t>
        </is>
      </c>
      <c r="D1864" t="inlineStr">
        <is>
          <t>nicolas.espinosa60@gmail.com</t>
        </is>
      </c>
      <c r="E1864" t="inlineStr">
        <is>
          <t>Itagüí</t>
        </is>
      </c>
      <c r="F1864" t="inlineStr">
        <is>
          <t>PRY-003</t>
        </is>
      </c>
      <c r="G1864" t="inlineStr">
        <is>
          <t>Portal Web</t>
        </is>
      </c>
      <c r="H1864" t="inlineStr">
        <is>
          <t>Luis Bedoya</t>
        </is>
      </c>
      <c r="I1864" t="inlineStr">
        <is>
          <t>Perdido</t>
        </is>
      </c>
      <c r="J1864" s="28" t="n">
        <v>45857</v>
      </c>
      <c r="K1864" s="28" t="n">
        <v>45862</v>
      </c>
      <c r="L1864" t="inlineStr">
        <is>
          <t>No calificó para crédito</t>
        </is>
      </c>
    </row>
    <row r="1865">
      <c r="A1865" t="inlineStr">
        <is>
          <t>CLI-1863</t>
        </is>
      </c>
      <c r="B1865" t="inlineStr">
        <is>
          <t>Mónica Cardona Sánchez</t>
        </is>
      </c>
      <c r="C1865" t="inlineStr">
        <is>
          <t>3223340482</t>
        </is>
      </c>
      <c r="D1865" t="inlineStr">
        <is>
          <t>monica.cardona7@outlook.com</t>
        </is>
      </c>
      <c r="E1865" t="inlineStr">
        <is>
          <t>Medellín</t>
        </is>
      </c>
      <c r="F1865" t="inlineStr">
        <is>
          <t>PRY-008</t>
        </is>
      </c>
      <c r="G1865" t="inlineStr">
        <is>
          <t>Llamada directa</t>
        </is>
      </c>
      <c r="H1865" t="inlineStr">
        <is>
          <t>Ana Quintero</t>
        </is>
      </c>
      <c r="I1865" t="inlineStr">
        <is>
          <t>Perdido</t>
        </is>
      </c>
      <c r="J1865" s="28" t="n">
        <v>45857</v>
      </c>
      <c r="K1865" s="28" t="n">
        <v>45880</v>
      </c>
      <c r="L1865" t="inlineStr">
        <is>
          <t>Buscaba arriendo, no compra</t>
        </is>
      </c>
    </row>
    <row r="1866">
      <c r="A1866" t="inlineStr">
        <is>
          <t>CLI-1864</t>
        </is>
      </c>
      <c r="B1866" t="inlineStr">
        <is>
          <t>Verónica Toro Palacio</t>
        </is>
      </c>
      <c r="C1866" t="inlineStr">
        <is>
          <t>3155463624</t>
        </is>
      </c>
      <c r="D1866" t="inlineStr">
        <is>
          <t>veronica.toro77@yahoo.com</t>
        </is>
      </c>
      <c r="E1866" t="inlineStr">
        <is>
          <t>Envigado</t>
        </is>
      </c>
      <c r="F1866" t="inlineStr">
        <is>
          <t>PRY-001</t>
        </is>
      </c>
      <c r="G1866" t="inlineStr">
        <is>
          <t>Facebook</t>
        </is>
      </c>
      <c r="H1866" t="inlineStr">
        <is>
          <t>Daniela Ríos</t>
        </is>
      </c>
      <c r="I1866" t="inlineStr">
        <is>
          <t>Perdido</t>
        </is>
      </c>
      <c r="J1866" s="28" t="n">
        <v>45857</v>
      </c>
      <c r="K1866" s="28" t="n">
        <v>45884</v>
      </c>
      <c r="L1866" t="inlineStr">
        <is>
          <t>Buscaba arriendo, no compra</t>
        </is>
      </c>
    </row>
    <row r="1867">
      <c r="A1867" t="inlineStr">
        <is>
          <t>CLI-1865</t>
        </is>
      </c>
      <c r="B1867" t="inlineStr">
        <is>
          <t>Hernán Montes Henao</t>
        </is>
      </c>
      <c r="C1867" t="inlineStr">
        <is>
          <t>3108922782</t>
        </is>
      </c>
      <c r="D1867" t="inlineStr">
        <is>
          <t>hernan.montes17@yahoo.com</t>
        </is>
      </c>
      <c r="E1867" t="inlineStr">
        <is>
          <t>Bello</t>
        </is>
      </c>
      <c r="F1867" t="inlineStr">
        <is>
          <t>PRY-006</t>
        </is>
      </c>
      <c r="G1867" t="inlineStr">
        <is>
          <t>Portal Web</t>
        </is>
      </c>
      <c r="H1867" t="inlineStr">
        <is>
          <t>Luis Bedoya</t>
        </is>
      </c>
      <c r="I1867" t="inlineStr">
        <is>
          <t>Perdido</t>
        </is>
      </c>
      <c r="J1867" s="28" t="n">
        <v>45857</v>
      </c>
      <c r="K1867" s="28" t="n">
        <v>45862</v>
      </c>
      <c r="L1867" t="inlineStr">
        <is>
          <t>Buscaba arriendo, no compra</t>
        </is>
      </c>
    </row>
    <row r="1868">
      <c r="A1868" t="inlineStr">
        <is>
          <t>CLI-1866</t>
        </is>
      </c>
      <c r="B1868" t="inlineStr">
        <is>
          <t>Emilio Hernández Uribe</t>
        </is>
      </c>
      <c r="C1868" t="inlineStr">
        <is>
          <t>3148797279</t>
        </is>
      </c>
      <c r="D1868" t="inlineStr">
        <is>
          <t>emilio.hernandez20@outlook.com</t>
        </is>
      </c>
      <c r="E1868" t="inlineStr">
        <is>
          <t>Itagüí</t>
        </is>
      </c>
      <c r="F1868" t="inlineStr">
        <is>
          <t>PRY-001</t>
        </is>
      </c>
      <c r="G1868" t="inlineStr">
        <is>
          <t>Feria Inmobiliaria</t>
        </is>
      </c>
      <c r="H1868" t="inlineStr">
        <is>
          <t>Paula Arenas</t>
        </is>
      </c>
      <c r="I1868" t="inlineStr">
        <is>
          <t>Perdido</t>
        </is>
      </c>
      <c r="J1868" s="28" t="n">
        <v>45858</v>
      </c>
      <c r="K1868" s="28" t="n">
        <v>45869</v>
      </c>
      <c r="L1868" t="inlineStr">
        <is>
          <t>Buscaba arriendo, no compra</t>
        </is>
      </c>
    </row>
    <row r="1869">
      <c r="A1869" t="inlineStr">
        <is>
          <t>CLI-1867</t>
        </is>
      </c>
      <c r="B1869" t="inlineStr">
        <is>
          <t>Iván Jaramillo Zuluaga</t>
        </is>
      </c>
      <c r="C1869" t="inlineStr">
        <is>
          <t>3109171032</t>
        </is>
      </c>
      <c r="D1869" t="inlineStr">
        <is>
          <t>ivan.jaramillo21@hotmail.com</t>
        </is>
      </c>
      <c r="E1869" t="inlineStr">
        <is>
          <t>Rionegro</t>
        </is>
      </c>
      <c r="F1869" t="inlineStr">
        <is>
          <t>PRY-006</t>
        </is>
      </c>
      <c r="G1869" t="inlineStr">
        <is>
          <t>Portal Web</t>
        </is>
      </c>
      <c r="H1869" t="inlineStr">
        <is>
          <t>Paula Arenas</t>
        </is>
      </c>
      <c r="I1869" t="inlineStr">
        <is>
          <t>Perdido</t>
        </is>
      </c>
      <c r="J1869" s="28" t="n">
        <v>45858</v>
      </c>
      <c r="K1869" s="28" t="n">
        <v>45880</v>
      </c>
      <c r="L1869" t="inlineStr">
        <is>
          <t>No calificó para crédito</t>
        </is>
      </c>
    </row>
    <row r="1870">
      <c r="A1870" t="inlineStr">
        <is>
          <t>CLI-1868</t>
        </is>
      </c>
      <c r="B1870" t="inlineStr">
        <is>
          <t>Ricardo Valencia Agudelo</t>
        </is>
      </c>
      <c r="C1870" t="inlineStr">
        <is>
          <t>3109588103</t>
        </is>
      </c>
      <c r="D1870" t="inlineStr">
        <is>
          <t>ricardo.valencia73@gmail.com</t>
        </is>
      </c>
      <c r="E1870" t="inlineStr">
        <is>
          <t>Medellín</t>
        </is>
      </c>
      <c r="F1870" t="inlineStr">
        <is>
          <t>PRY-002</t>
        </is>
      </c>
      <c r="G1870" t="inlineStr">
        <is>
          <t>Facebook</t>
        </is>
      </c>
      <c r="H1870" t="inlineStr">
        <is>
          <t>Luis Bedoya</t>
        </is>
      </c>
      <c r="I1870" t="inlineStr">
        <is>
          <t>Perdido</t>
        </is>
      </c>
      <c r="J1870" s="28" t="n">
        <v>45858</v>
      </c>
      <c r="K1870" s="28" t="n">
        <v>45887</v>
      </c>
      <c r="L1870" t="inlineStr">
        <is>
          <t>Presupuesto insuficiente</t>
        </is>
      </c>
    </row>
    <row r="1871">
      <c r="A1871" t="inlineStr">
        <is>
          <t>CLI-1869</t>
        </is>
      </c>
      <c r="B1871" t="inlineStr">
        <is>
          <t>Andrés Salazar Álvarez</t>
        </is>
      </c>
      <c r="C1871" t="inlineStr">
        <is>
          <t>3242538253</t>
        </is>
      </c>
      <c r="D1871" t="inlineStr">
        <is>
          <t>andres.salazar39@yahoo.com</t>
        </is>
      </c>
      <c r="E1871" t="inlineStr">
        <is>
          <t>Bello</t>
        </is>
      </c>
      <c r="F1871" t="inlineStr">
        <is>
          <t>PRY-006</t>
        </is>
      </c>
      <c r="G1871" t="inlineStr">
        <is>
          <t>Facebook</t>
        </is>
      </c>
      <c r="H1871" t="inlineStr">
        <is>
          <t>Luis Bedoya</t>
        </is>
      </c>
      <c r="I1871" t="inlineStr">
        <is>
          <t>Perdido</t>
        </is>
      </c>
      <c r="J1871" s="28" t="n">
        <v>45858</v>
      </c>
      <c r="K1871" s="28" t="n">
        <v>45863</v>
      </c>
      <c r="L1871" t="inlineStr">
        <is>
          <t>Buscaba arriendo, no compra</t>
        </is>
      </c>
    </row>
    <row r="1872">
      <c r="A1872" t="inlineStr">
        <is>
          <t>CLI-1870</t>
        </is>
      </c>
      <c r="B1872" t="inlineStr">
        <is>
          <t>Manuela Hernández Echeverri</t>
        </is>
      </c>
      <c r="C1872" t="inlineStr">
        <is>
          <t>3138250050</t>
        </is>
      </c>
      <c r="D1872" t="inlineStr">
        <is>
          <t>manuela.hernandez69@hotmail.com</t>
        </is>
      </c>
      <c r="E1872" t="inlineStr">
        <is>
          <t>Itagüí</t>
        </is>
      </c>
      <c r="F1872" t="inlineStr">
        <is>
          <t>PRY-003</t>
        </is>
      </c>
      <c r="G1872" t="inlineStr">
        <is>
          <t>Feria Inmobiliaria</t>
        </is>
      </c>
      <c r="H1872" t="inlineStr">
        <is>
          <t>Ana Quintero</t>
        </is>
      </c>
      <c r="I1872" t="inlineStr">
        <is>
          <t>Ganado</t>
        </is>
      </c>
      <c r="J1872" s="28" t="n">
        <v>45859</v>
      </c>
      <c r="K1872" s="28" t="n">
        <v>45965</v>
      </c>
      <c r="L1872" t="inlineStr">
        <is>
          <t>Compró Apto 2303 en Conecta Laureles</t>
        </is>
      </c>
    </row>
    <row r="1873">
      <c r="A1873" t="inlineStr">
        <is>
          <t>CLI-1871</t>
        </is>
      </c>
      <c r="B1873" t="inlineStr">
        <is>
          <t>Fernando Salazar Álvarez</t>
        </is>
      </c>
      <c r="C1873" t="inlineStr">
        <is>
          <t>3005370829</t>
        </is>
      </c>
      <c r="D1873" t="inlineStr">
        <is>
          <t>fernando.salazar69@gmail.com</t>
        </is>
      </c>
      <c r="E1873" t="inlineStr">
        <is>
          <t>Medellín</t>
        </is>
      </c>
      <c r="F1873" t="inlineStr">
        <is>
          <t>PRY-001</t>
        </is>
      </c>
      <c r="G1873" t="inlineStr">
        <is>
          <t>Portal Web</t>
        </is>
      </c>
      <c r="H1873" t="inlineStr">
        <is>
          <t>Mateo Herrera</t>
        </is>
      </c>
      <c r="I1873" t="inlineStr">
        <is>
          <t>Perdido</t>
        </is>
      </c>
      <c r="J1873" s="28" t="n">
        <v>45859</v>
      </c>
      <c r="K1873" s="28" t="n">
        <v>45864</v>
      </c>
      <c r="L1873" t="inlineStr">
        <is>
          <t>No calificó para crédito</t>
        </is>
      </c>
    </row>
    <row r="1874">
      <c r="A1874" t="inlineStr">
        <is>
          <t>CLI-1872</t>
        </is>
      </c>
      <c r="B1874" t="inlineStr">
        <is>
          <t>Natalia Montoya Vargas</t>
        </is>
      </c>
      <c r="C1874" t="inlineStr">
        <is>
          <t>3049103325</t>
        </is>
      </c>
      <c r="D1874" t="inlineStr">
        <is>
          <t>natalia.montoya38@hotmail.com</t>
        </is>
      </c>
      <c r="E1874" t="inlineStr">
        <is>
          <t>Itagüí</t>
        </is>
      </c>
      <c r="F1874" t="inlineStr">
        <is>
          <t>PRY-005</t>
        </is>
      </c>
      <c r="G1874" t="inlineStr">
        <is>
          <t>Portal Web</t>
        </is>
      </c>
      <c r="H1874" t="inlineStr">
        <is>
          <t>Ana Quintero</t>
        </is>
      </c>
      <c r="I1874" t="inlineStr">
        <is>
          <t>Perdido</t>
        </is>
      </c>
      <c r="J1874" s="28" t="n">
        <v>45859</v>
      </c>
      <c r="K1874" s="28" t="n">
        <v>45873</v>
      </c>
      <c r="L1874" t="inlineStr">
        <is>
          <t>Sin respuesta tras 3 contactos</t>
        </is>
      </c>
    </row>
    <row r="1875">
      <c r="A1875" t="inlineStr">
        <is>
          <t>CLI-1873</t>
        </is>
      </c>
      <c r="B1875" t="inlineStr">
        <is>
          <t>Andrés Álvarez Salazar</t>
        </is>
      </c>
      <c r="C1875" t="inlineStr">
        <is>
          <t>3242153766</t>
        </is>
      </c>
      <c r="D1875" t="inlineStr">
        <is>
          <t>andres.alvarez69@yahoo.com</t>
        </is>
      </c>
      <c r="E1875" t="inlineStr">
        <is>
          <t>Envigado</t>
        </is>
      </c>
      <c r="F1875" t="inlineStr">
        <is>
          <t>PRY-003</t>
        </is>
      </c>
      <c r="G1875" t="inlineStr">
        <is>
          <t>Instagram</t>
        </is>
      </c>
      <c r="H1875" t="inlineStr">
        <is>
          <t>Juliana Vélez</t>
        </is>
      </c>
      <c r="I1875" t="inlineStr">
        <is>
          <t>Ganado</t>
        </is>
      </c>
      <c r="J1875" s="28" t="n">
        <v>45861</v>
      </c>
      <c r="K1875" s="28" t="n">
        <v>45968</v>
      </c>
      <c r="L1875" t="inlineStr">
        <is>
          <t>Compró Apto 803 en Conecta Laureles</t>
        </is>
      </c>
    </row>
    <row r="1876">
      <c r="A1876" t="inlineStr">
        <is>
          <t>CLI-1874</t>
        </is>
      </c>
      <c r="B1876" t="inlineStr">
        <is>
          <t>Daniel Bedoya Agudelo</t>
        </is>
      </c>
      <c r="C1876" t="inlineStr">
        <is>
          <t>3221941760</t>
        </is>
      </c>
      <c r="D1876" t="inlineStr">
        <is>
          <t>daniel.bedoya15@gmail.com</t>
        </is>
      </c>
      <c r="E1876" t="inlineStr">
        <is>
          <t>La Estrella</t>
        </is>
      </c>
      <c r="F1876" t="inlineStr">
        <is>
          <t>PRY-001</t>
        </is>
      </c>
      <c r="G1876" t="inlineStr">
        <is>
          <t>Referido</t>
        </is>
      </c>
      <c r="H1876" t="inlineStr">
        <is>
          <t>Andrés Torres</t>
        </is>
      </c>
      <c r="I1876" t="inlineStr">
        <is>
          <t>Ganado</t>
        </is>
      </c>
      <c r="J1876" s="28" t="n">
        <v>45861</v>
      </c>
      <c r="K1876" s="28" t="n">
        <v>45946</v>
      </c>
      <c r="L1876" t="inlineStr">
        <is>
          <t>Compró Apto 806 en Torres del Poblado</t>
        </is>
      </c>
    </row>
    <row r="1877">
      <c r="A1877" t="inlineStr">
        <is>
          <t>CLI-1875</t>
        </is>
      </c>
      <c r="B1877" t="inlineStr">
        <is>
          <t>Julián Salcedo Salazar</t>
        </is>
      </c>
      <c r="C1877" t="inlineStr">
        <is>
          <t>3148473838</t>
        </is>
      </c>
      <c r="D1877" t="inlineStr">
        <is>
          <t>julian.salcedo9@outlook.com</t>
        </is>
      </c>
      <c r="E1877" t="inlineStr">
        <is>
          <t>La Estrella</t>
        </is>
      </c>
      <c r="F1877" t="inlineStr">
        <is>
          <t>PRY-003</t>
        </is>
      </c>
      <c r="G1877" t="inlineStr">
        <is>
          <t>Instagram</t>
        </is>
      </c>
      <c r="H1877" t="inlineStr">
        <is>
          <t>Daniela Ríos</t>
        </is>
      </c>
      <c r="I1877" t="inlineStr">
        <is>
          <t>Perdido</t>
        </is>
      </c>
      <c r="J1877" s="28" t="n">
        <v>45861</v>
      </c>
      <c r="K1877" s="28" t="n">
        <v>45871</v>
      </c>
      <c r="L1877" t="inlineStr">
        <is>
          <t>Sin respuesta tras 3 contactos</t>
        </is>
      </c>
    </row>
    <row r="1878">
      <c r="A1878" t="inlineStr">
        <is>
          <t>CLI-1876</t>
        </is>
      </c>
      <c r="B1878" t="inlineStr">
        <is>
          <t>Wilson Montes Duque</t>
        </is>
      </c>
      <c r="C1878" t="inlineStr">
        <is>
          <t>3007305570</t>
        </is>
      </c>
      <c r="D1878" t="inlineStr">
        <is>
          <t>wilson.montes51@outlook.com</t>
        </is>
      </c>
      <c r="E1878" t="inlineStr">
        <is>
          <t>Envigado</t>
        </is>
      </c>
      <c r="F1878" t="inlineStr">
        <is>
          <t>PRY-001</t>
        </is>
      </c>
      <c r="G1878" t="inlineStr">
        <is>
          <t>Instagram</t>
        </is>
      </c>
      <c r="H1878" t="inlineStr">
        <is>
          <t>Mateo Herrera</t>
        </is>
      </c>
      <c r="I1878" t="inlineStr">
        <is>
          <t>Perdido</t>
        </is>
      </c>
      <c r="J1878" s="28" t="n">
        <v>45861</v>
      </c>
      <c r="K1878" s="28" t="n">
        <v>45876</v>
      </c>
      <c r="L1878" t="inlineStr">
        <is>
          <t>No calificó para crédito</t>
        </is>
      </c>
    </row>
    <row r="1879">
      <c r="A1879" t="inlineStr">
        <is>
          <t>CLI-1877</t>
        </is>
      </c>
      <c r="B1879" t="inlineStr">
        <is>
          <t>Simón Mejía Álvarez</t>
        </is>
      </c>
      <c r="C1879" t="inlineStr">
        <is>
          <t>3173998007</t>
        </is>
      </c>
      <c r="D1879" t="inlineStr">
        <is>
          <t>simon.mejia79@hotmail.com</t>
        </is>
      </c>
      <c r="E1879" t="inlineStr">
        <is>
          <t>Bello</t>
        </is>
      </c>
      <c r="F1879" t="inlineStr">
        <is>
          <t>PRY-003</t>
        </is>
      </c>
      <c r="G1879" t="inlineStr">
        <is>
          <t>Feria Inmobiliaria</t>
        </is>
      </c>
      <c r="H1879" t="inlineStr">
        <is>
          <t>Andrés Torres</t>
        </is>
      </c>
      <c r="I1879" t="inlineStr">
        <is>
          <t>Perdido</t>
        </is>
      </c>
      <c r="J1879" s="28" t="n">
        <v>45861</v>
      </c>
      <c r="K1879" s="28" t="n">
        <v>45887</v>
      </c>
      <c r="L1879" t="inlineStr">
        <is>
          <t>Presupuesto insuficiente</t>
        </is>
      </c>
    </row>
    <row r="1880">
      <c r="A1880" t="inlineStr">
        <is>
          <t>CLI-1878</t>
        </is>
      </c>
      <c r="B1880" t="inlineStr">
        <is>
          <t>Carlos Duque Vélez</t>
        </is>
      </c>
      <c r="C1880" t="inlineStr">
        <is>
          <t>3155132940</t>
        </is>
      </c>
      <c r="D1880" t="inlineStr">
        <is>
          <t>carlos.duque38@gmail.com</t>
        </is>
      </c>
      <c r="E1880" t="inlineStr">
        <is>
          <t>Bello</t>
        </is>
      </c>
      <c r="F1880" t="inlineStr">
        <is>
          <t>PRY-008</t>
        </is>
      </c>
      <c r="G1880" t="inlineStr">
        <is>
          <t>Facebook</t>
        </is>
      </c>
      <c r="H1880" t="inlineStr">
        <is>
          <t>Santiago Muñoz</t>
        </is>
      </c>
      <c r="I1880" t="inlineStr">
        <is>
          <t>Perdido</t>
        </is>
      </c>
      <c r="J1880" s="28" t="n">
        <v>45861</v>
      </c>
      <c r="K1880" s="28" t="n">
        <v>45873</v>
      </c>
      <c r="L1880" t="inlineStr">
        <is>
          <t>Presupuesto insuficiente</t>
        </is>
      </c>
    </row>
    <row r="1881">
      <c r="A1881" t="inlineStr">
        <is>
          <t>CLI-1879</t>
        </is>
      </c>
      <c r="B1881" t="inlineStr">
        <is>
          <t>Gloria Cano López</t>
        </is>
      </c>
      <c r="C1881" t="inlineStr">
        <is>
          <t>3235680714</t>
        </is>
      </c>
      <c r="D1881" t="inlineStr">
        <is>
          <t>gloria.cano9@hotmail.com</t>
        </is>
      </c>
      <c r="E1881" t="inlineStr">
        <is>
          <t>Medellín</t>
        </is>
      </c>
      <c r="F1881" t="inlineStr">
        <is>
          <t>PRY-002</t>
        </is>
      </c>
      <c r="G1881" t="inlineStr">
        <is>
          <t>Llamada directa</t>
        </is>
      </c>
      <c r="H1881" t="inlineStr">
        <is>
          <t>Sofía Prada</t>
        </is>
      </c>
      <c r="I1881" t="inlineStr">
        <is>
          <t>Perdido</t>
        </is>
      </c>
      <c r="J1881" s="28" t="n">
        <v>45862</v>
      </c>
      <c r="K1881" s="28" t="n">
        <v>45947</v>
      </c>
      <c r="L1881" t="inlineStr">
        <is>
          <t>Eligió otro proyecto</t>
        </is>
      </c>
    </row>
    <row r="1882">
      <c r="A1882" t="inlineStr">
        <is>
          <t>CLI-1880</t>
        </is>
      </c>
      <c r="B1882" t="inlineStr">
        <is>
          <t>Daniel Mejía Vargas</t>
        </is>
      </c>
      <c r="C1882" t="inlineStr">
        <is>
          <t>3247014961</t>
        </is>
      </c>
      <c r="D1882" t="inlineStr">
        <is>
          <t>daniel.mejia62@yahoo.com</t>
        </is>
      </c>
      <c r="E1882" t="inlineStr">
        <is>
          <t>Bello</t>
        </is>
      </c>
      <c r="F1882" t="inlineStr">
        <is>
          <t>PRY-006</t>
        </is>
      </c>
      <c r="G1882" t="inlineStr">
        <is>
          <t>Llamada directa</t>
        </is>
      </c>
      <c r="H1882" t="inlineStr">
        <is>
          <t>Luis Bedoya</t>
        </is>
      </c>
      <c r="I1882" t="inlineStr">
        <is>
          <t>Perdido</t>
        </is>
      </c>
      <c r="J1882" s="28" t="n">
        <v>45862</v>
      </c>
      <c r="K1882" s="28" t="n">
        <v>45872</v>
      </c>
      <c r="L1882" t="inlineStr">
        <is>
          <t>Sin respuesta tras 3 contactos</t>
        </is>
      </c>
    </row>
    <row r="1883">
      <c r="A1883" t="inlineStr">
        <is>
          <t>CLI-1881</t>
        </is>
      </c>
      <c r="B1883" t="inlineStr">
        <is>
          <t>Jorge Espinosa Giraldo</t>
        </is>
      </c>
      <c r="C1883" t="inlineStr">
        <is>
          <t>3221440994</t>
        </is>
      </c>
      <c r="D1883" t="inlineStr">
        <is>
          <t>jorge.espinosa98@yahoo.com</t>
        </is>
      </c>
      <c r="E1883" t="inlineStr">
        <is>
          <t>Bello</t>
        </is>
      </c>
      <c r="F1883" t="inlineStr">
        <is>
          <t>PRY-006</t>
        </is>
      </c>
      <c r="G1883" t="inlineStr">
        <is>
          <t>Portal Web</t>
        </is>
      </c>
      <c r="H1883" t="inlineStr">
        <is>
          <t>Santiago Muñoz</t>
        </is>
      </c>
      <c r="I1883" t="inlineStr">
        <is>
          <t>Perdido</t>
        </is>
      </c>
      <c r="J1883" s="28" t="n">
        <v>45862</v>
      </c>
      <c r="K1883" s="28" t="n">
        <v>45878</v>
      </c>
      <c r="L1883" t="inlineStr">
        <is>
          <t>No calificó para crédito</t>
        </is>
      </c>
    </row>
    <row r="1884">
      <c r="A1884" t="inlineStr">
        <is>
          <t>CLI-1882</t>
        </is>
      </c>
      <c r="B1884" t="inlineStr">
        <is>
          <t>Alejandro Ríos Sánchez</t>
        </is>
      </c>
      <c r="C1884" t="inlineStr">
        <is>
          <t>3224917738</t>
        </is>
      </c>
      <c r="D1884" t="inlineStr">
        <is>
          <t>alejandro.rios85@hotmail.com</t>
        </is>
      </c>
      <c r="E1884" t="inlineStr">
        <is>
          <t>Envigado</t>
        </is>
      </c>
      <c r="F1884" t="inlineStr">
        <is>
          <t>PRY-007</t>
        </is>
      </c>
      <c r="G1884" t="inlineStr">
        <is>
          <t>Instagram</t>
        </is>
      </c>
      <c r="H1884" t="inlineStr">
        <is>
          <t>Luis Bedoya</t>
        </is>
      </c>
      <c r="I1884" t="inlineStr">
        <is>
          <t>Perdido</t>
        </is>
      </c>
      <c r="J1884" s="28" t="n">
        <v>45862</v>
      </c>
      <c r="K1884" s="28" t="n">
        <v>45878</v>
      </c>
      <c r="L1884" t="inlineStr">
        <is>
          <t>Sin respuesta tras 3 contactos</t>
        </is>
      </c>
    </row>
    <row r="1885">
      <c r="A1885" t="inlineStr">
        <is>
          <t>CLI-1883</t>
        </is>
      </c>
      <c r="B1885" t="inlineStr">
        <is>
          <t>Mateo Muñoz Cano</t>
        </is>
      </c>
      <c r="C1885" t="inlineStr">
        <is>
          <t>3158644113</t>
        </is>
      </c>
      <c r="D1885" t="inlineStr">
        <is>
          <t>mateo.munoz86@outlook.com</t>
        </is>
      </c>
      <c r="E1885" t="inlineStr">
        <is>
          <t>Itagüí</t>
        </is>
      </c>
      <c r="F1885" t="inlineStr">
        <is>
          <t>PRY-008</t>
        </is>
      </c>
      <c r="G1885" t="inlineStr">
        <is>
          <t>Feria Inmobiliaria</t>
        </is>
      </c>
      <c r="H1885" t="inlineStr">
        <is>
          <t>Santiago Muñoz</t>
        </is>
      </c>
      <c r="I1885" t="inlineStr">
        <is>
          <t>Perdido</t>
        </is>
      </c>
      <c r="J1885" s="28" t="n">
        <v>45862</v>
      </c>
      <c r="K1885" s="28" t="n">
        <v>45876</v>
      </c>
      <c r="L1885" t="inlineStr">
        <is>
          <t>No calificó para crédito</t>
        </is>
      </c>
    </row>
    <row r="1886">
      <c r="A1886" t="inlineStr">
        <is>
          <t>CLI-1884</t>
        </is>
      </c>
      <c r="B1886" t="inlineStr">
        <is>
          <t>Diego Ochoa Escobar</t>
        </is>
      </c>
      <c r="C1886" t="inlineStr">
        <is>
          <t>3048290936</t>
        </is>
      </c>
      <c r="D1886" t="inlineStr">
        <is>
          <t>diego.ochoa51@gmail.com</t>
        </is>
      </c>
      <c r="E1886" t="inlineStr">
        <is>
          <t>Rionegro</t>
        </is>
      </c>
      <c r="F1886" t="inlineStr">
        <is>
          <t>PRY-006</t>
        </is>
      </c>
      <c r="G1886" t="inlineStr">
        <is>
          <t>Referido</t>
        </is>
      </c>
      <c r="H1886" t="inlineStr">
        <is>
          <t>Luis Bedoya</t>
        </is>
      </c>
      <c r="I1886" t="inlineStr">
        <is>
          <t>Perdido</t>
        </is>
      </c>
      <c r="J1886" s="28" t="n">
        <v>45863</v>
      </c>
      <c r="K1886" s="28" t="n">
        <v>45875</v>
      </c>
      <c r="L1886" t="inlineStr">
        <is>
          <t>Presupuesto insuficiente</t>
        </is>
      </c>
    </row>
    <row r="1887">
      <c r="A1887" t="inlineStr">
        <is>
          <t>CLI-1885</t>
        </is>
      </c>
      <c r="B1887" t="inlineStr">
        <is>
          <t>Iván Jaramillo Jaramillo</t>
        </is>
      </c>
      <c r="C1887" t="inlineStr">
        <is>
          <t>3103496140</t>
        </is>
      </c>
      <c r="D1887" t="inlineStr">
        <is>
          <t>ivan.jaramillo66@gmail.com</t>
        </is>
      </c>
      <c r="E1887" t="inlineStr">
        <is>
          <t>Envigado</t>
        </is>
      </c>
      <c r="F1887" t="inlineStr">
        <is>
          <t>PRY-007</t>
        </is>
      </c>
      <c r="G1887" t="inlineStr">
        <is>
          <t>Feria Inmobiliaria</t>
        </is>
      </c>
      <c r="H1887" t="inlineStr">
        <is>
          <t>Sofía Prada</t>
        </is>
      </c>
      <c r="I1887" t="inlineStr">
        <is>
          <t>Perdido</t>
        </is>
      </c>
      <c r="J1887" s="28" t="n">
        <v>45863</v>
      </c>
      <c r="K1887" s="28" t="n">
        <v>45883</v>
      </c>
      <c r="L1887" t="inlineStr">
        <is>
          <t>Sin respuesta tras 3 contactos</t>
        </is>
      </c>
    </row>
    <row r="1888">
      <c r="A1888" t="inlineStr">
        <is>
          <t>CLI-1886</t>
        </is>
      </c>
      <c r="B1888" t="inlineStr">
        <is>
          <t>Luisa Giraldo Giraldo</t>
        </is>
      </c>
      <c r="C1888" t="inlineStr">
        <is>
          <t>3018838476</t>
        </is>
      </c>
      <c r="D1888" t="inlineStr">
        <is>
          <t>luisa.giraldo74@gmail.com</t>
        </is>
      </c>
      <c r="E1888" t="inlineStr">
        <is>
          <t>Envigado</t>
        </is>
      </c>
      <c r="F1888" t="inlineStr">
        <is>
          <t>PRY-007</t>
        </is>
      </c>
      <c r="G1888" t="inlineStr">
        <is>
          <t>Feria Inmobiliaria</t>
        </is>
      </c>
      <c r="H1888" t="inlineStr">
        <is>
          <t>Daniela Ríos</t>
        </is>
      </c>
      <c r="I1888" t="inlineStr">
        <is>
          <t>Perdido</t>
        </is>
      </c>
      <c r="J1888" s="28" t="n">
        <v>45863</v>
      </c>
      <c r="K1888" s="28" t="n">
        <v>45885</v>
      </c>
      <c r="L1888" t="inlineStr">
        <is>
          <t>Buscaba arriendo, no compra</t>
        </is>
      </c>
    </row>
    <row r="1889">
      <c r="A1889" t="inlineStr">
        <is>
          <t>CLI-1887</t>
        </is>
      </c>
      <c r="B1889" t="inlineStr">
        <is>
          <t>Liliana Restrepo Zuluaga</t>
        </is>
      </c>
      <c r="C1889" t="inlineStr">
        <is>
          <t>3158005348</t>
        </is>
      </c>
      <c r="D1889" t="inlineStr">
        <is>
          <t>liliana.restrepo9@yahoo.com</t>
        </is>
      </c>
      <c r="E1889" t="inlineStr">
        <is>
          <t>Rionegro</t>
        </is>
      </c>
      <c r="F1889" t="inlineStr">
        <is>
          <t>PRY-005</t>
        </is>
      </c>
      <c r="G1889" t="inlineStr">
        <is>
          <t>Portal Web</t>
        </is>
      </c>
      <c r="H1889" t="inlineStr">
        <is>
          <t>Santiago Muñoz</t>
        </is>
      </c>
      <c r="I1889" t="inlineStr">
        <is>
          <t>Perdido</t>
        </is>
      </c>
      <c r="J1889" s="28" t="n">
        <v>45863</v>
      </c>
      <c r="K1889" s="28" t="n">
        <v>45869</v>
      </c>
      <c r="L1889" t="inlineStr">
        <is>
          <t>Presupuesto insuficiente</t>
        </is>
      </c>
    </row>
    <row r="1890">
      <c r="A1890" t="inlineStr">
        <is>
          <t>CLI-1888</t>
        </is>
      </c>
      <c r="B1890" t="inlineStr">
        <is>
          <t>Rodrigo Quintero Cifuentes</t>
        </is>
      </c>
      <c r="C1890" t="inlineStr">
        <is>
          <t>3177933666</t>
        </is>
      </c>
      <c r="D1890" t="inlineStr">
        <is>
          <t>rodrigo.quintero3@outlook.com</t>
        </is>
      </c>
      <c r="E1890" t="inlineStr">
        <is>
          <t>Medellín</t>
        </is>
      </c>
      <c r="F1890" t="inlineStr">
        <is>
          <t>PRY-003</t>
        </is>
      </c>
      <c r="G1890" t="inlineStr">
        <is>
          <t>Feria Inmobiliaria</t>
        </is>
      </c>
      <c r="H1890" t="inlineStr">
        <is>
          <t>Miguel Salazar</t>
        </is>
      </c>
      <c r="I1890" t="inlineStr">
        <is>
          <t>Perdido</t>
        </is>
      </c>
      <c r="J1890" s="28" t="n">
        <v>45864</v>
      </c>
      <c r="K1890" s="28" t="n">
        <v>45883</v>
      </c>
      <c r="L1890" t="inlineStr">
        <is>
          <t>Presupuesto insuficiente</t>
        </is>
      </c>
    </row>
    <row r="1891">
      <c r="A1891" t="inlineStr">
        <is>
          <t>CLI-1889</t>
        </is>
      </c>
      <c r="B1891" t="inlineStr">
        <is>
          <t>Patricia Vásquez Salazar</t>
        </is>
      </c>
      <c r="C1891" t="inlineStr">
        <is>
          <t>3045123123</t>
        </is>
      </c>
      <c r="D1891" t="inlineStr">
        <is>
          <t>patricia.vasquez94@outlook.com</t>
        </is>
      </c>
      <c r="E1891" t="inlineStr">
        <is>
          <t>Envigado</t>
        </is>
      </c>
      <c r="F1891" t="inlineStr">
        <is>
          <t>PRY-008</t>
        </is>
      </c>
      <c r="G1891" t="inlineStr">
        <is>
          <t>Portal Web</t>
        </is>
      </c>
      <c r="H1891" t="inlineStr">
        <is>
          <t>Ana Quintero</t>
        </is>
      </c>
      <c r="I1891" t="inlineStr">
        <is>
          <t>Perdido</t>
        </is>
      </c>
      <c r="J1891" s="28" t="n">
        <v>45864</v>
      </c>
      <c r="K1891" s="28" t="n">
        <v>45870</v>
      </c>
      <c r="L1891" t="inlineStr">
        <is>
          <t>Datos de contacto errados</t>
        </is>
      </c>
    </row>
    <row r="1892">
      <c r="A1892" t="inlineStr">
        <is>
          <t>CLI-1890</t>
        </is>
      </c>
      <c r="B1892" t="inlineStr">
        <is>
          <t>Óscar Gaviria Gaviria</t>
        </is>
      </c>
      <c r="C1892" t="inlineStr">
        <is>
          <t>3175364551</t>
        </is>
      </c>
      <c r="D1892" t="inlineStr">
        <is>
          <t>oscar.gaviria89@gmail.com</t>
        </is>
      </c>
      <c r="E1892" t="inlineStr">
        <is>
          <t>Itagüí</t>
        </is>
      </c>
      <c r="F1892" t="inlineStr">
        <is>
          <t>PRY-008</t>
        </is>
      </c>
      <c r="G1892" t="inlineStr">
        <is>
          <t>Referido</t>
        </is>
      </c>
      <c r="H1892" t="inlineStr">
        <is>
          <t>Ana Quintero</t>
        </is>
      </c>
      <c r="I1892" t="inlineStr">
        <is>
          <t>Perdido</t>
        </is>
      </c>
      <c r="J1892" s="28" t="n">
        <v>45864</v>
      </c>
      <c r="K1892" s="28" t="n">
        <v>45873</v>
      </c>
      <c r="L1892" t="inlineStr">
        <is>
          <t>No calificó para crédito</t>
        </is>
      </c>
    </row>
    <row r="1893">
      <c r="A1893" t="inlineStr">
        <is>
          <t>CLI-1891</t>
        </is>
      </c>
      <c r="B1893" t="inlineStr">
        <is>
          <t>Juliana Rojas Álvarez</t>
        </is>
      </c>
      <c r="C1893" t="inlineStr">
        <is>
          <t>3143391517</t>
        </is>
      </c>
      <c r="D1893" t="inlineStr">
        <is>
          <t>juliana.rojas70@outlook.com</t>
        </is>
      </c>
      <c r="E1893" t="inlineStr">
        <is>
          <t>Medellín</t>
        </is>
      </c>
      <c r="F1893" t="inlineStr">
        <is>
          <t>PRY-001</t>
        </is>
      </c>
      <c r="G1893" t="inlineStr">
        <is>
          <t>Facebook</t>
        </is>
      </c>
      <c r="H1893" t="inlineStr">
        <is>
          <t>Paula Arenas</t>
        </is>
      </c>
      <c r="I1893" t="inlineStr">
        <is>
          <t>Perdido</t>
        </is>
      </c>
      <c r="J1893" s="28" t="n">
        <v>45864</v>
      </c>
      <c r="K1893" s="28" t="n">
        <v>45884</v>
      </c>
      <c r="L1893" t="inlineStr">
        <is>
          <t>No calificó para crédito</t>
        </is>
      </c>
    </row>
    <row r="1894">
      <c r="A1894" t="inlineStr">
        <is>
          <t>CLI-1892</t>
        </is>
      </c>
      <c r="B1894" t="inlineStr">
        <is>
          <t>Alejandra Vélez Zuluaga</t>
        </is>
      </c>
      <c r="C1894" t="inlineStr">
        <is>
          <t>3001856716</t>
        </is>
      </c>
      <c r="D1894" t="inlineStr">
        <is>
          <t>alejandra.velez59@yahoo.com</t>
        </is>
      </c>
      <c r="E1894" t="inlineStr">
        <is>
          <t>Medellín</t>
        </is>
      </c>
      <c r="F1894" t="inlineStr">
        <is>
          <t>PRY-002</t>
        </is>
      </c>
      <c r="G1894" t="inlineStr">
        <is>
          <t>Facebook</t>
        </is>
      </c>
      <c r="H1894" t="inlineStr">
        <is>
          <t>Luis Bedoya</t>
        </is>
      </c>
      <c r="I1894" t="inlineStr">
        <is>
          <t>Perdido</t>
        </is>
      </c>
      <c r="J1894" s="28" t="n">
        <v>45864</v>
      </c>
      <c r="K1894" s="28" t="n">
        <v>45874</v>
      </c>
      <c r="L1894" t="inlineStr">
        <is>
          <t>Sin respuesta tras 3 contactos</t>
        </is>
      </c>
    </row>
    <row r="1895">
      <c r="A1895" t="inlineStr">
        <is>
          <t>CLI-1893</t>
        </is>
      </c>
      <c r="B1895" t="inlineStr">
        <is>
          <t>Diego Vargas Vélez</t>
        </is>
      </c>
      <c r="C1895" t="inlineStr">
        <is>
          <t>3242838053</t>
        </is>
      </c>
      <c r="D1895" t="inlineStr">
        <is>
          <t>diego.vargas31@outlook.com</t>
        </is>
      </c>
      <c r="E1895" t="inlineStr">
        <is>
          <t>Medellín</t>
        </is>
      </c>
      <c r="F1895" t="inlineStr">
        <is>
          <t>PRY-001</t>
        </is>
      </c>
      <c r="G1895" t="inlineStr">
        <is>
          <t>Referido</t>
        </is>
      </c>
      <c r="H1895" t="inlineStr">
        <is>
          <t>Paula Arenas</t>
        </is>
      </c>
      <c r="I1895" t="inlineStr">
        <is>
          <t>Perdido</t>
        </is>
      </c>
      <c r="J1895" s="28" t="n">
        <v>45865</v>
      </c>
      <c r="K1895" s="28" t="n">
        <v>45927</v>
      </c>
      <c r="L1895" t="inlineStr">
        <is>
          <t>Desistió de la compra</t>
        </is>
      </c>
    </row>
    <row r="1896">
      <c r="A1896" t="inlineStr">
        <is>
          <t>CLI-1894</t>
        </is>
      </c>
      <c r="B1896" t="inlineStr">
        <is>
          <t>Valentina Montoya Correa</t>
        </is>
      </c>
      <c r="C1896" t="inlineStr">
        <is>
          <t>3147166744</t>
        </is>
      </c>
      <c r="D1896" t="inlineStr">
        <is>
          <t>valentina.montoya43@yahoo.com</t>
        </is>
      </c>
      <c r="E1896" t="inlineStr">
        <is>
          <t>Rionegro</t>
        </is>
      </c>
      <c r="F1896" t="inlineStr">
        <is>
          <t>PRY-005</t>
        </is>
      </c>
      <c r="G1896" t="inlineStr">
        <is>
          <t>Feria Inmobiliaria</t>
        </is>
      </c>
      <c r="H1896" t="inlineStr">
        <is>
          <t>Daniela Ríos</t>
        </is>
      </c>
      <c r="I1896" t="inlineStr">
        <is>
          <t>Perdido</t>
        </is>
      </c>
      <c r="J1896" s="28" t="n">
        <v>45865</v>
      </c>
      <c r="K1896" s="28" t="n">
        <v>45886</v>
      </c>
      <c r="L1896" t="inlineStr">
        <is>
          <t>No calificó para crédito</t>
        </is>
      </c>
    </row>
    <row r="1897">
      <c r="A1897" t="inlineStr">
        <is>
          <t>CLI-1895</t>
        </is>
      </c>
      <c r="B1897" t="inlineStr">
        <is>
          <t>Emilio Jaramillo Montes</t>
        </is>
      </c>
      <c r="C1897" t="inlineStr">
        <is>
          <t>3242419785</t>
        </is>
      </c>
      <c r="D1897" t="inlineStr">
        <is>
          <t>emilio.jaramillo45@hotmail.com</t>
        </is>
      </c>
      <c r="E1897" t="inlineStr">
        <is>
          <t>Sabaneta</t>
        </is>
      </c>
      <c r="F1897" t="inlineStr">
        <is>
          <t>PRY-005</t>
        </is>
      </c>
      <c r="G1897" t="inlineStr">
        <is>
          <t>Portal Web</t>
        </is>
      </c>
      <c r="H1897" t="inlineStr">
        <is>
          <t>Paula Arenas</t>
        </is>
      </c>
      <c r="I1897" t="inlineStr">
        <is>
          <t>Perdido</t>
        </is>
      </c>
      <c r="J1897" s="28" t="n">
        <v>45865</v>
      </c>
      <c r="K1897" s="28" t="n">
        <v>45889</v>
      </c>
      <c r="L1897" t="inlineStr">
        <is>
          <t>Buscaba arriendo, no compra</t>
        </is>
      </c>
    </row>
    <row r="1898">
      <c r="A1898" t="inlineStr">
        <is>
          <t>CLI-1896</t>
        </is>
      </c>
      <c r="B1898" t="inlineStr">
        <is>
          <t>Felipe Pérez Agudelo</t>
        </is>
      </c>
      <c r="C1898" t="inlineStr">
        <is>
          <t>3016679218</t>
        </is>
      </c>
      <c r="D1898" t="inlineStr">
        <is>
          <t>felipe.perez99@outlook.com</t>
        </is>
      </c>
      <c r="E1898" t="inlineStr">
        <is>
          <t>Medellín</t>
        </is>
      </c>
      <c r="F1898" t="inlineStr">
        <is>
          <t>PRY-003</t>
        </is>
      </c>
      <c r="G1898" t="inlineStr">
        <is>
          <t>Portal Web</t>
        </is>
      </c>
      <c r="H1898" t="inlineStr">
        <is>
          <t>Juliana Vélez</t>
        </is>
      </c>
      <c r="I1898" t="inlineStr">
        <is>
          <t>Perdido</t>
        </is>
      </c>
      <c r="J1898" s="28" t="n">
        <v>45866</v>
      </c>
      <c r="K1898" s="28" t="n">
        <v>45968</v>
      </c>
      <c r="L1898" t="inlineStr">
        <is>
          <t>Crédito no aprobado</t>
        </is>
      </c>
    </row>
    <row r="1899">
      <c r="A1899" t="inlineStr">
        <is>
          <t>CLI-1897</t>
        </is>
      </c>
      <c r="B1899" t="inlineStr">
        <is>
          <t>Alejandra Arango Vásquez</t>
        </is>
      </c>
      <c r="C1899" t="inlineStr">
        <is>
          <t>3008318368</t>
        </is>
      </c>
      <c r="D1899" t="inlineStr">
        <is>
          <t>alejandra.arango4@outlook.com</t>
        </is>
      </c>
      <c r="E1899" t="inlineStr">
        <is>
          <t>Medellín</t>
        </is>
      </c>
      <c r="F1899" t="inlineStr">
        <is>
          <t>PRY-003</t>
        </is>
      </c>
      <c r="G1899" t="inlineStr">
        <is>
          <t>Feria Inmobiliaria</t>
        </is>
      </c>
      <c r="H1899" t="inlineStr">
        <is>
          <t>Luis Bedoya</t>
        </is>
      </c>
      <c r="I1899" t="inlineStr">
        <is>
          <t>Ganado</t>
        </is>
      </c>
      <c r="J1899" s="28" t="n">
        <v>45866</v>
      </c>
      <c r="K1899" s="28" t="n">
        <v>45962</v>
      </c>
      <c r="L1899" t="inlineStr">
        <is>
          <t>Compró Apto 307 en Conecta Laureles</t>
        </is>
      </c>
    </row>
    <row r="1900">
      <c r="A1900" t="inlineStr">
        <is>
          <t>CLI-1898</t>
        </is>
      </c>
      <c r="B1900" t="inlineStr">
        <is>
          <t>Esteban Escobar Osorio</t>
        </is>
      </c>
      <c r="C1900" t="inlineStr">
        <is>
          <t>3178483768</t>
        </is>
      </c>
      <c r="D1900" t="inlineStr">
        <is>
          <t>esteban.escobar44@hotmail.com</t>
        </is>
      </c>
      <c r="E1900" t="inlineStr">
        <is>
          <t>La Estrella</t>
        </is>
      </c>
      <c r="F1900" t="inlineStr">
        <is>
          <t>PRY-001</t>
        </is>
      </c>
      <c r="G1900" t="inlineStr">
        <is>
          <t>Instagram</t>
        </is>
      </c>
      <c r="H1900" t="inlineStr">
        <is>
          <t>Juliana Vélez</t>
        </is>
      </c>
      <c r="I1900" t="inlineStr">
        <is>
          <t>Perdido</t>
        </is>
      </c>
      <c r="J1900" s="28" t="n">
        <v>45866</v>
      </c>
      <c r="K1900" s="28" t="n">
        <v>45880</v>
      </c>
      <c r="L1900" t="inlineStr">
        <is>
          <t>Sin respuesta tras 3 contactos</t>
        </is>
      </c>
    </row>
    <row r="1901">
      <c r="A1901" t="inlineStr">
        <is>
          <t>CLI-1899</t>
        </is>
      </c>
      <c r="B1901" t="inlineStr">
        <is>
          <t>Diana Montes Ríos</t>
        </is>
      </c>
      <c r="C1901" t="inlineStr">
        <is>
          <t>3243556642</t>
        </is>
      </c>
      <c r="D1901" t="inlineStr">
        <is>
          <t>diana.montes55@hotmail.com</t>
        </is>
      </c>
      <c r="E1901" t="inlineStr">
        <is>
          <t>Envigado</t>
        </is>
      </c>
      <c r="F1901" t="inlineStr">
        <is>
          <t>PRY-007</t>
        </is>
      </c>
      <c r="G1901" t="inlineStr">
        <is>
          <t>Instagram</t>
        </is>
      </c>
      <c r="H1901" t="inlineStr">
        <is>
          <t>Sofía Prada</t>
        </is>
      </c>
      <c r="I1901" t="inlineStr">
        <is>
          <t>Perdido</t>
        </is>
      </c>
      <c r="J1901" s="28" t="n">
        <v>45866</v>
      </c>
      <c r="K1901" s="28" t="n">
        <v>45886</v>
      </c>
      <c r="L1901" t="inlineStr">
        <is>
          <t>No calificó para crédito</t>
        </is>
      </c>
    </row>
    <row r="1902">
      <c r="A1902" t="inlineStr">
        <is>
          <t>CLI-1900</t>
        </is>
      </c>
      <c r="B1902" t="inlineStr">
        <is>
          <t>Sofía Sánchez Cano</t>
        </is>
      </c>
      <c r="C1902" t="inlineStr">
        <is>
          <t>3202997251</t>
        </is>
      </c>
      <c r="D1902" t="inlineStr">
        <is>
          <t>sofia.sanchez85@hotmail.com</t>
        </is>
      </c>
      <c r="E1902" t="inlineStr">
        <is>
          <t>Bello</t>
        </is>
      </c>
      <c r="F1902" t="inlineStr">
        <is>
          <t>PRY-008</t>
        </is>
      </c>
      <c r="G1902" t="inlineStr">
        <is>
          <t>Referido</t>
        </is>
      </c>
      <c r="H1902" t="inlineStr">
        <is>
          <t>Daniela Ríos</t>
        </is>
      </c>
      <c r="I1902" t="inlineStr">
        <is>
          <t>Ganado</t>
        </is>
      </c>
      <c r="J1902" s="28" t="n">
        <v>45867</v>
      </c>
      <c r="K1902" s="28" t="n">
        <v>45946</v>
      </c>
      <c r="L1902" t="inlineStr">
        <is>
          <t>Compró Casa 68 en Valle Verde Itagüí</t>
        </is>
      </c>
    </row>
    <row r="1903">
      <c r="A1903" t="inlineStr">
        <is>
          <t>CLI-1901</t>
        </is>
      </c>
      <c r="B1903" t="inlineStr">
        <is>
          <t>Emilio Zuluaga Jaramillo</t>
        </is>
      </c>
      <c r="C1903" t="inlineStr">
        <is>
          <t>3015171927</t>
        </is>
      </c>
      <c r="D1903" t="inlineStr">
        <is>
          <t>emilio.zuluaga17@yahoo.com</t>
        </is>
      </c>
      <c r="E1903" t="inlineStr">
        <is>
          <t>Medellín</t>
        </is>
      </c>
      <c r="F1903" t="inlineStr">
        <is>
          <t>PRY-003</t>
        </is>
      </c>
      <c r="G1903" t="inlineStr">
        <is>
          <t>Feria Inmobiliaria</t>
        </is>
      </c>
      <c r="H1903" t="inlineStr">
        <is>
          <t>Mateo Herrera</t>
        </is>
      </c>
      <c r="I1903" t="inlineStr">
        <is>
          <t>Ganado</t>
        </is>
      </c>
      <c r="J1903" s="28" t="n">
        <v>45867</v>
      </c>
      <c r="K1903" s="28" t="n">
        <v>45978</v>
      </c>
      <c r="L1903" t="inlineStr">
        <is>
          <t>Compró Apto 205 en Conecta Laureles</t>
        </is>
      </c>
    </row>
    <row r="1904">
      <c r="A1904" t="inlineStr">
        <is>
          <t>CLI-1902</t>
        </is>
      </c>
      <c r="B1904" t="inlineStr">
        <is>
          <t>Nicolás Salcedo Osorio</t>
        </is>
      </c>
      <c r="C1904" t="inlineStr">
        <is>
          <t>3153082939</t>
        </is>
      </c>
      <c r="D1904" t="inlineStr">
        <is>
          <t>nicolas.salcedo23@hotmail.com</t>
        </is>
      </c>
      <c r="E1904" t="inlineStr">
        <is>
          <t>Rionegro</t>
        </is>
      </c>
      <c r="F1904" t="inlineStr">
        <is>
          <t>PRY-005</t>
        </is>
      </c>
      <c r="G1904" t="inlineStr">
        <is>
          <t>Llamada directa</t>
        </is>
      </c>
      <c r="H1904" t="inlineStr">
        <is>
          <t>Miguel Salazar</t>
        </is>
      </c>
      <c r="I1904" t="inlineStr">
        <is>
          <t>Perdido</t>
        </is>
      </c>
      <c r="J1904" s="28" t="n">
        <v>45867</v>
      </c>
      <c r="K1904" s="28" t="n">
        <v>45896</v>
      </c>
      <c r="L1904" t="inlineStr">
        <is>
          <t>Presupuesto insuficiente</t>
        </is>
      </c>
    </row>
    <row r="1905">
      <c r="A1905" t="inlineStr">
        <is>
          <t>CLI-1903</t>
        </is>
      </c>
      <c r="B1905" t="inlineStr">
        <is>
          <t>Laura Marín Uribe</t>
        </is>
      </c>
      <c r="C1905" t="inlineStr">
        <is>
          <t>3201653842</t>
        </is>
      </c>
      <c r="D1905" t="inlineStr">
        <is>
          <t>laura.marin42@gmail.com</t>
        </is>
      </c>
      <c r="E1905" t="inlineStr">
        <is>
          <t>Itagüí</t>
        </is>
      </c>
      <c r="F1905" t="inlineStr">
        <is>
          <t>PRY-001</t>
        </is>
      </c>
      <c r="G1905" t="inlineStr">
        <is>
          <t>Facebook</t>
        </is>
      </c>
      <c r="H1905" t="inlineStr">
        <is>
          <t>Juliana Vélez</t>
        </is>
      </c>
      <c r="I1905" t="inlineStr">
        <is>
          <t>Perdido</t>
        </is>
      </c>
      <c r="J1905" s="28" t="n">
        <v>45867</v>
      </c>
      <c r="K1905" s="28" t="n">
        <v>45892</v>
      </c>
      <c r="L1905" t="inlineStr">
        <is>
          <t>Sin respuesta tras 3 contactos</t>
        </is>
      </c>
    </row>
    <row r="1906">
      <c r="A1906" t="inlineStr">
        <is>
          <t>CLI-1904</t>
        </is>
      </c>
      <c r="B1906" t="inlineStr">
        <is>
          <t>Mariana Giraldo Pérez</t>
        </is>
      </c>
      <c r="C1906" t="inlineStr">
        <is>
          <t>3141892467</t>
        </is>
      </c>
      <c r="D1906" t="inlineStr">
        <is>
          <t>mariana.giraldo4@hotmail.com</t>
        </is>
      </c>
      <c r="E1906" t="inlineStr">
        <is>
          <t>Bello</t>
        </is>
      </c>
      <c r="F1906" t="inlineStr">
        <is>
          <t>PRY-001</t>
        </is>
      </c>
      <c r="G1906" t="inlineStr">
        <is>
          <t>Portal Web</t>
        </is>
      </c>
      <c r="H1906" t="inlineStr">
        <is>
          <t>Sofía Prada</t>
        </is>
      </c>
      <c r="I1906" t="inlineStr">
        <is>
          <t>Perdido</t>
        </is>
      </c>
      <c r="J1906" s="28" t="n">
        <v>45868</v>
      </c>
      <c r="K1906" s="28" t="n">
        <v>45881</v>
      </c>
      <c r="L1906" t="inlineStr">
        <is>
          <t>Sin respuesta tras 3 contactos</t>
        </is>
      </c>
    </row>
    <row r="1907">
      <c r="A1907" t="inlineStr">
        <is>
          <t>CLI-1905</t>
        </is>
      </c>
      <c r="B1907" t="inlineStr">
        <is>
          <t>Jhon Escobar Vélez</t>
        </is>
      </c>
      <c r="C1907" t="inlineStr">
        <is>
          <t>3042907128</t>
        </is>
      </c>
      <c r="D1907" t="inlineStr">
        <is>
          <t>jhon.escobar23@yahoo.com</t>
        </is>
      </c>
      <c r="E1907" t="inlineStr">
        <is>
          <t>Envigado</t>
        </is>
      </c>
      <c r="F1907" t="inlineStr">
        <is>
          <t>PRY-007</t>
        </is>
      </c>
      <c r="G1907" t="inlineStr">
        <is>
          <t>Instagram</t>
        </is>
      </c>
      <c r="H1907" t="inlineStr">
        <is>
          <t>Ana Quintero</t>
        </is>
      </c>
      <c r="I1907" t="inlineStr">
        <is>
          <t>Perdido</t>
        </is>
      </c>
      <c r="J1907" s="28" t="n">
        <v>45868</v>
      </c>
      <c r="K1907" s="28" t="n">
        <v>45894</v>
      </c>
      <c r="L1907" t="inlineStr">
        <is>
          <t>Buscaba arriendo, no compra</t>
        </is>
      </c>
    </row>
    <row r="1908">
      <c r="A1908" t="inlineStr">
        <is>
          <t>CLI-1906</t>
        </is>
      </c>
      <c r="B1908" t="inlineStr">
        <is>
          <t>Wilson Correa Franco</t>
        </is>
      </c>
      <c r="C1908" t="inlineStr">
        <is>
          <t>3044649692</t>
        </is>
      </c>
      <c r="D1908" t="inlineStr">
        <is>
          <t>wilson.correa35@hotmail.com</t>
        </is>
      </c>
      <c r="E1908" t="inlineStr">
        <is>
          <t>Bello</t>
        </is>
      </c>
      <c r="F1908" t="inlineStr">
        <is>
          <t>PRY-006</t>
        </is>
      </c>
      <c r="G1908" t="inlineStr">
        <is>
          <t>Instagram</t>
        </is>
      </c>
      <c r="H1908" t="inlineStr">
        <is>
          <t>Luis Bedoya</t>
        </is>
      </c>
      <c r="I1908" t="inlineStr">
        <is>
          <t>Perdido</t>
        </is>
      </c>
      <c r="J1908" s="28" t="n">
        <v>45869</v>
      </c>
      <c r="K1908" s="28" t="n">
        <v>45886</v>
      </c>
      <c r="L1908" t="inlineStr">
        <is>
          <t>Datos de contacto errados</t>
        </is>
      </c>
    </row>
    <row r="1909">
      <c r="A1909" t="inlineStr">
        <is>
          <t>CLI-1907</t>
        </is>
      </c>
      <c r="B1909" t="inlineStr">
        <is>
          <t>Cristian Henao Jaramillo</t>
        </is>
      </c>
      <c r="C1909" t="inlineStr">
        <is>
          <t>3226988466</t>
        </is>
      </c>
      <c r="D1909" t="inlineStr">
        <is>
          <t>cristian.henao38@gmail.com</t>
        </is>
      </c>
      <c r="E1909" t="inlineStr">
        <is>
          <t>Medellín</t>
        </is>
      </c>
      <c r="F1909" t="inlineStr">
        <is>
          <t>PRY-001</t>
        </is>
      </c>
      <c r="G1909" t="inlineStr">
        <is>
          <t>Portal Web</t>
        </is>
      </c>
      <c r="H1909" t="inlineStr">
        <is>
          <t>Ana Quintero</t>
        </is>
      </c>
      <c r="I1909" t="inlineStr">
        <is>
          <t>Ganado</t>
        </is>
      </c>
      <c r="J1909" s="28" t="n">
        <v>45870</v>
      </c>
      <c r="K1909" s="28" t="n">
        <v>46005</v>
      </c>
      <c r="L1909" t="inlineStr">
        <is>
          <t>Compró Apto 1104 en Torres del Poblado</t>
        </is>
      </c>
    </row>
    <row r="1910">
      <c r="A1910" t="inlineStr">
        <is>
          <t>CLI-1908</t>
        </is>
      </c>
      <c r="B1910" t="inlineStr">
        <is>
          <t>Fernando Rojas Cifuentes</t>
        </is>
      </c>
      <c r="C1910" t="inlineStr">
        <is>
          <t>3045298655</t>
        </is>
      </c>
      <c r="D1910" t="inlineStr">
        <is>
          <t>fernando.rojas20@gmail.com</t>
        </is>
      </c>
      <c r="E1910" t="inlineStr">
        <is>
          <t>Envigado</t>
        </is>
      </c>
      <c r="F1910" t="inlineStr">
        <is>
          <t>PRY-007</t>
        </is>
      </c>
      <c r="G1910" t="inlineStr">
        <is>
          <t>Facebook</t>
        </is>
      </c>
      <c r="H1910" t="inlineStr">
        <is>
          <t>Juliana Vélez</t>
        </is>
      </c>
      <c r="I1910" t="inlineStr">
        <is>
          <t>Perdido</t>
        </is>
      </c>
      <c r="J1910" s="28" t="n">
        <v>45870</v>
      </c>
      <c r="K1910" s="28" t="n">
        <v>45893</v>
      </c>
      <c r="L1910" t="inlineStr">
        <is>
          <t>Sin respuesta tras 3 contactos</t>
        </is>
      </c>
    </row>
    <row r="1911">
      <c r="A1911" t="inlineStr">
        <is>
          <t>CLI-1909</t>
        </is>
      </c>
      <c r="B1911" t="inlineStr">
        <is>
          <t>María Espinosa Uribe</t>
        </is>
      </c>
      <c r="C1911" t="inlineStr">
        <is>
          <t>3229839388</t>
        </is>
      </c>
      <c r="D1911" t="inlineStr">
        <is>
          <t>maria.espinosa44@hotmail.com</t>
        </is>
      </c>
      <c r="E1911" t="inlineStr">
        <is>
          <t>Bello</t>
        </is>
      </c>
      <c r="F1911" t="inlineStr">
        <is>
          <t>PRY-001</t>
        </is>
      </c>
      <c r="G1911" t="inlineStr">
        <is>
          <t>Facebook</t>
        </is>
      </c>
      <c r="H1911" t="inlineStr">
        <is>
          <t>Santiago Muñoz</t>
        </is>
      </c>
      <c r="I1911" t="inlineStr">
        <is>
          <t>Perdido</t>
        </is>
      </c>
      <c r="J1911" s="28" t="n">
        <v>45870</v>
      </c>
      <c r="K1911" s="28" t="n">
        <v>45900</v>
      </c>
      <c r="L1911" t="inlineStr">
        <is>
          <t>No calificó para crédito</t>
        </is>
      </c>
    </row>
    <row r="1912">
      <c r="A1912" t="inlineStr">
        <is>
          <t>CLI-1910</t>
        </is>
      </c>
      <c r="B1912" t="inlineStr">
        <is>
          <t>Diego Montoya Londoño</t>
        </is>
      </c>
      <c r="C1912" t="inlineStr">
        <is>
          <t>3003903596</t>
        </is>
      </c>
      <c r="D1912" t="inlineStr">
        <is>
          <t>diego.montoya35@hotmail.com</t>
        </is>
      </c>
      <c r="E1912" t="inlineStr">
        <is>
          <t>Medellín</t>
        </is>
      </c>
      <c r="F1912" t="inlineStr">
        <is>
          <t>PRY-002</t>
        </is>
      </c>
      <c r="G1912" t="inlineStr">
        <is>
          <t>Portal Web</t>
        </is>
      </c>
      <c r="H1912" t="inlineStr">
        <is>
          <t>Andrés Torres</t>
        </is>
      </c>
      <c r="I1912" t="inlineStr">
        <is>
          <t>Perdido</t>
        </is>
      </c>
      <c r="J1912" s="28" t="n">
        <v>45870</v>
      </c>
      <c r="K1912" s="28" t="n">
        <v>45897</v>
      </c>
      <c r="L1912" t="inlineStr">
        <is>
          <t>Presupuesto insuficiente</t>
        </is>
      </c>
    </row>
    <row r="1913">
      <c r="A1913" t="inlineStr">
        <is>
          <t>CLI-1911</t>
        </is>
      </c>
      <c r="B1913" t="inlineStr">
        <is>
          <t>Tomás Rojas Higuita</t>
        </is>
      </c>
      <c r="C1913" t="inlineStr">
        <is>
          <t>3008918003</t>
        </is>
      </c>
      <c r="D1913" t="inlineStr">
        <is>
          <t>tomas.rojas75@hotmail.com</t>
        </is>
      </c>
      <c r="E1913" t="inlineStr">
        <is>
          <t>Rionegro</t>
        </is>
      </c>
      <c r="F1913" t="inlineStr">
        <is>
          <t>PRY-007</t>
        </is>
      </c>
      <c r="G1913" t="inlineStr">
        <is>
          <t>Feria Inmobiliaria</t>
        </is>
      </c>
      <c r="H1913" t="inlineStr">
        <is>
          <t>Juliana Vélez</t>
        </is>
      </c>
      <c r="I1913" t="inlineStr">
        <is>
          <t>Ganado</t>
        </is>
      </c>
      <c r="J1913" s="28" t="n">
        <v>45871</v>
      </c>
      <c r="K1913" s="28" t="n">
        <v>46006</v>
      </c>
      <c r="L1913" t="inlineStr">
        <is>
          <t>Compró Apto 606 en Mirador de Envigado</t>
        </is>
      </c>
    </row>
    <row r="1914">
      <c r="A1914" t="inlineStr">
        <is>
          <t>CLI-1912</t>
        </is>
      </c>
      <c r="B1914" t="inlineStr">
        <is>
          <t>Lorena Osorio Jaramillo</t>
        </is>
      </c>
      <c r="C1914" t="inlineStr">
        <is>
          <t>3145334048</t>
        </is>
      </c>
      <c r="D1914" t="inlineStr">
        <is>
          <t>lorena.osorio16@outlook.com</t>
        </is>
      </c>
      <c r="E1914" t="inlineStr">
        <is>
          <t>Itagüí</t>
        </is>
      </c>
      <c r="F1914" t="inlineStr">
        <is>
          <t>PRY-006</t>
        </is>
      </c>
      <c r="G1914" t="inlineStr">
        <is>
          <t>Referido</t>
        </is>
      </c>
      <c r="H1914" t="inlineStr">
        <is>
          <t>Andrés Torres</t>
        </is>
      </c>
      <c r="I1914" t="inlineStr">
        <is>
          <t>Perdido</t>
        </is>
      </c>
      <c r="J1914" s="28" t="n">
        <v>45871</v>
      </c>
      <c r="K1914" s="28" t="n">
        <v>45881</v>
      </c>
      <c r="L1914" t="inlineStr">
        <is>
          <t>No calificó para crédito</t>
        </is>
      </c>
    </row>
    <row r="1915">
      <c r="A1915" t="inlineStr">
        <is>
          <t>CLI-1913</t>
        </is>
      </c>
      <c r="B1915" t="inlineStr">
        <is>
          <t>Fernando Vargas Salazar</t>
        </is>
      </c>
      <c r="C1915" t="inlineStr">
        <is>
          <t>3103933804</t>
        </is>
      </c>
      <c r="D1915" t="inlineStr">
        <is>
          <t>fernando.vargas55@outlook.com</t>
        </is>
      </c>
      <c r="E1915" t="inlineStr">
        <is>
          <t>Medellín</t>
        </is>
      </c>
      <c r="F1915" t="inlineStr">
        <is>
          <t>PRY-001</t>
        </is>
      </c>
      <c r="G1915" t="inlineStr">
        <is>
          <t>Feria Inmobiliaria</t>
        </is>
      </c>
      <c r="H1915" t="inlineStr">
        <is>
          <t>Andrés Torres</t>
        </is>
      </c>
      <c r="I1915" t="inlineStr">
        <is>
          <t>Ganado</t>
        </is>
      </c>
      <c r="J1915" s="28" t="n">
        <v>45872</v>
      </c>
      <c r="K1915" s="28" t="n">
        <v>45949</v>
      </c>
      <c r="L1915" t="inlineStr">
        <is>
          <t>Compró Apto 405 en Torres del Poblado</t>
        </is>
      </c>
    </row>
    <row r="1916">
      <c r="A1916" t="inlineStr">
        <is>
          <t>CLI-1914</t>
        </is>
      </c>
      <c r="B1916" t="inlineStr">
        <is>
          <t>José Henao Peláez</t>
        </is>
      </c>
      <c r="C1916" t="inlineStr">
        <is>
          <t>3146427294</t>
        </is>
      </c>
      <c r="D1916" t="inlineStr">
        <is>
          <t>jose.henao37@yahoo.com</t>
        </is>
      </c>
      <c r="E1916" t="inlineStr">
        <is>
          <t>Rionegro</t>
        </is>
      </c>
      <c r="F1916" t="inlineStr">
        <is>
          <t>PRY-005</t>
        </is>
      </c>
      <c r="G1916" t="inlineStr">
        <is>
          <t>Portal Web</t>
        </is>
      </c>
      <c r="H1916" t="inlineStr">
        <is>
          <t>Paula Arenas</t>
        </is>
      </c>
      <c r="I1916" t="inlineStr">
        <is>
          <t>Ganado</t>
        </is>
      </c>
      <c r="J1916" s="28" t="n">
        <v>45872</v>
      </c>
      <c r="K1916" s="28" t="n">
        <v>46024</v>
      </c>
      <c r="L1916" t="inlineStr">
        <is>
          <t>Compró Apto 1302 en Ciudadela Rionegro</t>
        </is>
      </c>
    </row>
    <row r="1917">
      <c r="A1917" t="inlineStr">
        <is>
          <t>CLI-1915</t>
        </is>
      </c>
      <c r="B1917" t="inlineStr">
        <is>
          <t>Carolina Bedoya Jaramillo</t>
        </is>
      </c>
      <c r="C1917" t="inlineStr">
        <is>
          <t>3179172043</t>
        </is>
      </c>
      <c r="D1917" t="inlineStr">
        <is>
          <t>carolina.bedoya13@hotmail.com</t>
        </is>
      </c>
      <c r="E1917" t="inlineStr">
        <is>
          <t>Envigado</t>
        </is>
      </c>
      <c r="F1917" t="inlineStr">
        <is>
          <t>PRY-003</t>
        </is>
      </c>
      <c r="G1917" t="inlineStr">
        <is>
          <t>Facebook</t>
        </is>
      </c>
      <c r="H1917" t="inlineStr">
        <is>
          <t>Luis Bedoya</t>
        </is>
      </c>
      <c r="I1917" t="inlineStr">
        <is>
          <t>Perdido</t>
        </is>
      </c>
      <c r="J1917" s="28" t="n">
        <v>45872</v>
      </c>
      <c r="K1917" s="28" t="n">
        <v>45930</v>
      </c>
      <c r="L1917" t="inlineStr">
        <is>
          <t>Eligió otro proyecto</t>
        </is>
      </c>
    </row>
    <row r="1918">
      <c r="A1918" t="inlineStr">
        <is>
          <t>CLI-1916</t>
        </is>
      </c>
      <c r="B1918" t="inlineStr">
        <is>
          <t>Mónica Higuita Agudelo</t>
        </is>
      </c>
      <c r="C1918" t="inlineStr">
        <is>
          <t>3234034233</t>
        </is>
      </c>
      <c r="D1918" t="inlineStr">
        <is>
          <t>monica.higuita60@hotmail.com</t>
        </is>
      </c>
      <c r="E1918" t="inlineStr">
        <is>
          <t>Medellín</t>
        </is>
      </c>
      <c r="F1918" t="inlineStr">
        <is>
          <t>PRY-003</t>
        </is>
      </c>
      <c r="G1918" t="inlineStr">
        <is>
          <t>Feria Inmobiliaria</t>
        </is>
      </c>
      <c r="H1918" t="inlineStr">
        <is>
          <t>Mateo Herrera</t>
        </is>
      </c>
      <c r="I1918" t="inlineStr">
        <is>
          <t>Perdido</t>
        </is>
      </c>
      <c r="J1918" s="28" t="n">
        <v>45872</v>
      </c>
      <c r="K1918" s="28" t="n">
        <v>45968</v>
      </c>
      <c r="L1918" t="inlineStr">
        <is>
          <t>No volvió a responder</t>
        </is>
      </c>
    </row>
    <row r="1919">
      <c r="A1919" t="inlineStr">
        <is>
          <t>CLI-1917</t>
        </is>
      </c>
      <c r="B1919" t="inlineStr">
        <is>
          <t>Daniela Restrepo Uribe</t>
        </is>
      </c>
      <c r="C1919" t="inlineStr">
        <is>
          <t>3223427022</t>
        </is>
      </c>
      <c r="D1919" t="inlineStr">
        <is>
          <t>daniela.restrepo60@yahoo.com</t>
        </is>
      </c>
      <c r="E1919" t="inlineStr">
        <is>
          <t>Medellín</t>
        </is>
      </c>
      <c r="F1919" t="inlineStr">
        <is>
          <t>PRY-003</t>
        </is>
      </c>
      <c r="G1919" t="inlineStr">
        <is>
          <t>Portal Web</t>
        </is>
      </c>
      <c r="H1919" t="inlineStr">
        <is>
          <t>Paula Arenas</t>
        </is>
      </c>
      <c r="I1919" t="inlineStr">
        <is>
          <t>Ganado</t>
        </is>
      </c>
      <c r="J1919" s="28" t="n">
        <v>45872</v>
      </c>
      <c r="K1919" s="28" t="n">
        <v>45993</v>
      </c>
      <c r="L1919" t="inlineStr">
        <is>
          <t>Compró Apto 2208 en Conecta Laureles</t>
        </is>
      </c>
    </row>
    <row r="1920">
      <c r="A1920" t="inlineStr">
        <is>
          <t>CLI-1918</t>
        </is>
      </c>
      <c r="B1920" t="inlineStr">
        <is>
          <t>Katherine Zuluaga Rojas</t>
        </is>
      </c>
      <c r="C1920" t="inlineStr">
        <is>
          <t>3138061728</t>
        </is>
      </c>
      <c r="D1920" t="inlineStr">
        <is>
          <t>katherine.zuluaga59@hotmail.com</t>
        </is>
      </c>
      <c r="E1920" t="inlineStr">
        <is>
          <t>Itagüí</t>
        </is>
      </c>
      <c r="F1920" t="inlineStr">
        <is>
          <t>PRY-008</t>
        </is>
      </c>
      <c r="G1920" t="inlineStr">
        <is>
          <t>Portal Web</t>
        </is>
      </c>
      <c r="H1920" t="inlineStr">
        <is>
          <t>Daniela Ríos</t>
        </is>
      </c>
      <c r="I1920" t="inlineStr">
        <is>
          <t>Perdido</t>
        </is>
      </c>
      <c r="J1920" s="28" t="n">
        <v>45872</v>
      </c>
      <c r="K1920" s="28" t="n">
        <v>45878</v>
      </c>
      <c r="L1920" t="inlineStr">
        <is>
          <t>Buscaba arriendo, no compra</t>
        </is>
      </c>
    </row>
    <row r="1921">
      <c r="A1921" t="inlineStr">
        <is>
          <t>CLI-1919</t>
        </is>
      </c>
      <c r="B1921" t="inlineStr">
        <is>
          <t>María Álvarez Escobar</t>
        </is>
      </c>
      <c r="C1921" t="inlineStr">
        <is>
          <t>3009774789</t>
        </is>
      </c>
      <c r="D1921" t="inlineStr">
        <is>
          <t>maria.alvarez20@gmail.com</t>
        </is>
      </c>
      <c r="E1921" t="inlineStr">
        <is>
          <t>Bello</t>
        </is>
      </c>
      <c r="F1921" t="inlineStr">
        <is>
          <t>PRY-002</t>
        </is>
      </c>
      <c r="G1921" t="inlineStr">
        <is>
          <t>Facebook</t>
        </is>
      </c>
      <c r="H1921" t="inlineStr">
        <is>
          <t>Sofía Prada</t>
        </is>
      </c>
      <c r="I1921" t="inlineStr">
        <is>
          <t>Perdido</t>
        </is>
      </c>
      <c r="J1921" s="28" t="n">
        <v>45872</v>
      </c>
      <c r="K1921" s="28" t="n">
        <v>45892</v>
      </c>
      <c r="L1921" t="inlineStr">
        <is>
          <t>Presupuesto insuficiente</t>
        </is>
      </c>
    </row>
    <row r="1922">
      <c r="A1922" t="inlineStr">
        <is>
          <t>CLI-1920</t>
        </is>
      </c>
      <c r="B1922" t="inlineStr">
        <is>
          <t>Carlos Montes Espinosa</t>
        </is>
      </c>
      <c r="C1922" t="inlineStr">
        <is>
          <t>3142109210</t>
        </is>
      </c>
      <c r="D1922" t="inlineStr">
        <is>
          <t>carlos.montes6@outlook.com</t>
        </is>
      </c>
      <c r="E1922" t="inlineStr">
        <is>
          <t>Medellín</t>
        </is>
      </c>
      <c r="F1922" t="inlineStr">
        <is>
          <t>PRY-003</t>
        </is>
      </c>
      <c r="G1922" t="inlineStr">
        <is>
          <t>Llamada directa</t>
        </is>
      </c>
      <c r="H1922" t="inlineStr">
        <is>
          <t>Andrés Torres</t>
        </is>
      </c>
      <c r="I1922" t="inlineStr">
        <is>
          <t>Perdido</t>
        </is>
      </c>
      <c r="J1922" s="28" t="n">
        <v>45872</v>
      </c>
      <c r="K1922" s="28" t="n">
        <v>45890</v>
      </c>
      <c r="L1922" t="inlineStr">
        <is>
          <t>Buscaba arriendo, no compra</t>
        </is>
      </c>
    </row>
    <row r="1923">
      <c r="A1923" t="inlineStr">
        <is>
          <t>CLI-1921</t>
        </is>
      </c>
      <c r="B1923" t="inlineStr">
        <is>
          <t>Natalia Franco Rojas</t>
        </is>
      </c>
      <c r="C1923" t="inlineStr">
        <is>
          <t>3154030904</t>
        </is>
      </c>
      <c r="D1923" t="inlineStr">
        <is>
          <t>natalia.franco44@gmail.com</t>
        </is>
      </c>
      <c r="E1923" t="inlineStr">
        <is>
          <t>Envigado</t>
        </is>
      </c>
      <c r="F1923" t="inlineStr">
        <is>
          <t>PRY-007</t>
        </is>
      </c>
      <c r="G1923" t="inlineStr">
        <is>
          <t>Portal Web</t>
        </is>
      </c>
      <c r="H1923" t="inlineStr">
        <is>
          <t>Juliana Vélez</t>
        </is>
      </c>
      <c r="I1923" t="inlineStr">
        <is>
          <t>Perdido</t>
        </is>
      </c>
      <c r="J1923" s="28" t="n">
        <v>45872</v>
      </c>
      <c r="K1923" s="28" t="n">
        <v>45879</v>
      </c>
      <c r="L1923" t="inlineStr">
        <is>
          <t>No calificó para crédito</t>
        </is>
      </c>
    </row>
    <row r="1924">
      <c r="A1924" t="inlineStr">
        <is>
          <t>CLI-1922</t>
        </is>
      </c>
      <c r="B1924" t="inlineStr">
        <is>
          <t>Mateo Franco Vélez</t>
        </is>
      </c>
      <c r="C1924" t="inlineStr">
        <is>
          <t>3247587234</t>
        </is>
      </c>
      <c r="D1924" t="inlineStr">
        <is>
          <t>mateo.franco13@gmail.com</t>
        </is>
      </c>
      <c r="E1924" t="inlineStr">
        <is>
          <t>Medellín</t>
        </is>
      </c>
      <c r="F1924" t="inlineStr">
        <is>
          <t>PRY-003</t>
        </is>
      </c>
      <c r="G1924" t="inlineStr">
        <is>
          <t>Portal Web</t>
        </is>
      </c>
      <c r="H1924" t="inlineStr">
        <is>
          <t>Luis Bedoya</t>
        </is>
      </c>
      <c r="I1924" t="inlineStr">
        <is>
          <t>Perdido</t>
        </is>
      </c>
      <c r="J1924" s="28" t="n">
        <v>45873</v>
      </c>
      <c r="K1924" s="28" t="n">
        <v>45917</v>
      </c>
      <c r="L1924" t="inlineStr">
        <is>
          <t>Eligió otro proyecto</t>
        </is>
      </c>
    </row>
    <row r="1925">
      <c r="A1925" t="inlineStr">
        <is>
          <t>CLI-1923</t>
        </is>
      </c>
      <c r="B1925" t="inlineStr">
        <is>
          <t>Mauricio Toro Montoya</t>
        </is>
      </c>
      <c r="C1925" t="inlineStr">
        <is>
          <t>3157656116</t>
        </is>
      </c>
      <c r="D1925" t="inlineStr">
        <is>
          <t>mauricio.toro61@yahoo.com</t>
        </is>
      </c>
      <c r="E1925" t="inlineStr">
        <is>
          <t>Medellín</t>
        </is>
      </c>
      <c r="F1925" t="inlineStr">
        <is>
          <t>PRY-002</t>
        </is>
      </c>
      <c r="G1925" t="inlineStr">
        <is>
          <t>Portal Web</t>
        </is>
      </c>
      <c r="H1925" t="inlineStr">
        <is>
          <t>Mateo Herrera</t>
        </is>
      </c>
      <c r="I1925" t="inlineStr">
        <is>
          <t>Ganado</t>
        </is>
      </c>
      <c r="J1925" s="28" t="n">
        <v>45873</v>
      </c>
      <c r="K1925" s="28" t="n">
        <v>45974</v>
      </c>
      <c r="L1925" t="inlineStr">
        <is>
          <t>Compró Casa 29 en Reserva Santa Elena</t>
        </is>
      </c>
    </row>
    <row r="1926">
      <c r="A1926" t="inlineStr">
        <is>
          <t>CLI-1924</t>
        </is>
      </c>
      <c r="B1926" t="inlineStr">
        <is>
          <t>Hernán Uribe Quintero</t>
        </is>
      </c>
      <c r="C1926" t="inlineStr">
        <is>
          <t>3175604012</t>
        </is>
      </c>
      <c r="D1926" t="inlineStr">
        <is>
          <t>hernan.uribe52@hotmail.com</t>
        </is>
      </c>
      <c r="E1926" t="inlineStr">
        <is>
          <t>Medellín</t>
        </is>
      </c>
      <c r="F1926" t="inlineStr">
        <is>
          <t>PRY-003</t>
        </is>
      </c>
      <c r="G1926" t="inlineStr">
        <is>
          <t>Portal Web</t>
        </is>
      </c>
      <c r="H1926" t="inlineStr">
        <is>
          <t>Luis Bedoya</t>
        </is>
      </c>
      <c r="I1926" t="inlineStr">
        <is>
          <t>Perdido</t>
        </is>
      </c>
      <c r="J1926" s="28" t="n">
        <v>45873</v>
      </c>
      <c r="K1926" s="28" t="n">
        <v>45963</v>
      </c>
      <c r="L1926" t="inlineStr">
        <is>
          <t>Cambió de ciudad</t>
        </is>
      </c>
    </row>
    <row r="1927">
      <c r="A1927" t="inlineStr">
        <is>
          <t>CLI-1925</t>
        </is>
      </c>
      <c r="B1927" t="inlineStr">
        <is>
          <t>Sandra Osorio Toro</t>
        </is>
      </c>
      <c r="C1927" t="inlineStr">
        <is>
          <t>3156464450</t>
        </is>
      </c>
      <c r="D1927" t="inlineStr">
        <is>
          <t>sandra.osorio77@hotmail.com</t>
        </is>
      </c>
      <c r="E1927" t="inlineStr">
        <is>
          <t>Medellín</t>
        </is>
      </c>
      <c r="F1927" t="inlineStr">
        <is>
          <t>PRY-001</t>
        </is>
      </c>
      <c r="G1927" t="inlineStr">
        <is>
          <t>Feria Inmobiliaria</t>
        </is>
      </c>
      <c r="H1927" t="inlineStr">
        <is>
          <t>Luis Bedoya</t>
        </is>
      </c>
      <c r="I1927" t="inlineStr">
        <is>
          <t>Ganado</t>
        </is>
      </c>
      <c r="J1927" s="28" t="n">
        <v>45873</v>
      </c>
      <c r="K1927" s="28" t="n">
        <v>46033</v>
      </c>
      <c r="L1927" t="inlineStr">
        <is>
          <t>Compró Apto 1705 en Torres del Poblado</t>
        </is>
      </c>
    </row>
    <row r="1928">
      <c r="A1928" t="inlineStr">
        <is>
          <t>CLI-1926</t>
        </is>
      </c>
      <c r="B1928" t="inlineStr">
        <is>
          <t>Carlos Salazar Montoya</t>
        </is>
      </c>
      <c r="C1928" t="inlineStr">
        <is>
          <t>3109071097</t>
        </is>
      </c>
      <c r="D1928" t="inlineStr">
        <is>
          <t>carlos.salazar2@gmail.com</t>
        </is>
      </c>
      <c r="E1928" t="inlineStr">
        <is>
          <t>La Estrella</t>
        </is>
      </c>
      <c r="F1928" t="inlineStr">
        <is>
          <t>PRY-007</t>
        </is>
      </c>
      <c r="G1928" t="inlineStr">
        <is>
          <t>Portal Web</t>
        </is>
      </c>
      <c r="H1928" t="inlineStr">
        <is>
          <t>Paula Arenas</t>
        </is>
      </c>
      <c r="I1928" t="inlineStr">
        <is>
          <t>Perdido</t>
        </is>
      </c>
      <c r="J1928" s="28" t="n">
        <v>45873</v>
      </c>
      <c r="K1928" s="28" t="n">
        <v>45884</v>
      </c>
      <c r="L1928" t="inlineStr">
        <is>
          <t>Presupuesto insuficiente</t>
        </is>
      </c>
    </row>
    <row r="1929">
      <c r="A1929" t="inlineStr">
        <is>
          <t>CLI-1927</t>
        </is>
      </c>
      <c r="B1929" t="inlineStr">
        <is>
          <t>Nicolás Uribe Vargas</t>
        </is>
      </c>
      <c r="C1929" t="inlineStr">
        <is>
          <t>3205416173</t>
        </is>
      </c>
      <c r="D1929" t="inlineStr">
        <is>
          <t>nicolas.uribe7@gmail.com</t>
        </is>
      </c>
      <c r="E1929" t="inlineStr">
        <is>
          <t>Rionegro</t>
        </is>
      </c>
      <c r="F1929" t="inlineStr">
        <is>
          <t>PRY-005</t>
        </is>
      </c>
      <c r="G1929" t="inlineStr">
        <is>
          <t>Facebook</t>
        </is>
      </c>
      <c r="H1929" t="inlineStr">
        <is>
          <t>Luis Bedoya</t>
        </is>
      </c>
      <c r="I1929" t="inlineStr">
        <is>
          <t>Perdido</t>
        </is>
      </c>
      <c r="J1929" s="28" t="n">
        <v>45874</v>
      </c>
      <c r="K1929" s="28" t="n">
        <v>45959</v>
      </c>
      <c r="L1929" t="inlineStr">
        <is>
          <t>Cambió de ciudad</t>
        </is>
      </c>
    </row>
    <row r="1930">
      <c r="A1930" t="inlineStr">
        <is>
          <t>CLI-1928</t>
        </is>
      </c>
      <c r="B1930" t="inlineStr">
        <is>
          <t>Patricia Vásquez Zapata</t>
        </is>
      </c>
      <c r="C1930" t="inlineStr">
        <is>
          <t>3104213240</t>
        </is>
      </c>
      <c r="D1930" t="inlineStr">
        <is>
          <t>patricia.vasquez17@outlook.com</t>
        </is>
      </c>
      <c r="E1930" t="inlineStr">
        <is>
          <t>Rionegro</t>
        </is>
      </c>
      <c r="F1930" t="inlineStr">
        <is>
          <t>PRY-007</t>
        </is>
      </c>
      <c r="G1930" t="inlineStr">
        <is>
          <t>Portal Web</t>
        </is>
      </c>
      <c r="H1930" t="inlineStr">
        <is>
          <t>Luis Bedoya</t>
        </is>
      </c>
      <c r="I1930" t="inlineStr">
        <is>
          <t>Ganado</t>
        </is>
      </c>
      <c r="J1930" s="28" t="n">
        <v>45874</v>
      </c>
      <c r="K1930" s="28" t="n">
        <v>45971</v>
      </c>
      <c r="L1930" t="inlineStr">
        <is>
          <t>Compró Apto 1003 en Mirador de Envigado</t>
        </is>
      </c>
    </row>
    <row r="1931">
      <c r="A1931" t="inlineStr">
        <is>
          <t>CLI-1929</t>
        </is>
      </c>
      <c r="B1931" t="inlineStr">
        <is>
          <t>Hernán Mejía Vélez</t>
        </is>
      </c>
      <c r="C1931" t="inlineStr">
        <is>
          <t>3223468459</t>
        </is>
      </c>
      <c r="D1931" t="inlineStr">
        <is>
          <t>hernan.mejia6@gmail.com</t>
        </is>
      </c>
      <c r="E1931" t="inlineStr">
        <is>
          <t>Itagüí</t>
        </is>
      </c>
      <c r="F1931" t="inlineStr">
        <is>
          <t>PRY-008</t>
        </is>
      </c>
      <c r="G1931" t="inlineStr">
        <is>
          <t>Portal Web</t>
        </is>
      </c>
      <c r="H1931" t="inlineStr">
        <is>
          <t>Luis Bedoya</t>
        </is>
      </c>
      <c r="I1931" t="inlineStr">
        <is>
          <t>Perdido</t>
        </is>
      </c>
      <c r="J1931" s="28" t="n">
        <v>45875</v>
      </c>
      <c r="K1931" s="28" t="n">
        <v>45925</v>
      </c>
      <c r="L1931" t="inlineStr">
        <is>
          <t>Eligió otro proyecto</t>
        </is>
      </c>
    </row>
    <row r="1932">
      <c r="A1932" t="inlineStr">
        <is>
          <t>CLI-1930</t>
        </is>
      </c>
      <c r="B1932" t="inlineStr">
        <is>
          <t>Felipe Correa Bedoya</t>
        </is>
      </c>
      <c r="C1932" t="inlineStr">
        <is>
          <t>3104565211</t>
        </is>
      </c>
      <c r="D1932" t="inlineStr">
        <is>
          <t>felipe.correa34@yahoo.com</t>
        </is>
      </c>
      <c r="E1932" t="inlineStr">
        <is>
          <t>Bello</t>
        </is>
      </c>
      <c r="F1932" t="inlineStr">
        <is>
          <t>PRY-005</t>
        </is>
      </c>
      <c r="G1932" t="inlineStr">
        <is>
          <t>Feria Inmobiliaria</t>
        </is>
      </c>
      <c r="H1932" t="inlineStr">
        <is>
          <t>Juliana Vélez</t>
        </is>
      </c>
      <c r="I1932" t="inlineStr">
        <is>
          <t>Perdido</t>
        </is>
      </c>
      <c r="J1932" s="28" t="n">
        <v>45875</v>
      </c>
      <c r="K1932" s="28" t="n">
        <v>45897</v>
      </c>
      <c r="L1932" t="inlineStr">
        <is>
          <t>Presupuesto insuficiente</t>
        </is>
      </c>
    </row>
    <row r="1933">
      <c r="A1933" t="inlineStr">
        <is>
          <t>CLI-1931</t>
        </is>
      </c>
      <c r="B1933" t="inlineStr">
        <is>
          <t>Mauricio Sánchez Pérez</t>
        </is>
      </c>
      <c r="C1933" t="inlineStr">
        <is>
          <t>3132944616</t>
        </is>
      </c>
      <c r="D1933" t="inlineStr">
        <is>
          <t>mauricio.sanchez28@yahoo.com</t>
        </is>
      </c>
      <c r="E1933" t="inlineStr">
        <is>
          <t>Bello</t>
        </is>
      </c>
      <c r="F1933" t="inlineStr">
        <is>
          <t>PRY-001</t>
        </is>
      </c>
      <c r="G1933" t="inlineStr">
        <is>
          <t>Instagram</t>
        </is>
      </c>
      <c r="H1933" t="inlineStr">
        <is>
          <t>Paula Arenas</t>
        </is>
      </c>
      <c r="I1933" t="inlineStr">
        <is>
          <t>Perdido</t>
        </is>
      </c>
      <c r="J1933" s="28" t="n">
        <v>45876</v>
      </c>
      <c r="K1933" s="28" t="n">
        <v>45889</v>
      </c>
      <c r="L1933" t="inlineStr">
        <is>
          <t>Sin respuesta tras 3 contactos</t>
        </is>
      </c>
    </row>
    <row r="1934">
      <c r="A1934" t="inlineStr">
        <is>
          <t>CLI-1932</t>
        </is>
      </c>
      <c r="B1934" t="inlineStr">
        <is>
          <t>Diego Uribe Quintero</t>
        </is>
      </c>
      <c r="C1934" t="inlineStr">
        <is>
          <t>3131144651</t>
        </is>
      </c>
      <c r="D1934" t="inlineStr">
        <is>
          <t>diego.uribe78@hotmail.com</t>
        </is>
      </c>
      <c r="E1934" t="inlineStr">
        <is>
          <t>Medellín</t>
        </is>
      </c>
      <c r="F1934" t="inlineStr">
        <is>
          <t>PRY-001</t>
        </is>
      </c>
      <c r="G1934" t="inlineStr">
        <is>
          <t>Instagram</t>
        </is>
      </c>
      <c r="H1934" t="inlineStr">
        <is>
          <t>Sofía Prada</t>
        </is>
      </c>
      <c r="I1934" t="inlineStr">
        <is>
          <t>Perdido</t>
        </is>
      </c>
      <c r="J1934" s="28" t="n">
        <v>45876</v>
      </c>
      <c r="K1934" s="28" t="n">
        <v>45902</v>
      </c>
      <c r="L1934" t="inlineStr">
        <is>
          <t>Sin respuesta tras 3 contactos</t>
        </is>
      </c>
    </row>
    <row r="1935">
      <c r="A1935" t="inlineStr">
        <is>
          <t>CLI-1933</t>
        </is>
      </c>
      <c r="B1935" t="inlineStr">
        <is>
          <t>Laura Henao Mejía</t>
        </is>
      </c>
      <c r="C1935" t="inlineStr">
        <is>
          <t>3141338863</t>
        </is>
      </c>
      <c r="D1935" t="inlineStr">
        <is>
          <t>laura.henao25@yahoo.com</t>
        </is>
      </c>
      <c r="E1935" t="inlineStr">
        <is>
          <t>La Estrella</t>
        </is>
      </c>
      <c r="F1935" t="inlineStr">
        <is>
          <t>PRY-001</t>
        </is>
      </c>
      <c r="G1935" t="inlineStr">
        <is>
          <t>Instagram</t>
        </is>
      </c>
      <c r="H1935" t="inlineStr">
        <is>
          <t>Mateo Herrera</t>
        </is>
      </c>
      <c r="I1935" t="inlineStr">
        <is>
          <t>Perdido</t>
        </is>
      </c>
      <c r="J1935" s="28" t="n">
        <v>45876</v>
      </c>
      <c r="K1935" s="28" t="n">
        <v>45906</v>
      </c>
      <c r="L1935" t="inlineStr">
        <is>
          <t>Datos de contacto errados</t>
        </is>
      </c>
    </row>
    <row r="1936">
      <c r="A1936" t="inlineStr">
        <is>
          <t>CLI-1934</t>
        </is>
      </c>
      <c r="B1936" t="inlineStr">
        <is>
          <t>Liliana Marín Henao</t>
        </is>
      </c>
      <c r="C1936" t="inlineStr">
        <is>
          <t>3209656729</t>
        </is>
      </c>
      <c r="D1936" t="inlineStr">
        <is>
          <t>liliana.marin94@yahoo.com</t>
        </is>
      </c>
      <c r="E1936" t="inlineStr">
        <is>
          <t>Medellín</t>
        </is>
      </c>
      <c r="F1936" t="inlineStr">
        <is>
          <t>PRY-003</t>
        </is>
      </c>
      <c r="G1936" t="inlineStr">
        <is>
          <t>Portal Web</t>
        </is>
      </c>
      <c r="H1936" t="inlineStr">
        <is>
          <t>Sofía Prada</t>
        </is>
      </c>
      <c r="I1936" t="inlineStr">
        <is>
          <t>Ganado</t>
        </is>
      </c>
      <c r="J1936" s="28" t="n">
        <v>45877</v>
      </c>
      <c r="K1936" s="28" t="n">
        <v>45995</v>
      </c>
      <c r="L1936" t="inlineStr">
        <is>
          <t>Compró Apto 2507 en Conecta Laureles</t>
        </is>
      </c>
    </row>
    <row r="1937">
      <c r="A1937" t="inlineStr">
        <is>
          <t>CLI-1935</t>
        </is>
      </c>
      <c r="B1937" t="inlineStr">
        <is>
          <t>Hernán Hernández Uribe</t>
        </is>
      </c>
      <c r="C1937" t="inlineStr">
        <is>
          <t>3249698753</t>
        </is>
      </c>
      <c r="D1937" t="inlineStr">
        <is>
          <t>hernan.hernandez75@gmail.com</t>
        </is>
      </c>
      <c r="E1937" t="inlineStr">
        <is>
          <t>Envigado</t>
        </is>
      </c>
      <c r="F1937" t="inlineStr">
        <is>
          <t>PRY-007</t>
        </is>
      </c>
      <c r="G1937" t="inlineStr">
        <is>
          <t>Facebook</t>
        </is>
      </c>
      <c r="H1937" t="inlineStr">
        <is>
          <t>Luis Bedoya</t>
        </is>
      </c>
      <c r="I1937" t="inlineStr">
        <is>
          <t>Perdido</t>
        </is>
      </c>
      <c r="J1937" s="28" t="n">
        <v>45878</v>
      </c>
      <c r="K1937" s="28" t="n">
        <v>45896</v>
      </c>
      <c r="L1937" t="inlineStr">
        <is>
          <t>Buscaba arriendo, no compra</t>
        </is>
      </c>
    </row>
    <row r="1938">
      <c r="A1938" t="inlineStr">
        <is>
          <t>CLI-1936</t>
        </is>
      </c>
      <c r="B1938" t="inlineStr">
        <is>
          <t>Ricardo Rojas Londoño</t>
        </is>
      </c>
      <c r="C1938" t="inlineStr">
        <is>
          <t>3148920105</t>
        </is>
      </c>
      <c r="D1938" t="inlineStr">
        <is>
          <t>ricardo.rojas70@gmail.com</t>
        </is>
      </c>
      <c r="E1938" t="inlineStr">
        <is>
          <t>Medellín</t>
        </is>
      </c>
      <c r="F1938" t="inlineStr">
        <is>
          <t>PRY-001</t>
        </is>
      </c>
      <c r="G1938" t="inlineStr">
        <is>
          <t>Portal Web</t>
        </is>
      </c>
      <c r="H1938" t="inlineStr">
        <is>
          <t>Sofía Prada</t>
        </is>
      </c>
      <c r="I1938" t="inlineStr">
        <is>
          <t>Perdido</t>
        </is>
      </c>
      <c r="J1938" s="28" t="n">
        <v>45878</v>
      </c>
      <c r="K1938" s="28" t="n">
        <v>45889</v>
      </c>
      <c r="L1938" t="inlineStr">
        <is>
          <t>Sin respuesta tras 3 contactos</t>
        </is>
      </c>
    </row>
    <row r="1939">
      <c r="A1939" t="inlineStr">
        <is>
          <t>CLI-1937</t>
        </is>
      </c>
      <c r="B1939" t="inlineStr">
        <is>
          <t>Fernando Álvarez Cano</t>
        </is>
      </c>
      <c r="C1939" t="inlineStr">
        <is>
          <t>3001611484</t>
        </is>
      </c>
      <c r="D1939" t="inlineStr">
        <is>
          <t>fernando.alvarez36@outlook.com</t>
        </is>
      </c>
      <c r="E1939" t="inlineStr">
        <is>
          <t>Medellín</t>
        </is>
      </c>
      <c r="F1939" t="inlineStr">
        <is>
          <t>PRY-001</t>
        </is>
      </c>
      <c r="G1939" t="inlineStr">
        <is>
          <t>Portal Web</t>
        </is>
      </c>
      <c r="H1939" t="inlineStr">
        <is>
          <t>Santiago Muñoz</t>
        </is>
      </c>
      <c r="I1939" t="inlineStr">
        <is>
          <t>Ganado</t>
        </is>
      </c>
      <c r="J1939" s="28" t="n">
        <v>45879</v>
      </c>
      <c r="K1939" s="28" t="n">
        <v>45976</v>
      </c>
      <c r="L1939" t="inlineStr">
        <is>
          <t>Compró Apto 1902 en Torres del Poblado</t>
        </is>
      </c>
    </row>
    <row r="1940">
      <c r="A1940" t="inlineStr">
        <is>
          <t>CLI-1938</t>
        </is>
      </c>
      <c r="B1940" t="inlineStr">
        <is>
          <t>Valeria Salazar Ríos</t>
        </is>
      </c>
      <c r="C1940" t="inlineStr">
        <is>
          <t>3134261215</t>
        </is>
      </c>
      <c r="D1940" t="inlineStr">
        <is>
          <t>valeria.salazar33@hotmail.com</t>
        </is>
      </c>
      <c r="E1940" t="inlineStr">
        <is>
          <t>Medellín</t>
        </is>
      </c>
      <c r="F1940" t="inlineStr">
        <is>
          <t>PRY-001</t>
        </is>
      </c>
      <c r="G1940" t="inlineStr">
        <is>
          <t>Instagram</t>
        </is>
      </c>
      <c r="H1940" t="inlineStr">
        <is>
          <t>Miguel Salazar</t>
        </is>
      </c>
      <c r="I1940" t="inlineStr">
        <is>
          <t>Perdido</t>
        </is>
      </c>
      <c r="J1940" s="28" t="n">
        <v>45879</v>
      </c>
      <c r="K1940" s="28" t="n">
        <v>45887</v>
      </c>
      <c r="L1940" t="inlineStr">
        <is>
          <t>No calificó para crédito</t>
        </is>
      </c>
    </row>
    <row r="1941">
      <c r="A1941" t="inlineStr">
        <is>
          <t>CLI-1939</t>
        </is>
      </c>
      <c r="B1941" t="inlineStr">
        <is>
          <t>Alejandro Escobar Muñoz</t>
        </is>
      </c>
      <c r="C1941" t="inlineStr">
        <is>
          <t>3177410510</t>
        </is>
      </c>
      <c r="D1941" t="inlineStr">
        <is>
          <t>alejandro.escobar21@hotmail.com</t>
        </is>
      </c>
      <c r="E1941" t="inlineStr">
        <is>
          <t>La Estrella</t>
        </is>
      </c>
      <c r="F1941" t="inlineStr">
        <is>
          <t>PRY-002</t>
        </is>
      </c>
      <c r="G1941" t="inlineStr">
        <is>
          <t>Instagram</t>
        </is>
      </c>
      <c r="H1941" t="inlineStr">
        <is>
          <t>Juliana Vélez</t>
        </is>
      </c>
      <c r="I1941" t="inlineStr">
        <is>
          <t>Perdido</t>
        </is>
      </c>
      <c r="J1941" s="28" t="n">
        <v>45879</v>
      </c>
      <c r="K1941" s="28" t="n">
        <v>45908</v>
      </c>
      <c r="L1941" t="inlineStr">
        <is>
          <t>Sin respuesta tras 3 contactos</t>
        </is>
      </c>
    </row>
    <row r="1942">
      <c r="A1942" t="inlineStr">
        <is>
          <t>CLI-1940</t>
        </is>
      </c>
      <c r="B1942" t="inlineStr">
        <is>
          <t>Juliana Echeverri Restrepo</t>
        </is>
      </c>
      <c r="C1942" t="inlineStr">
        <is>
          <t>3242152775</t>
        </is>
      </c>
      <c r="D1942" t="inlineStr">
        <is>
          <t>juliana.echeverri14@outlook.com</t>
        </is>
      </c>
      <c r="E1942" t="inlineStr">
        <is>
          <t>La Estrella</t>
        </is>
      </c>
      <c r="F1942" t="inlineStr">
        <is>
          <t>PRY-005</t>
        </is>
      </c>
      <c r="G1942" t="inlineStr">
        <is>
          <t>Portal Web</t>
        </is>
      </c>
      <c r="H1942" t="inlineStr">
        <is>
          <t>Luis Bedoya</t>
        </is>
      </c>
      <c r="I1942" t="inlineStr">
        <is>
          <t>Perdido</t>
        </is>
      </c>
      <c r="J1942" s="28" t="n">
        <v>45879</v>
      </c>
      <c r="K1942" s="28" t="n">
        <v>45887</v>
      </c>
      <c r="L1942" t="inlineStr">
        <is>
          <t>No calificó para crédito</t>
        </is>
      </c>
    </row>
    <row r="1943">
      <c r="A1943" t="inlineStr">
        <is>
          <t>CLI-1941</t>
        </is>
      </c>
      <c r="B1943" t="inlineStr">
        <is>
          <t>Nicolás Ramírez Palacio</t>
        </is>
      </c>
      <c r="C1943" t="inlineStr">
        <is>
          <t>3108210357</t>
        </is>
      </c>
      <c r="D1943" t="inlineStr">
        <is>
          <t>nicolas.ramirez34@yahoo.com</t>
        </is>
      </c>
      <c r="E1943" t="inlineStr">
        <is>
          <t>Rionegro</t>
        </is>
      </c>
      <c r="F1943" t="inlineStr">
        <is>
          <t>PRY-002</t>
        </is>
      </c>
      <c r="G1943" t="inlineStr">
        <is>
          <t>Llamada directa</t>
        </is>
      </c>
      <c r="H1943" t="inlineStr">
        <is>
          <t>Luis Bedoya</t>
        </is>
      </c>
      <c r="I1943" t="inlineStr">
        <is>
          <t>Perdido</t>
        </is>
      </c>
      <c r="J1943" s="28" t="n">
        <v>45879</v>
      </c>
      <c r="K1943" s="28" t="n">
        <v>45894</v>
      </c>
      <c r="L1943" t="inlineStr">
        <is>
          <t>No calificó para crédito</t>
        </is>
      </c>
    </row>
    <row r="1944">
      <c r="A1944" t="inlineStr">
        <is>
          <t>CLI-1942</t>
        </is>
      </c>
      <c r="B1944" t="inlineStr">
        <is>
          <t>Gabriel Zuluaga Cifuentes</t>
        </is>
      </c>
      <c r="C1944" t="inlineStr">
        <is>
          <t>3225991400</t>
        </is>
      </c>
      <c r="D1944" t="inlineStr">
        <is>
          <t>gabriel.zuluaga89@gmail.com</t>
        </is>
      </c>
      <c r="E1944" t="inlineStr">
        <is>
          <t>Medellín</t>
        </is>
      </c>
      <c r="F1944" t="inlineStr">
        <is>
          <t>PRY-002</t>
        </is>
      </c>
      <c r="G1944" t="inlineStr">
        <is>
          <t>Instagram</t>
        </is>
      </c>
      <c r="H1944" t="inlineStr">
        <is>
          <t>Mateo Herrera</t>
        </is>
      </c>
      <c r="I1944" t="inlineStr">
        <is>
          <t>Perdido</t>
        </is>
      </c>
      <c r="J1944" s="28" t="n">
        <v>45879</v>
      </c>
      <c r="K1944" s="28" t="n">
        <v>45900</v>
      </c>
      <c r="L1944" t="inlineStr">
        <is>
          <t>Sin respuesta tras 3 contactos</t>
        </is>
      </c>
    </row>
    <row r="1945">
      <c r="A1945" t="inlineStr">
        <is>
          <t>CLI-1943</t>
        </is>
      </c>
      <c r="B1945" t="inlineStr">
        <is>
          <t>Esteban Zuluaga Palacio</t>
        </is>
      </c>
      <c r="C1945" t="inlineStr">
        <is>
          <t>3049270146</t>
        </is>
      </c>
      <c r="D1945" t="inlineStr">
        <is>
          <t>esteban.zuluaga10@gmail.com</t>
        </is>
      </c>
      <c r="E1945" t="inlineStr">
        <is>
          <t>Itagüí</t>
        </is>
      </c>
      <c r="F1945" t="inlineStr">
        <is>
          <t>PRY-008</t>
        </is>
      </c>
      <c r="G1945" t="inlineStr">
        <is>
          <t>Portal Web</t>
        </is>
      </c>
      <c r="H1945" t="inlineStr">
        <is>
          <t>Paula Arenas</t>
        </is>
      </c>
      <c r="I1945" t="inlineStr">
        <is>
          <t>Ganado</t>
        </is>
      </c>
      <c r="J1945" s="28" t="n">
        <v>45880</v>
      </c>
      <c r="K1945" s="28" t="n">
        <v>45979</v>
      </c>
      <c r="L1945" t="inlineStr">
        <is>
          <t>Compró Casa 19 en Valle Verde Itagüí</t>
        </is>
      </c>
    </row>
    <row r="1946">
      <c r="A1946" t="inlineStr">
        <is>
          <t>CLI-1944</t>
        </is>
      </c>
      <c r="B1946" t="inlineStr">
        <is>
          <t>Emilio Rojas Hernández</t>
        </is>
      </c>
      <c r="C1946" t="inlineStr">
        <is>
          <t>3017997357</t>
        </is>
      </c>
      <c r="D1946" t="inlineStr">
        <is>
          <t>emilio.rojas91@outlook.com</t>
        </is>
      </c>
      <c r="E1946" t="inlineStr">
        <is>
          <t>Envigado</t>
        </is>
      </c>
      <c r="F1946" t="inlineStr">
        <is>
          <t>PRY-006</t>
        </is>
      </c>
      <c r="G1946" t="inlineStr">
        <is>
          <t>Facebook</t>
        </is>
      </c>
      <c r="H1946" t="inlineStr">
        <is>
          <t>Paula Arenas</t>
        </is>
      </c>
      <c r="I1946" t="inlineStr">
        <is>
          <t>Perdido</t>
        </is>
      </c>
      <c r="J1946" s="28" t="n">
        <v>45880</v>
      </c>
      <c r="K1946" s="28" t="n">
        <v>45888</v>
      </c>
      <c r="L1946" t="inlineStr">
        <is>
          <t>Presupuesto insuficiente</t>
        </is>
      </c>
    </row>
    <row r="1947">
      <c r="A1947" t="inlineStr">
        <is>
          <t>CLI-1945</t>
        </is>
      </c>
      <c r="B1947" t="inlineStr">
        <is>
          <t>Sebastián Zapata Vélez</t>
        </is>
      </c>
      <c r="C1947" t="inlineStr">
        <is>
          <t>3157571741</t>
        </is>
      </c>
      <c r="D1947" t="inlineStr">
        <is>
          <t>sebastian.zapata6@outlook.com</t>
        </is>
      </c>
      <c r="E1947" t="inlineStr">
        <is>
          <t>Rionegro</t>
        </is>
      </c>
      <c r="F1947" t="inlineStr">
        <is>
          <t>PRY-003</t>
        </is>
      </c>
      <c r="G1947" t="inlineStr">
        <is>
          <t>Facebook</t>
        </is>
      </c>
      <c r="H1947" t="inlineStr">
        <is>
          <t>Paula Arenas</t>
        </is>
      </c>
      <c r="I1947" t="inlineStr">
        <is>
          <t>Perdido</t>
        </is>
      </c>
      <c r="J1947" s="28" t="n">
        <v>45881</v>
      </c>
      <c r="K1947" s="28" t="n">
        <v>45889</v>
      </c>
      <c r="L1947" t="inlineStr">
        <is>
          <t>Sin respuesta tras 3 contactos</t>
        </is>
      </c>
    </row>
    <row r="1948">
      <c r="A1948" t="inlineStr">
        <is>
          <t>CLI-1946</t>
        </is>
      </c>
      <c r="B1948" t="inlineStr">
        <is>
          <t>Alejandra Palacio Vásquez</t>
        </is>
      </c>
      <c r="C1948" t="inlineStr">
        <is>
          <t>3042116472</t>
        </is>
      </c>
      <c r="D1948" t="inlineStr">
        <is>
          <t>alejandra.palacio79@outlook.com</t>
        </is>
      </c>
      <c r="E1948" t="inlineStr">
        <is>
          <t>Envigado</t>
        </is>
      </c>
      <c r="F1948" t="inlineStr">
        <is>
          <t>PRY-007</t>
        </is>
      </c>
      <c r="G1948" t="inlineStr">
        <is>
          <t>Facebook</t>
        </is>
      </c>
      <c r="H1948" t="inlineStr">
        <is>
          <t>Luis Bedoya</t>
        </is>
      </c>
      <c r="I1948" t="inlineStr">
        <is>
          <t>Perdido</t>
        </is>
      </c>
      <c r="J1948" s="28" t="n">
        <v>45881</v>
      </c>
      <c r="K1948" s="28" t="n">
        <v>45909</v>
      </c>
      <c r="L1948" t="inlineStr">
        <is>
          <t>Presupuesto insuficiente</t>
        </is>
      </c>
    </row>
    <row r="1949">
      <c r="A1949" t="inlineStr">
        <is>
          <t>CLI-1947</t>
        </is>
      </c>
      <c r="B1949" t="inlineStr">
        <is>
          <t>Gabriel Giraldo Uribe</t>
        </is>
      </c>
      <c r="C1949" t="inlineStr">
        <is>
          <t>3174669043</t>
        </is>
      </c>
      <c r="D1949" t="inlineStr">
        <is>
          <t>gabriel.giraldo67@yahoo.com</t>
        </is>
      </c>
      <c r="E1949" t="inlineStr">
        <is>
          <t>La Estrella</t>
        </is>
      </c>
      <c r="F1949" t="inlineStr">
        <is>
          <t>PRY-003</t>
        </is>
      </c>
      <c r="G1949" t="inlineStr">
        <is>
          <t>Facebook</t>
        </is>
      </c>
      <c r="H1949" t="inlineStr">
        <is>
          <t>Juliana Vélez</t>
        </is>
      </c>
      <c r="I1949" t="inlineStr">
        <is>
          <t>Perdido</t>
        </is>
      </c>
      <c r="J1949" s="28" t="n">
        <v>45881</v>
      </c>
      <c r="K1949" s="28" t="n">
        <v>45895</v>
      </c>
      <c r="L1949" t="inlineStr">
        <is>
          <t>Presupuesto insuficiente</t>
        </is>
      </c>
    </row>
    <row r="1950">
      <c r="A1950" t="inlineStr">
        <is>
          <t>CLI-1948</t>
        </is>
      </c>
      <c r="B1950" t="inlineStr">
        <is>
          <t>Daniel Echeverri Osorio</t>
        </is>
      </c>
      <c r="C1950" t="inlineStr">
        <is>
          <t>3105743708</t>
        </is>
      </c>
      <c r="D1950" t="inlineStr">
        <is>
          <t>daniel.echeverri86@gmail.com</t>
        </is>
      </c>
      <c r="E1950" t="inlineStr">
        <is>
          <t>Rionegro</t>
        </is>
      </c>
      <c r="F1950" t="inlineStr">
        <is>
          <t>PRY-005</t>
        </is>
      </c>
      <c r="G1950" t="inlineStr">
        <is>
          <t>Portal Web</t>
        </is>
      </c>
      <c r="H1950" t="inlineStr">
        <is>
          <t>Daniela Ríos</t>
        </is>
      </c>
      <c r="I1950" t="inlineStr">
        <is>
          <t>Perdido</t>
        </is>
      </c>
      <c r="J1950" s="28" t="n">
        <v>45881</v>
      </c>
      <c r="K1950" s="28" t="n">
        <v>45889</v>
      </c>
      <c r="L1950" t="inlineStr">
        <is>
          <t>No calificó para crédito</t>
        </is>
      </c>
    </row>
    <row r="1951">
      <c r="A1951" t="inlineStr">
        <is>
          <t>CLI-1949</t>
        </is>
      </c>
      <c r="B1951" t="inlineStr">
        <is>
          <t>Lorena Mejía Vásquez</t>
        </is>
      </c>
      <c r="C1951" t="inlineStr">
        <is>
          <t>3234786288</t>
        </is>
      </c>
      <c r="D1951" t="inlineStr">
        <is>
          <t>lorena.mejia31@outlook.com</t>
        </is>
      </c>
      <c r="E1951" t="inlineStr">
        <is>
          <t>Envigado</t>
        </is>
      </c>
      <c r="F1951" t="inlineStr">
        <is>
          <t>PRY-007</t>
        </is>
      </c>
      <c r="G1951" t="inlineStr">
        <is>
          <t>Facebook</t>
        </is>
      </c>
      <c r="H1951" t="inlineStr">
        <is>
          <t>Santiago Muñoz</t>
        </is>
      </c>
      <c r="I1951" t="inlineStr">
        <is>
          <t>Perdido</t>
        </is>
      </c>
      <c r="J1951" s="28" t="n">
        <v>45881</v>
      </c>
      <c r="K1951" s="28" t="n">
        <v>45895</v>
      </c>
      <c r="L1951" t="inlineStr">
        <is>
          <t>Datos de contacto errados</t>
        </is>
      </c>
    </row>
    <row r="1952">
      <c r="A1952" t="inlineStr">
        <is>
          <t>CLI-1950</t>
        </is>
      </c>
      <c r="B1952" t="inlineStr">
        <is>
          <t>Isabel Higuita Valencia</t>
        </is>
      </c>
      <c r="C1952" t="inlineStr">
        <is>
          <t>3101428178</t>
        </is>
      </c>
      <c r="D1952" t="inlineStr">
        <is>
          <t>isabel.higuita83@gmail.com</t>
        </is>
      </c>
      <c r="E1952" t="inlineStr">
        <is>
          <t>La Estrella</t>
        </is>
      </c>
      <c r="F1952" t="inlineStr">
        <is>
          <t>PRY-005</t>
        </is>
      </c>
      <c r="G1952" t="inlineStr">
        <is>
          <t>Facebook</t>
        </is>
      </c>
      <c r="H1952" t="inlineStr">
        <is>
          <t>Ana Quintero</t>
        </is>
      </c>
      <c r="I1952" t="inlineStr">
        <is>
          <t>Perdido</t>
        </is>
      </c>
      <c r="J1952" s="28" t="n">
        <v>45882</v>
      </c>
      <c r="K1952" s="28" t="n">
        <v>45939</v>
      </c>
      <c r="L1952" t="inlineStr">
        <is>
          <t>No volvió a responder</t>
        </is>
      </c>
    </row>
    <row r="1953">
      <c r="A1953" t="inlineStr">
        <is>
          <t>CLI-1951</t>
        </is>
      </c>
      <c r="B1953" t="inlineStr">
        <is>
          <t>Rodrigo Betancur Pérez</t>
        </is>
      </c>
      <c r="C1953" t="inlineStr">
        <is>
          <t>3243064426</t>
        </is>
      </c>
      <c r="D1953" t="inlineStr">
        <is>
          <t>rodrigo.betancur93@outlook.com</t>
        </is>
      </c>
      <c r="E1953" t="inlineStr">
        <is>
          <t>Bello</t>
        </is>
      </c>
      <c r="F1953" t="inlineStr">
        <is>
          <t>PRY-005</t>
        </is>
      </c>
      <c r="G1953" t="inlineStr">
        <is>
          <t>Feria Inmobiliaria</t>
        </is>
      </c>
      <c r="H1953" t="inlineStr">
        <is>
          <t>Luis Bedoya</t>
        </is>
      </c>
      <c r="I1953" t="inlineStr">
        <is>
          <t>Ganado</t>
        </is>
      </c>
      <c r="J1953" s="28" t="n">
        <v>45883</v>
      </c>
      <c r="K1953" s="28" t="n">
        <v>46014</v>
      </c>
      <c r="L1953" t="inlineStr">
        <is>
          <t>Compró Casa 38 en Ciudadela Rionegro</t>
        </is>
      </c>
    </row>
    <row r="1954">
      <c r="A1954" t="inlineStr">
        <is>
          <t>CLI-1952</t>
        </is>
      </c>
      <c r="B1954" t="inlineStr">
        <is>
          <t>Jorge Restrepo Giraldo</t>
        </is>
      </c>
      <c r="C1954" t="inlineStr">
        <is>
          <t>3245073841</t>
        </is>
      </c>
      <c r="D1954" t="inlineStr">
        <is>
          <t>jorge.restrepo82@hotmail.com</t>
        </is>
      </c>
      <c r="E1954" t="inlineStr">
        <is>
          <t>Medellín</t>
        </is>
      </c>
      <c r="F1954" t="inlineStr">
        <is>
          <t>PRY-003</t>
        </is>
      </c>
      <c r="G1954" t="inlineStr">
        <is>
          <t>Instagram</t>
        </is>
      </c>
      <c r="H1954" t="inlineStr">
        <is>
          <t>Luis Bedoya</t>
        </is>
      </c>
      <c r="I1954" t="inlineStr">
        <is>
          <t>Perdido</t>
        </is>
      </c>
      <c r="J1954" s="28" t="n">
        <v>45883</v>
      </c>
      <c r="K1954" s="28" t="n">
        <v>45940</v>
      </c>
      <c r="L1954" t="inlineStr">
        <is>
          <t>No volvió a responder</t>
        </is>
      </c>
    </row>
    <row r="1955">
      <c r="A1955" t="inlineStr">
        <is>
          <t>CLI-1953</t>
        </is>
      </c>
      <c r="B1955" t="inlineStr">
        <is>
          <t>Juan Pablo Vélez Londoño</t>
        </is>
      </c>
      <c r="C1955" t="inlineStr">
        <is>
          <t>3176635537</t>
        </is>
      </c>
      <c r="D1955" t="inlineStr">
        <is>
          <t>juan.velez45@outlook.com</t>
        </is>
      </c>
      <c r="E1955" t="inlineStr">
        <is>
          <t>Medellín</t>
        </is>
      </c>
      <c r="F1955" t="inlineStr">
        <is>
          <t>PRY-001</t>
        </is>
      </c>
      <c r="G1955" t="inlineStr">
        <is>
          <t>Llamada directa</t>
        </is>
      </c>
      <c r="H1955" t="inlineStr">
        <is>
          <t>Luis Bedoya</t>
        </is>
      </c>
      <c r="I1955" t="inlineStr">
        <is>
          <t>Perdido</t>
        </is>
      </c>
      <c r="J1955" s="28" t="n">
        <v>45883</v>
      </c>
      <c r="K1955" s="28" t="n">
        <v>45888</v>
      </c>
      <c r="L1955" t="inlineStr">
        <is>
          <t>Sin respuesta tras 3 contactos</t>
        </is>
      </c>
    </row>
    <row r="1956">
      <c r="A1956" t="inlineStr">
        <is>
          <t>CLI-1954</t>
        </is>
      </c>
      <c r="B1956" t="inlineStr">
        <is>
          <t>Esteban Cano Palacio</t>
        </is>
      </c>
      <c r="C1956" t="inlineStr">
        <is>
          <t>3132971197</t>
        </is>
      </c>
      <c r="D1956" t="inlineStr">
        <is>
          <t>esteban.cano3@outlook.com</t>
        </is>
      </c>
      <c r="E1956" t="inlineStr">
        <is>
          <t>Rionegro</t>
        </is>
      </c>
      <c r="F1956" t="inlineStr">
        <is>
          <t>PRY-005</t>
        </is>
      </c>
      <c r="G1956" t="inlineStr">
        <is>
          <t>Facebook</t>
        </is>
      </c>
      <c r="H1956" t="inlineStr">
        <is>
          <t>Juliana Vélez</t>
        </is>
      </c>
      <c r="I1956" t="inlineStr">
        <is>
          <t>Ganado</t>
        </is>
      </c>
      <c r="J1956" s="28" t="n">
        <v>45884</v>
      </c>
      <c r="K1956" s="28" t="n">
        <v>45994</v>
      </c>
      <c r="L1956" t="inlineStr">
        <is>
          <t>Compró Casa 31 en Ciudadela Rionegro</t>
        </is>
      </c>
    </row>
    <row r="1957">
      <c r="A1957" t="inlineStr">
        <is>
          <t>CLI-1955</t>
        </is>
      </c>
      <c r="B1957" t="inlineStr">
        <is>
          <t>Iván Valencia Salcedo</t>
        </is>
      </c>
      <c r="C1957" t="inlineStr">
        <is>
          <t>3047570808</t>
        </is>
      </c>
      <c r="D1957" t="inlineStr">
        <is>
          <t>ivan.valencia57@hotmail.com</t>
        </is>
      </c>
      <c r="E1957" t="inlineStr">
        <is>
          <t>Medellín</t>
        </is>
      </c>
      <c r="F1957" t="inlineStr">
        <is>
          <t>PRY-003</t>
        </is>
      </c>
      <c r="G1957" t="inlineStr">
        <is>
          <t>Portal Web</t>
        </is>
      </c>
      <c r="H1957" t="inlineStr">
        <is>
          <t>Daniela Ríos</t>
        </is>
      </c>
      <c r="I1957" t="inlineStr">
        <is>
          <t>Ganado</t>
        </is>
      </c>
      <c r="J1957" s="28" t="n">
        <v>45884</v>
      </c>
      <c r="K1957" s="28" t="n">
        <v>45978</v>
      </c>
      <c r="L1957" t="inlineStr">
        <is>
          <t>Compró Apto 2003 en Conecta Laureles</t>
        </is>
      </c>
    </row>
    <row r="1958">
      <c r="A1958" t="inlineStr">
        <is>
          <t>CLI-1956</t>
        </is>
      </c>
      <c r="B1958" t="inlineStr">
        <is>
          <t>Diana Quintero Echeverri</t>
        </is>
      </c>
      <c r="C1958" t="inlineStr">
        <is>
          <t>3014846187</t>
        </is>
      </c>
      <c r="D1958" t="inlineStr">
        <is>
          <t>diana.quintero78@gmail.com</t>
        </is>
      </c>
      <c r="E1958" t="inlineStr">
        <is>
          <t>Envigado</t>
        </is>
      </c>
      <c r="F1958" t="inlineStr">
        <is>
          <t>PRY-007</t>
        </is>
      </c>
      <c r="G1958" t="inlineStr">
        <is>
          <t>Instagram</t>
        </is>
      </c>
      <c r="H1958" t="inlineStr">
        <is>
          <t>Sofía Prada</t>
        </is>
      </c>
      <c r="I1958" t="inlineStr">
        <is>
          <t>Perdido</t>
        </is>
      </c>
      <c r="J1958" s="28" t="n">
        <v>45884</v>
      </c>
      <c r="K1958" s="28" t="n">
        <v>45908</v>
      </c>
      <c r="L1958" t="inlineStr">
        <is>
          <t>Sin respuesta tras 3 contactos</t>
        </is>
      </c>
    </row>
    <row r="1959">
      <c r="A1959" t="inlineStr">
        <is>
          <t>CLI-1957</t>
        </is>
      </c>
      <c r="B1959" t="inlineStr">
        <is>
          <t>Paula Zapata Salcedo</t>
        </is>
      </c>
      <c r="C1959" t="inlineStr">
        <is>
          <t>3042663616</t>
        </is>
      </c>
      <c r="D1959" t="inlineStr">
        <is>
          <t>paula.zapata26@outlook.com</t>
        </is>
      </c>
      <c r="E1959" t="inlineStr">
        <is>
          <t>Medellín</t>
        </is>
      </c>
      <c r="F1959" t="inlineStr">
        <is>
          <t>PRY-005</t>
        </is>
      </c>
      <c r="G1959" t="inlineStr">
        <is>
          <t>Instagram</t>
        </is>
      </c>
      <c r="H1959" t="inlineStr">
        <is>
          <t>Miguel Salazar</t>
        </is>
      </c>
      <c r="I1959" t="inlineStr">
        <is>
          <t>Perdido</t>
        </is>
      </c>
      <c r="J1959" s="28" t="n">
        <v>45884</v>
      </c>
      <c r="K1959" s="28" t="n">
        <v>45889</v>
      </c>
      <c r="L1959" t="inlineStr">
        <is>
          <t>Buscaba arriendo, no compra</t>
        </is>
      </c>
    </row>
    <row r="1960">
      <c r="A1960" t="inlineStr">
        <is>
          <t>CLI-1958</t>
        </is>
      </c>
      <c r="B1960" t="inlineStr">
        <is>
          <t>María Echeverri Ríos</t>
        </is>
      </c>
      <c r="C1960" t="inlineStr">
        <is>
          <t>3009874839</t>
        </is>
      </c>
      <c r="D1960" t="inlineStr">
        <is>
          <t>maria.echeverri54@gmail.com</t>
        </is>
      </c>
      <c r="E1960" t="inlineStr">
        <is>
          <t>Sabaneta</t>
        </is>
      </c>
      <c r="F1960" t="inlineStr">
        <is>
          <t>PRY-002</t>
        </is>
      </c>
      <c r="G1960" t="inlineStr">
        <is>
          <t>Instagram</t>
        </is>
      </c>
      <c r="H1960" t="inlineStr">
        <is>
          <t>Sofía Prada</t>
        </is>
      </c>
      <c r="I1960" t="inlineStr">
        <is>
          <t>Perdido</t>
        </is>
      </c>
      <c r="J1960" s="28" t="n">
        <v>45885</v>
      </c>
      <c r="K1960" s="28" t="n">
        <v>45893</v>
      </c>
      <c r="L1960" t="inlineStr">
        <is>
          <t>No calificó para crédito</t>
        </is>
      </c>
    </row>
    <row r="1961">
      <c r="A1961" t="inlineStr">
        <is>
          <t>CLI-1959</t>
        </is>
      </c>
      <c r="B1961" t="inlineStr">
        <is>
          <t>Diana Toro Henao</t>
        </is>
      </c>
      <c r="C1961" t="inlineStr">
        <is>
          <t>3046573785</t>
        </is>
      </c>
      <c r="D1961" t="inlineStr">
        <is>
          <t>diana.toro32@outlook.com</t>
        </is>
      </c>
      <c r="E1961" t="inlineStr">
        <is>
          <t>Itagüí</t>
        </is>
      </c>
      <c r="F1961" t="inlineStr">
        <is>
          <t>PRY-008</t>
        </is>
      </c>
      <c r="G1961" t="inlineStr">
        <is>
          <t>Instagram</t>
        </is>
      </c>
      <c r="H1961" t="inlineStr">
        <is>
          <t>Paula Arenas</t>
        </is>
      </c>
      <c r="I1961" t="inlineStr">
        <is>
          <t>Perdido</t>
        </is>
      </c>
      <c r="J1961" s="28" t="n">
        <v>45885</v>
      </c>
      <c r="K1961" s="28" t="n">
        <v>45904</v>
      </c>
      <c r="L1961" t="inlineStr">
        <is>
          <t>No calificó para crédito</t>
        </is>
      </c>
    </row>
    <row r="1962">
      <c r="A1962" t="inlineStr">
        <is>
          <t>CLI-1960</t>
        </is>
      </c>
      <c r="B1962" t="inlineStr">
        <is>
          <t>Hernán Vargas Echeverri</t>
        </is>
      </c>
      <c r="C1962" t="inlineStr">
        <is>
          <t>3171184985</t>
        </is>
      </c>
      <c r="D1962" t="inlineStr">
        <is>
          <t>hernan.vargas79@outlook.com</t>
        </is>
      </c>
      <c r="E1962" t="inlineStr">
        <is>
          <t>Sabaneta</t>
        </is>
      </c>
      <c r="F1962" t="inlineStr">
        <is>
          <t>PRY-008</t>
        </is>
      </c>
      <c r="G1962" t="inlineStr">
        <is>
          <t>Portal Web</t>
        </is>
      </c>
      <c r="H1962" t="inlineStr">
        <is>
          <t>Andrés Torres</t>
        </is>
      </c>
      <c r="I1962" t="inlineStr">
        <is>
          <t>Perdido</t>
        </is>
      </c>
      <c r="J1962" s="28" t="n">
        <v>45885</v>
      </c>
      <c r="K1962" s="28" t="n">
        <v>45914</v>
      </c>
      <c r="L1962" t="inlineStr">
        <is>
          <t>Datos de contacto errados</t>
        </is>
      </c>
    </row>
    <row r="1963">
      <c r="A1963" t="inlineStr">
        <is>
          <t>CLI-1961</t>
        </is>
      </c>
      <c r="B1963" t="inlineStr">
        <is>
          <t>Diego Toro Correa</t>
        </is>
      </c>
      <c r="C1963" t="inlineStr">
        <is>
          <t>3248786227</t>
        </is>
      </c>
      <c r="D1963" t="inlineStr">
        <is>
          <t>diego.toro12@gmail.com</t>
        </is>
      </c>
      <c r="E1963" t="inlineStr">
        <is>
          <t>Bello</t>
        </is>
      </c>
      <c r="F1963" t="inlineStr">
        <is>
          <t>PRY-006</t>
        </is>
      </c>
      <c r="G1963" t="inlineStr">
        <is>
          <t>Feria Inmobiliaria</t>
        </is>
      </c>
      <c r="H1963" t="inlineStr">
        <is>
          <t>Paula Arenas</t>
        </is>
      </c>
      <c r="I1963" t="inlineStr">
        <is>
          <t>Perdido</t>
        </is>
      </c>
      <c r="J1963" s="28" t="n">
        <v>45885</v>
      </c>
      <c r="K1963" s="28" t="n">
        <v>45891</v>
      </c>
      <c r="L1963" t="inlineStr">
        <is>
          <t>No calificó para crédito</t>
        </is>
      </c>
    </row>
    <row r="1964">
      <c r="A1964" t="inlineStr">
        <is>
          <t>CLI-1962</t>
        </is>
      </c>
      <c r="B1964" t="inlineStr">
        <is>
          <t>Santiago Salazar Salcedo</t>
        </is>
      </c>
      <c r="C1964" t="inlineStr">
        <is>
          <t>3142398058</t>
        </is>
      </c>
      <c r="D1964" t="inlineStr">
        <is>
          <t>santiago.salazar6@yahoo.com</t>
        </is>
      </c>
      <c r="E1964" t="inlineStr">
        <is>
          <t>Medellín</t>
        </is>
      </c>
      <c r="F1964" t="inlineStr">
        <is>
          <t>PRY-002</t>
        </is>
      </c>
      <c r="G1964" t="inlineStr">
        <is>
          <t>Instagram</t>
        </is>
      </c>
      <c r="H1964" t="inlineStr">
        <is>
          <t>Sofía Prada</t>
        </is>
      </c>
      <c r="I1964" t="inlineStr">
        <is>
          <t>Perdido</t>
        </is>
      </c>
      <c r="J1964" s="28" t="n">
        <v>45885</v>
      </c>
      <c r="K1964" s="28" t="n">
        <v>45910</v>
      </c>
      <c r="L1964" t="inlineStr">
        <is>
          <t>Sin respuesta tras 3 contactos</t>
        </is>
      </c>
    </row>
    <row r="1965">
      <c r="A1965" t="inlineStr">
        <is>
          <t>CLI-1963</t>
        </is>
      </c>
      <c r="B1965" t="inlineStr">
        <is>
          <t>Hernán Osorio Salcedo</t>
        </is>
      </c>
      <c r="C1965" t="inlineStr">
        <is>
          <t>3246376764</t>
        </is>
      </c>
      <c r="D1965" t="inlineStr">
        <is>
          <t>hernan.osorio29@yahoo.com</t>
        </is>
      </c>
      <c r="E1965" t="inlineStr">
        <is>
          <t>Rionegro</t>
        </is>
      </c>
      <c r="F1965" t="inlineStr">
        <is>
          <t>PRY-008</t>
        </is>
      </c>
      <c r="G1965" t="inlineStr">
        <is>
          <t>Portal Web</t>
        </is>
      </c>
      <c r="H1965" t="inlineStr">
        <is>
          <t>Ana Quintero</t>
        </is>
      </c>
      <c r="I1965" t="inlineStr">
        <is>
          <t>Perdido</t>
        </is>
      </c>
      <c r="J1965" s="28" t="n">
        <v>45885</v>
      </c>
      <c r="K1965" s="28" t="n">
        <v>45904</v>
      </c>
      <c r="L1965" t="inlineStr">
        <is>
          <t>Sin respuesta tras 3 contactos</t>
        </is>
      </c>
    </row>
    <row r="1966">
      <c r="A1966" t="inlineStr">
        <is>
          <t>CLI-1964</t>
        </is>
      </c>
      <c r="B1966" t="inlineStr">
        <is>
          <t>Marcela Valencia Espinosa</t>
        </is>
      </c>
      <c r="C1966" t="inlineStr">
        <is>
          <t>3135588479</t>
        </is>
      </c>
      <c r="D1966" t="inlineStr">
        <is>
          <t>marcela.valencia65@outlook.com</t>
        </is>
      </c>
      <c r="E1966" t="inlineStr">
        <is>
          <t>Itagüí</t>
        </is>
      </c>
      <c r="F1966" t="inlineStr">
        <is>
          <t>PRY-008</t>
        </is>
      </c>
      <c r="G1966" t="inlineStr">
        <is>
          <t>Facebook</t>
        </is>
      </c>
      <c r="H1966" t="inlineStr">
        <is>
          <t>Daniela Ríos</t>
        </is>
      </c>
      <c r="I1966" t="inlineStr">
        <is>
          <t>Perdido</t>
        </is>
      </c>
      <c r="J1966" s="28" t="n">
        <v>45885</v>
      </c>
      <c r="K1966" s="28" t="n">
        <v>45909</v>
      </c>
      <c r="L1966" t="inlineStr">
        <is>
          <t>Sin respuesta tras 3 contactos</t>
        </is>
      </c>
    </row>
    <row r="1967">
      <c r="A1967" t="inlineStr">
        <is>
          <t>CLI-1965</t>
        </is>
      </c>
      <c r="B1967" t="inlineStr">
        <is>
          <t>Carlos Peláez Castaño</t>
        </is>
      </c>
      <c r="C1967" t="inlineStr">
        <is>
          <t>3137917847</t>
        </is>
      </c>
      <c r="D1967" t="inlineStr">
        <is>
          <t>carlos.pelaez88@gmail.com</t>
        </is>
      </c>
      <c r="E1967" t="inlineStr">
        <is>
          <t>Rionegro</t>
        </is>
      </c>
      <c r="F1967" t="inlineStr">
        <is>
          <t>PRY-001</t>
        </is>
      </c>
      <c r="G1967" t="inlineStr">
        <is>
          <t>Facebook</t>
        </is>
      </c>
      <c r="H1967" t="inlineStr">
        <is>
          <t>Luis Bedoya</t>
        </is>
      </c>
      <c r="I1967" t="inlineStr">
        <is>
          <t>Ganado</t>
        </is>
      </c>
      <c r="J1967" s="28" t="n">
        <v>45886</v>
      </c>
      <c r="K1967" s="28" t="n">
        <v>46008</v>
      </c>
      <c r="L1967" t="inlineStr">
        <is>
          <t>Compró Apto 1801 en Torres del Poblado</t>
        </is>
      </c>
    </row>
    <row r="1968">
      <c r="A1968" t="inlineStr">
        <is>
          <t>CLI-1966</t>
        </is>
      </c>
      <c r="B1968" t="inlineStr">
        <is>
          <t>Simón López Cardona</t>
        </is>
      </c>
      <c r="C1968" t="inlineStr">
        <is>
          <t>3221003757</t>
        </is>
      </c>
      <c r="D1968" t="inlineStr">
        <is>
          <t>simon.lopez1@gmail.com</t>
        </is>
      </c>
      <c r="E1968" t="inlineStr">
        <is>
          <t>Envigado</t>
        </is>
      </c>
      <c r="F1968" t="inlineStr">
        <is>
          <t>PRY-007</t>
        </is>
      </c>
      <c r="G1968" t="inlineStr">
        <is>
          <t>Referido</t>
        </is>
      </c>
      <c r="H1968" t="inlineStr">
        <is>
          <t>Mateo Herrera</t>
        </is>
      </c>
      <c r="I1968" t="inlineStr">
        <is>
          <t>Perdido</t>
        </is>
      </c>
      <c r="J1968" s="28" t="n">
        <v>45886</v>
      </c>
      <c r="K1968" s="28" t="n">
        <v>45913</v>
      </c>
      <c r="L1968" t="inlineStr">
        <is>
          <t>Buscaba arriendo, no compra</t>
        </is>
      </c>
    </row>
    <row r="1969">
      <c r="A1969" t="inlineStr">
        <is>
          <t>CLI-1967</t>
        </is>
      </c>
      <c r="B1969" t="inlineStr">
        <is>
          <t>Diana Agudelo Betancur</t>
        </is>
      </c>
      <c r="C1969" t="inlineStr">
        <is>
          <t>3134534916</t>
        </is>
      </c>
      <c r="D1969" t="inlineStr">
        <is>
          <t>diana.agudelo16@hotmail.com</t>
        </is>
      </c>
      <c r="E1969" t="inlineStr">
        <is>
          <t>Medellín</t>
        </is>
      </c>
      <c r="F1969" t="inlineStr">
        <is>
          <t>PRY-003</t>
        </is>
      </c>
      <c r="G1969" t="inlineStr">
        <is>
          <t>Portal Web</t>
        </is>
      </c>
      <c r="H1969" t="inlineStr">
        <is>
          <t>Sofía Prada</t>
        </is>
      </c>
      <c r="I1969" t="inlineStr">
        <is>
          <t>Perdido</t>
        </is>
      </c>
      <c r="J1969" s="28" t="n">
        <v>45886</v>
      </c>
      <c r="K1969" s="28" t="n">
        <v>45904</v>
      </c>
      <c r="L1969" t="inlineStr">
        <is>
          <t>Sin respuesta tras 3 contactos</t>
        </is>
      </c>
    </row>
    <row r="1970">
      <c r="A1970" t="inlineStr">
        <is>
          <t>CLI-1968</t>
        </is>
      </c>
      <c r="B1970" t="inlineStr">
        <is>
          <t>Fernando Espinosa Arango</t>
        </is>
      </c>
      <c r="C1970" t="inlineStr">
        <is>
          <t>3134408335</t>
        </is>
      </c>
      <c r="D1970" t="inlineStr">
        <is>
          <t>fernando.espinosa88@hotmail.com</t>
        </is>
      </c>
      <c r="E1970" t="inlineStr">
        <is>
          <t>Medellín</t>
        </is>
      </c>
      <c r="F1970" t="inlineStr">
        <is>
          <t>PRY-001</t>
        </is>
      </c>
      <c r="G1970" t="inlineStr">
        <is>
          <t>Referido</t>
        </is>
      </c>
      <c r="H1970" t="inlineStr">
        <is>
          <t>Luis Bedoya</t>
        </is>
      </c>
      <c r="I1970" t="inlineStr">
        <is>
          <t>Perdido</t>
        </is>
      </c>
      <c r="J1970" s="28" t="n">
        <v>45886</v>
      </c>
      <c r="K1970" s="28" t="n">
        <v>45894</v>
      </c>
      <c r="L1970" t="inlineStr">
        <is>
          <t>Sin respuesta tras 3 contactos</t>
        </is>
      </c>
    </row>
    <row r="1971">
      <c r="A1971" t="inlineStr">
        <is>
          <t>CLI-1969</t>
        </is>
      </c>
      <c r="B1971" t="inlineStr">
        <is>
          <t>Katherine Salazar Rojas</t>
        </is>
      </c>
      <c r="C1971" t="inlineStr">
        <is>
          <t>3224732438</t>
        </is>
      </c>
      <c r="D1971" t="inlineStr">
        <is>
          <t>katherine.salazar98@hotmail.com</t>
        </is>
      </c>
      <c r="E1971" t="inlineStr">
        <is>
          <t>Itagüí</t>
        </is>
      </c>
      <c r="F1971" t="inlineStr">
        <is>
          <t>PRY-003</t>
        </is>
      </c>
      <c r="G1971" t="inlineStr">
        <is>
          <t>Facebook</t>
        </is>
      </c>
      <c r="H1971" t="inlineStr">
        <is>
          <t>Luis Bedoya</t>
        </is>
      </c>
      <c r="I1971" t="inlineStr">
        <is>
          <t>Perdido</t>
        </is>
      </c>
      <c r="J1971" s="28" t="n">
        <v>45887</v>
      </c>
      <c r="K1971" s="28" t="n">
        <v>45892</v>
      </c>
      <c r="L1971" t="inlineStr">
        <is>
          <t>Sin respuesta tras 3 contactos</t>
        </is>
      </c>
    </row>
    <row r="1972">
      <c r="A1972" t="inlineStr">
        <is>
          <t>CLI-1970</t>
        </is>
      </c>
      <c r="B1972" t="inlineStr">
        <is>
          <t>Ricardo Arango Higuita</t>
        </is>
      </c>
      <c r="C1972" t="inlineStr">
        <is>
          <t>3011977585</t>
        </is>
      </c>
      <c r="D1972" t="inlineStr">
        <is>
          <t>ricardo.arango3@gmail.com</t>
        </is>
      </c>
      <c r="E1972" t="inlineStr">
        <is>
          <t>Sabaneta</t>
        </is>
      </c>
      <c r="F1972" t="inlineStr">
        <is>
          <t>PRY-003</t>
        </is>
      </c>
      <c r="G1972" t="inlineStr">
        <is>
          <t>Portal Web</t>
        </is>
      </c>
      <c r="H1972" t="inlineStr">
        <is>
          <t>Santiago Muñoz</t>
        </is>
      </c>
      <c r="I1972" t="inlineStr">
        <is>
          <t>Perdido</t>
        </is>
      </c>
      <c r="J1972" s="28" t="n">
        <v>45887</v>
      </c>
      <c r="K1972" s="28" t="n">
        <v>45915</v>
      </c>
      <c r="L1972" t="inlineStr">
        <is>
          <t>Sin respuesta tras 3 contactos</t>
        </is>
      </c>
    </row>
    <row r="1973">
      <c r="A1973" t="inlineStr">
        <is>
          <t>CLI-1971</t>
        </is>
      </c>
      <c r="B1973" t="inlineStr">
        <is>
          <t>Sofía Pérez Giraldo</t>
        </is>
      </c>
      <c r="C1973" t="inlineStr">
        <is>
          <t>3104101343</t>
        </is>
      </c>
      <c r="D1973" t="inlineStr">
        <is>
          <t>sofia.perez91@gmail.com</t>
        </is>
      </c>
      <c r="E1973" t="inlineStr">
        <is>
          <t>Envigado</t>
        </is>
      </c>
      <c r="F1973" t="inlineStr">
        <is>
          <t>PRY-007</t>
        </is>
      </c>
      <c r="G1973" t="inlineStr">
        <is>
          <t>Feria Inmobiliaria</t>
        </is>
      </c>
      <c r="H1973" t="inlineStr">
        <is>
          <t>Daniela Ríos</t>
        </is>
      </c>
      <c r="I1973" t="inlineStr">
        <is>
          <t>Perdido</t>
        </is>
      </c>
      <c r="J1973" s="28" t="n">
        <v>45888</v>
      </c>
      <c r="K1973" s="28" t="n">
        <v>45898</v>
      </c>
      <c r="L1973" t="inlineStr">
        <is>
          <t>Sin respuesta tras 3 contactos</t>
        </is>
      </c>
    </row>
    <row r="1974">
      <c r="A1974" t="inlineStr">
        <is>
          <t>CLI-1972</t>
        </is>
      </c>
      <c r="B1974" t="inlineStr">
        <is>
          <t>Juliana Gaviria López</t>
        </is>
      </c>
      <c r="C1974" t="inlineStr">
        <is>
          <t>3145359058</t>
        </is>
      </c>
      <c r="D1974" t="inlineStr">
        <is>
          <t>juliana.gaviria55@yahoo.com</t>
        </is>
      </c>
      <c r="E1974" t="inlineStr">
        <is>
          <t>Itagüí</t>
        </is>
      </c>
      <c r="F1974" t="inlineStr">
        <is>
          <t>PRY-008</t>
        </is>
      </c>
      <c r="G1974" t="inlineStr">
        <is>
          <t>Referido</t>
        </is>
      </c>
      <c r="H1974" t="inlineStr">
        <is>
          <t>Luis Bedoya</t>
        </is>
      </c>
      <c r="I1974" t="inlineStr">
        <is>
          <t>Perdido</t>
        </is>
      </c>
      <c r="J1974" s="28" t="n">
        <v>45888</v>
      </c>
      <c r="K1974" s="28" t="n">
        <v>45899</v>
      </c>
      <c r="L1974" t="inlineStr">
        <is>
          <t>Sin respuesta tras 3 contactos</t>
        </is>
      </c>
    </row>
    <row r="1975">
      <c r="A1975" t="inlineStr">
        <is>
          <t>CLI-1973</t>
        </is>
      </c>
      <c r="B1975" t="inlineStr">
        <is>
          <t>Marcela Franco Gaviria</t>
        </is>
      </c>
      <c r="C1975" t="inlineStr">
        <is>
          <t>3223406115</t>
        </is>
      </c>
      <c r="D1975" t="inlineStr">
        <is>
          <t>marcela.franco96@yahoo.com</t>
        </is>
      </c>
      <c r="E1975" t="inlineStr">
        <is>
          <t>Envigado</t>
        </is>
      </c>
      <c r="F1975" t="inlineStr">
        <is>
          <t>PRY-003</t>
        </is>
      </c>
      <c r="G1975" t="inlineStr">
        <is>
          <t>Llamada directa</t>
        </is>
      </c>
      <c r="H1975" t="inlineStr">
        <is>
          <t>Sofía Prada</t>
        </is>
      </c>
      <c r="I1975" t="inlineStr">
        <is>
          <t>Perdido</t>
        </is>
      </c>
      <c r="J1975" s="28" t="n">
        <v>45889</v>
      </c>
      <c r="K1975" s="28" t="n">
        <v>45960</v>
      </c>
      <c r="L1975" t="inlineStr">
        <is>
          <t>Precio fuera de presupuesto</t>
        </is>
      </c>
    </row>
    <row r="1976">
      <c r="A1976" t="inlineStr">
        <is>
          <t>CLI-1974</t>
        </is>
      </c>
      <c r="B1976" t="inlineStr">
        <is>
          <t>Juliana Rojas Escobar</t>
        </is>
      </c>
      <c r="C1976" t="inlineStr">
        <is>
          <t>3207298858</t>
        </is>
      </c>
      <c r="D1976" t="inlineStr">
        <is>
          <t>juliana.rojas22@outlook.com</t>
        </is>
      </c>
      <c r="E1976" t="inlineStr">
        <is>
          <t>Envigado</t>
        </is>
      </c>
      <c r="F1976" t="inlineStr">
        <is>
          <t>PRY-007</t>
        </is>
      </c>
      <c r="G1976" t="inlineStr">
        <is>
          <t>Referido</t>
        </is>
      </c>
      <c r="H1976" t="inlineStr">
        <is>
          <t>Ana Quintero</t>
        </is>
      </c>
      <c r="I1976" t="inlineStr">
        <is>
          <t>Ganado</t>
        </is>
      </c>
      <c r="J1976" s="28" t="n">
        <v>45889</v>
      </c>
      <c r="K1976" s="28" t="n">
        <v>46034</v>
      </c>
      <c r="L1976" t="inlineStr">
        <is>
          <t>Compró Apto 804 en Mirador de Envigado</t>
        </is>
      </c>
    </row>
    <row r="1977">
      <c r="A1977" t="inlineStr">
        <is>
          <t>CLI-1975</t>
        </is>
      </c>
      <c r="B1977" t="inlineStr">
        <is>
          <t>Verónica Espinosa Ríos</t>
        </is>
      </c>
      <c r="C1977" t="inlineStr">
        <is>
          <t>3207189847</t>
        </is>
      </c>
      <c r="D1977" t="inlineStr">
        <is>
          <t>veronica.espinosa15@gmail.com</t>
        </is>
      </c>
      <c r="E1977" t="inlineStr">
        <is>
          <t>Envigado</t>
        </is>
      </c>
      <c r="F1977" t="inlineStr">
        <is>
          <t>PRY-003</t>
        </is>
      </c>
      <c r="G1977" t="inlineStr">
        <is>
          <t>Llamada directa</t>
        </is>
      </c>
      <c r="H1977" t="inlineStr">
        <is>
          <t>Sofía Prada</t>
        </is>
      </c>
      <c r="I1977" t="inlineStr">
        <is>
          <t>Perdido</t>
        </is>
      </c>
      <c r="J1977" s="28" t="n">
        <v>45889</v>
      </c>
      <c r="K1977" s="28" t="n">
        <v>45918</v>
      </c>
      <c r="L1977" t="inlineStr">
        <is>
          <t>Buscaba arriendo, no compra</t>
        </is>
      </c>
    </row>
    <row r="1978">
      <c r="A1978" t="inlineStr">
        <is>
          <t>CLI-1976</t>
        </is>
      </c>
      <c r="B1978" t="inlineStr">
        <is>
          <t>Emilio Vélez Higuita</t>
        </is>
      </c>
      <c r="C1978" t="inlineStr">
        <is>
          <t>3135911960</t>
        </is>
      </c>
      <c r="D1978" t="inlineStr">
        <is>
          <t>emilio.velez89@gmail.com</t>
        </is>
      </c>
      <c r="E1978" t="inlineStr">
        <is>
          <t>Envigado</t>
        </is>
      </c>
      <c r="F1978" t="inlineStr">
        <is>
          <t>PRY-007</t>
        </is>
      </c>
      <c r="G1978" t="inlineStr">
        <is>
          <t>Referido</t>
        </is>
      </c>
      <c r="H1978" t="inlineStr">
        <is>
          <t>Luis Bedoya</t>
        </is>
      </c>
      <c r="I1978" t="inlineStr">
        <is>
          <t>Ganado</t>
        </is>
      </c>
      <c r="J1978" s="28" t="n">
        <v>45890</v>
      </c>
      <c r="K1978" s="28" t="n">
        <v>46035</v>
      </c>
      <c r="L1978" t="inlineStr">
        <is>
          <t>Compró Apto 1503 en Mirador de Envigado</t>
        </is>
      </c>
    </row>
    <row r="1979">
      <c r="A1979" t="inlineStr">
        <is>
          <t>CLI-1977</t>
        </is>
      </c>
      <c r="B1979" t="inlineStr">
        <is>
          <t>Natalia Zapata Zuluaga</t>
        </is>
      </c>
      <c r="C1979" t="inlineStr">
        <is>
          <t>3249090410</t>
        </is>
      </c>
      <c r="D1979" t="inlineStr">
        <is>
          <t>natalia.zapata99@yahoo.com</t>
        </is>
      </c>
      <c r="E1979" t="inlineStr">
        <is>
          <t>Rionegro</t>
        </is>
      </c>
      <c r="F1979" t="inlineStr">
        <is>
          <t>PRY-008</t>
        </is>
      </c>
      <c r="G1979" t="inlineStr">
        <is>
          <t>Llamada directa</t>
        </is>
      </c>
      <c r="H1979" t="inlineStr">
        <is>
          <t>Miguel Salazar</t>
        </is>
      </c>
      <c r="I1979" t="inlineStr">
        <is>
          <t>Ganado</t>
        </is>
      </c>
      <c r="J1979" s="28" t="n">
        <v>45890</v>
      </c>
      <c r="K1979" s="28" t="n">
        <v>45963</v>
      </c>
      <c r="L1979" t="inlineStr">
        <is>
          <t>Compró Casa 47 en Valle Verde Itagüí</t>
        </is>
      </c>
    </row>
    <row r="1980">
      <c r="A1980" t="inlineStr">
        <is>
          <t>CLI-1978</t>
        </is>
      </c>
      <c r="B1980" t="inlineStr">
        <is>
          <t>Sebastián Vásquez Cano</t>
        </is>
      </c>
      <c r="C1980" t="inlineStr">
        <is>
          <t>3175300809</t>
        </is>
      </c>
      <c r="D1980" t="inlineStr">
        <is>
          <t>sebastian.vasquez55@hotmail.com</t>
        </is>
      </c>
      <c r="E1980" t="inlineStr">
        <is>
          <t>Sabaneta</t>
        </is>
      </c>
      <c r="F1980" t="inlineStr">
        <is>
          <t>PRY-006</t>
        </is>
      </c>
      <c r="G1980" t="inlineStr">
        <is>
          <t>Instagram</t>
        </is>
      </c>
      <c r="H1980" t="inlineStr">
        <is>
          <t>Miguel Salazar</t>
        </is>
      </c>
      <c r="I1980" t="inlineStr">
        <is>
          <t>Perdido</t>
        </is>
      </c>
      <c r="J1980" s="28" t="n">
        <v>45890</v>
      </c>
      <c r="K1980" s="28" t="n">
        <v>45983</v>
      </c>
      <c r="L1980" t="inlineStr">
        <is>
          <t>No volvió a responder</t>
        </is>
      </c>
    </row>
    <row r="1981">
      <c r="A1981" t="inlineStr">
        <is>
          <t>CLI-1979</t>
        </is>
      </c>
      <c r="B1981" t="inlineStr">
        <is>
          <t>Esteban Franco Cano</t>
        </is>
      </c>
      <c r="C1981" t="inlineStr">
        <is>
          <t>3136769841</t>
        </is>
      </c>
      <c r="D1981" t="inlineStr">
        <is>
          <t>esteban.franco26@gmail.com</t>
        </is>
      </c>
      <c r="E1981" t="inlineStr">
        <is>
          <t>Rionegro</t>
        </is>
      </c>
      <c r="F1981" t="inlineStr">
        <is>
          <t>PRY-008</t>
        </is>
      </c>
      <c r="G1981" t="inlineStr">
        <is>
          <t>Instagram</t>
        </is>
      </c>
      <c r="H1981" t="inlineStr">
        <is>
          <t>Daniela Ríos</t>
        </is>
      </c>
      <c r="I1981" t="inlineStr">
        <is>
          <t>Perdido</t>
        </is>
      </c>
      <c r="J1981" s="28" t="n">
        <v>45890</v>
      </c>
      <c r="K1981" s="28" t="n">
        <v>45900</v>
      </c>
      <c r="L1981" t="inlineStr">
        <is>
          <t>Buscaba arriendo, no compra</t>
        </is>
      </c>
    </row>
    <row r="1982">
      <c r="A1982" t="inlineStr">
        <is>
          <t>CLI-1980</t>
        </is>
      </c>
      <c r="B1982" t="inlineStr">
        <is>
          <t>Paula Correa Osorio</t>
        </is>
      </c>
      <c r="C1982" t="inlineStr">
        <is>
          <t>3147897978</t>
        </is>
      </c>
      <c r="D1982" t="inlineStr">
        <is>
          <t>paula.correa70@hotmail.com</t>
        </is>
      </c>
      <c r="E1982" t="inlineStr">
        <is>
          <t>Itagüí</t>
        </is>
      </c>
      <c r="F1982" t="inlineStr">
        <is>
          <t>PRY-001</t>
        </is>
      </c>
      <c r="G1982" t="inlineStr">
        <is>
          <t>Portal Web</t>
        </is>
      </c>
      <c r="H1982" t="inlineStr">
        <is>
          <t>Santiago Muñoz</t>
        </is>
      </c>
      <c r="I1982" t="inlineStr">
        <is>
          <t>Perdido</t>
        </is>
      </c>
      <c r="J1982" s="28" t="n">
        <v>45890</v>
      </c>
      <c r="K1982" s="28" t="n">
        <v>45896</v>
      </c>
      <c r="L1982" t="inlineStr">
        <is>
          <t>Presupuesto insuficiente</t>
        </is>
      </c>
    </row>
    <row r="1983">
      <c r="A1983" t="inlineStr">
        <is>
          <t>CLI-1981</t>
        </is>
      </c>
      <c r="B1983" t="inlineStr">
        <is>
          <t>Paola Montes Vásquez</t>
        </is>
      </c>
      <c r="C1983" t="inlineStr">
        <is>
          <t>3012353316</t>
        </is>
      </c>
      <c r="D1983" t="inlineStr">
        <is>
          <t>paola.montes73@outlook.com</t>
        </is>
      </c>
      <c r="E1983" t="inlineStr">
        <is>
          <t>Medellín</t>
        </is>
      </c>
      <c r="F1983" t="inlineStr">
        <is>
          <t>PRY-002</t>
        </is>
      </c>
      <c r="G1983" t="inlineStr">
        <is>
          <t>Llamada directa</t>
        </is>
      </c>
      <c r="H1983" t="inlineStr">
        <is>
          <t>Mateo Herrera</t>
        </is>
      </c>
      <c r="I1983" t="inlineStr">
        <is>
          <t>Perdido</t>
        </is>
      </c>
      <c r="J1983" s="28" t="n">
        <v>45890</v>
      </c>
      <c r="K1983" s="28" t="n">
        <v>45916</v>
      </c>
      <c r="L1983" t="inlineStr">
        <is>
          <t>Sin respuesta tras 3 contactos</t>
        </is>
      </c>
    </row>
    <row r="1984">
      <c r="A1984" t="inlineStr">
        <is>
          <t>CLI-1982</t>
        </is>
      </c>
      <c r="B1984" t="inlineStr">
        <is>
          <t>Fernando Vargas Vargas</t>
        </is>
      </c>
      <c r="C1984" t="inlineStr">
        <is>
          <t>3232659914</t>
        </is>
      </c>
      <c r="D1984" t="inlineStr">
        <is>
          <t>fernando.vargas78@yahoo.com</t>
        </is>
      </c>
      <c r="E1984" t="inlineStr">
        <is>
          <t>Envigado</t>
        </is>
      </c>
      <c r="F1984" t="inlineStr">
        <is>
          <t>PRY-003</t>
        </is>
      </c>
      <c r="G1984" t="inlineStr">
        <is>
          <t>Instagram</t>
        </is>
      </c>
      <c r="H1984" t="inlineStr">
        <is>
          <t>Luis Bedoya</t>
        </is>
      </c>
      <c r="I1984" t="inlineStr">
        <is>
          <t>Perdido</t>
        </is>
      </c>
      <c r="J1984" s="28" t="n">
        <v>45890</v>
      </c>
      <c r="K1984" s="28" t="n">
        <v>45918</v>
      </c>
      <c r="L1984" t="inlineStr">
        <is>
          <t>Presupuesto insuficiente</t>
        </is>
      </c>
    </row>
    <row r="1985">
      <c r="A1985" t="inlineStr">
        <is>
          <t>CLI-1983</t>
        </is>
      </c>
      <c r="B1985" t="inlineStr">
        <is>
          <t>Natalia Londoño Gaviria</t>
        </is>
      </c>
      <c r="C1985" t="inlineStr">
        <is>
          <t>3238861903</t>
        </is>
      </c>
      <c r="D1985" t="inlineStr">
        <is>
          <t>natalia.londono62@yahoo.com</t>
        </is>
      </c>
      <c r="E1985" t="inlineStr">
        <is>
          <t>Itagüí</t>
        </is>
      </c>
      <c r="F1985" t="inlineStr">
        <is>
          <t>PRY-002</t>
        </is>
      </c>
      <c r="G1985" t="inlineStr">
        <is>
          <t>Feria Inmobiliaria</t>
        </is>
      </c>
      <c r="H1985" t="inlineStr">
        <is>
          <t>Daniela Ríos</t>
        </is>
      </c>
      <c r="I1985" t="inlineStr">
        <is>
          <t>Ganado</t>
        </is>
      </c>
      <c r="J1985" s="28" t="n">
        <v>45891</v>
      </c>
      <c r="K1985" s="28" t="n">
        <v>46023</v>
      </c>
      <c r="L1985" t="inlineStr">
        <is>
          <t>Compró Casa 37 en Reserva Santa Elena</t>
        </is>
      </c>
    </row>
    <row r="1986">
      <c r="A1986" t="inlineStr">
        <is>
          <t>CLI-1984</t>
        </is>
      </c>
      <c r="B1986" t="inlineStr">
        <is>
          <t>Manuela Jaramillo Franco</t>
        </is>
      </c>
      <c r="C1986" t="inlineStr">
        <is>
          <t>3005788686</t>
        </is>
      </c>
      <c r="D1986" t="inlineStr">
        <is>
          <t>manuela.jaramillo75@yahoo.com</t>
        </is>
      </c>
      <c r="E1986" t="inlineStr">
        <is>
          <t>Itagüí</t>
        </is>
      </c>
      <c r="F1986" t="inlineStr">
        <is>
          <t>PRY-008</t>
        </is>
      </c>
      <c r="G1986" t="inlineStr">
        <is>
          <t>Feria Inmobiliaria</t>
        </is>
      </c>
      <c r="H1986" t="inlineStr">
        <is>
          <t>Santiago Muñoz</t>
        </is>
      </c>
      <c r="I1986" t="inlineStr">
        <is>
          <t>Perdido</t>
        </is>
      </c>
      <c r="J1986" s="28" t="n">
        <v>45891</v>
      </c>
      <c r="K1986" s="28" t="n">
        <v>45911</v>
      </c>
      <c r="L1986" t="inlineStr">
        <is>
          <t>Sin respuesta tras 3 contactos</t>
        </is>
      </c>
    </row>
    <row r="1987">
      <c r="A1987" t="inlineStr">
        <is>
          <t>CLI-1985</t>
        </is>
      </c>
      <c r="B1987" t="inlineStr">
        <is>
          <t>Diego Betancur Peláez</t>
        </is>
      </c>
      <c r="C1987" t="inlineStr">
        <is>
          <t>3134433235</t>
        </is>
      </c>
      <c r="D1987" t="inlineStr">
        <is>
          <t>diego.betancur31@hotmail.com</t>
        </is>
      </c>
      <c r="E1987" t="inlineStr">
        <is>
          <t>Medellín</t>
        </is>
      </c>
      <c r="F1987" t="inlineStr">
        <is>
          <t>PRY-001</t>
        </is>
      </c>
      <c r="G1987" t="inlineStr">
        <is>
          <t>Portal Web</t>
        </is>
      </c>
      <c r="H1987" t="inlineStr">
        <is>
          <t>Sofía Prada</t>
        </is>
      </c>
      <c r="I1987" t="inlineStr">
        <is>
          <t>Perdido</t>
        </is>
      </c>
      <c r="J1987" s="28" t="n">
        <v>45891</v>
      </c>
      <c r="K1987" s="28" t="n">
        <v>45916</v>
      </c>
      <c r="L1987" t="inlineStr">
        <is>
          <t>Sin respuesta tras 3 contactos</t>
        </is>
      </c>
    </row>
    <row r="1988">
      <c r="A1988" t="inlineStr">
        <is>
          <t>CLI-1986</t>
        </is>
      </c>
      <c r="B1988" t="inlineStr">
        <is>
          <t>Paula Pérez López</t>
        </is>
      </c>
      <c r="C1988" t="inlineStr">
        <is>
          <t>3243650221</t>
        </is>
      </c>
      <c r="D1988" t="inlineStr">
        <is>
          <t>paula.perez9@yahoo.com</t>
        </is>
      </c>
      <c r="E1988" t="inlineStr">
        <is>
          <t>Envigado</t>
        </is>
      </c>
      <c r="F1988" t="inlineStr">
        <is>
          <t>PRY-007</t>
        </is>
      </c>
      <c r="G1988" t="inlineStr">
        <is>
          <t>Referido</t>
        </is>
      </c>
      <c r="H1988" t="inlineStr">
        <is>
          <t>Miguel Salazar</t>
        </is>
      </c>
      <c r="I1988" t="inlineStr">
        <is>
          <t>Perdido</t>
        </is>
      </c>
      <c r="J1988" s="28" t="n">
        <v>45892</v>
      </c>
      <c r="K1988" s="28" t="n">
        <v>45968</v>
      </c>
      <c r="L1988" t="inlineStr">
        <is>
          <t>Crédito no aprobado</t>
        </is>
      </c>
    </row>
    <row r="1989">
      <c r="A1989" t="inlineStr">
        <is>
          <t>CLI-1987</t>
        </is>
      </c>
      <c r="B1989" t="inlineStr">
        <is>
          <t>Catalina Vásquez Zapata</t>
        </is>
      </c>
      <c r="C1989" t="inlineStr">
        <is>
          <t>3141505825</t>
        </is>
      </c>
      <c r="D1989" t="inlineStr">
        <is>
          <t>catalina.vasquez29@yahoo.com</t>
        </is>
      </c>
      <c r="E1989" t="inlineStr">
        <is>
          <t>Itagüí</t>
        </is>
      </c>
      <c r="F1989" t="inlineStr">
        <is>
          <t>PRY-008</t>
        </is>
      </c>
      <c r="G1989" t="inlineStr">
        <is>
          <t>Llamada directa</t>
        </is>
      </c>
      <c r="H1989" t="inlineStr">
        <is>
          <t>Andrés Torres</t>
        </is>
      </c>
      <c r="I1989" t="inlineStr">
        <is>
          <t>Ganado</t>
        </is>
      </c>
      <c r="J1989" s="28" t="n">
        <v>45893</v>
      </c>
      <c r="K1989" s="28" t="n">
        <v>45965</v>
      </c>
      <c r="L1989" t="inlineStr">
        <is>
          <t>Compró Casa 23 en Valle Verde Itagüí</t>
        </is>
      </c>
    </row>
    <row r="1990">
      <c r="A1990" t="inlineStr">
        <is>
          <t>CLI-1988</t>
        </is>
      </c>
      <c r="B1990" t="inlineStr">
        <is>
          <t>Sandra Quintero Hernández</t>
        </is>
      </c>
      <c r="C1990" t="inlineStr">
        <is>
          <t>3106364206</t>
        </is>
      </c>
      <c r="D1990" t="inlineStr">
        <is>
          <t>sandra.quintero37@gmail.com</t>
        </is>
      </c>
      <c r="E1990" t="inlineStr">
        <is>
          <t>Sabaneta</t>
        </is>
      </c>
      <c r="F1990" t="inlineStr">
        <is>
          <t>PRY-002</t>
        </is>
      </c>
      <c r="G1990" t="inlineStr">
        <is>
          <t>Facebook</t>
        </is>
      </c>
      <c r="H1990" t="inlineStr">
        <is>
          <t>Miguel Salazar</t>
        </is>
      </c>
      <c r="I1990" t="inlineStr">
        <is>
          <t>Perdido</t>
        </is>
      </c>
      <c r="J1990" s="28" t="n">
        <v>45893</v>
      </c>
      <c r="K1990" s="28" t="n">
        <v>45979</v>
      </c>
      <c r="L1990" t="inlineStr">
        <is>
          <t>Precio fuera de presupuesto</t>
        </is>
      </c>
    </row>
    <row r="1991">
      <c r="A1991" t="inlineStr">
        <is>
          <t>CLI-1989</t>
        </is>
      </c>
      <c r="B1991" t="inlineStr">
        <is>
          <t>Camila Sánchez Arango</t>
        </is>
      </c>
      <c r="C1991" t="inlineStr">
        <is>
          <t>3041098422</t>
        </is>
      </c>
      <c r="D1991" t="inlineStr">
        <is>
          <t>camila.sanchez93@hotmail.com</t>
        </is>
      </c>
      <c r="E1991" t="inlineStr">
        <is>
          <t>Envigado</t>
        </is>
      </c>
      <c r="F1991" t="inlineStr">
        <is>
          <t>PRY-003</t>
        </is>
      </c>
      <c r="G1991" t="inlineStr">
        <is>
          <t>Llamada directa</t>
        </is>
      </c>
      <c r="H1991" t="inlineStr">
        <is>
          <t>Andrés Torres</t>
        </is>
      </c>
      <c r="I1991" t="inlineStr">
        <is>
          <t>Perdido</t>
        </is>
      </c>
      <c r="J1991" s="28" t="n">
        <v>45893</v>
      </c>
      <c r="K1991" s="28" t="n">
        <v>45997</v>
      </c>
      <c r="L1991" t="inlineStr">
        <is>
          <t>Eligió otro proyecto</t>
        </is>
      </c>
    </row>
    <row r="1992">
      <c r="A1992" t="inlineStr">
        <is>
          <t>CLI-1990</t>
        </is>
      </c>
      <c r="B1992" t="inlineStr">
        <is>
          <t>Julián Duque Bedoya</t>
        </is>
      </c>
      <c r="C1992" t="inlineStr">
        <is>
          <t>3046153980</t>
        </is>
      </c>
      <c r="D1992" t="inlineStr">
        <is>
          <t>julian.duque58@gmail.com</t>
        </is>
      </c>
      <c r="E1992" t="inlineStr">
        <is>
          <t>Itagüí</t>
        </is>
      </c>
      <c r="F1992" t="inlineStr">
        <is>
          <t>PRY-008</t>
        </is>
      </c>
      <c r="G1992" t="inlineStr">
        <is>
          <t>Portal Web</t>
        </is>
      </c>
      <c r="H1992" t="inlineStr">
        <is>
          <t>Andrés Torres</t>
        </is>
      </c>
      <c r="I1992" t="inlineStr">
        <is>
          <t>Perdido</t>
        </is>
      </c>
      <c r="J1992" s="28" t="n">
        <v>45893</v>
      </c>
      <c r="K1992" s="28" t="n">
        <v>45939</v>
      </c>
      <c r="L1992" t="inlineStr">
        <is>
          <t>Cambió de ciudad</t>
        </is>
      </c>
    </row>
    <row r="1993">
      <c r="A1993" t="inlineStr">
        <is>
          <t>CLI-1991</t>
        </is>
      </c>
      <c r="B1993" t="inlineStr">
        <is>
          <t>Juliana Montes Restrepo</t>
        </is>
      </c>
      <c r="C1993" t="inlineStr">
        <is>
          <t>3007529594</t>
        </is>
      </c>
      <c r="D1993" t="inlineStr">
        <is>
          <t>juliana.montes47@gmail.com</t>
        </is>
      </c>
      <c r="E1993" t="inlineStr">
        <is>
          <t>Bello</t>
        </is>
      </c>
      <c r="F1993" t="inlineStr">
        <is>
          <t>PRY-006</t>
        </is>
      </c>
      <c r="G1993" t="inlineStr">
        <is>
          <t>Instagram</t>
        </is>
      </c>
      <c r="H1993" t="inlineStr">
        <is>
          <t>Ana Quintero</t>
        </is>
      </c>
      <c r="I1993" t="inlineStr">
        <is>
          <t>Perdido</t>
        </is>
      </c>
      <c r="J1993" s="28" t="n">
        <v>45893</v>
      </c>
      <c r="K1993" s="28" t="n">
        <v>45923</v>
      </c>
      <c r="L1993" t="inlineStr">
        <is>
          <t>Datos de contacto errados</t>
        </is>
      </c>
    </row>
    <row r="1994">
      <c r="A1994" t="inlineStr">
        <is>
          <t>CLI-1992</t>
        </is>
      </c>
      <c r="B1994" t="inlineStr">
        <is>
          <t>Juan Pablo Quintero Ríos</t>
        </is>
      </c>
      <c r="C1994" t="inlineStr">
        <is>
          <t>3209957316</t>
        </is>
      </c>
      <c r="D1994" t="inlineStr">
        <is>
          <t>juan.quintero92@gmail.com</t>
        </is>
      </c>
      <c r="E1994" t="inlineStr">
        <is>
          <t>La Estrella</t>
        </is>
      </c>
      <c r="F1994" t="inlineStr">
        <is>
          <t>PRY-003</t>
        </is>
      </c>
      <c r="G1994" t="inlineStr">
        <is>
          <t>Referido</t>
        </is>
      </c>
      <c r="H1994" t="inlineStr">
        <is>
          <t>Sofía Prada</t>
        </is>
      </c>
      <c r="I1994" t="inlineStr">
        <is>
          <t>Ganado</t>
        </is>
      </c>
      <c r="J1994" s="28" t="n">
        <v>45894</v>
      </c>
      <c r="K1994" s="28" t="n">
        <v>45996</v>
      </c>
      <c r="L1994" t="inlineStr">
        <is>
          <t>Compró Apto 1405 en Conecta Laureles</t>
        </is>
      </c>
    </row>
    <row r="1995">
      <c r="A1995" t="inlineStr">
        <is>
          <t>CLI-1993</t>
        </is>
      </c>
      <c r="B1995" t="inlineStr">
        <is>
          <t>Laura Montes Ramírez</t>
        </is>
      </c>
      <c r="C1995" t="inlineStr">
        <is>
          <t>3205006483</t>
        </is>
      </c>
      <c r="D1995" t="inlineStr">
        <is>
          <t>laura.montes8@yahoo.com</t>
        </is>
      </c>
      <c r="E1995" t="inlineStr">
        <is>
          <t>Itagüí</t>
        </is>
      </c>
      <c r="F1995" t="inlineStr">
        <is>
          <t>PRY-008</t>
        </is>
      </c>
      <c r="G1995" t="inlineStr">
        <is>
          <t>Instagram</t>
        </is>
      </c>
      <c r="H1995" t="inlineStr">
        <is>
          <t>Daniela Ríos</t>
        </is>
      </c>
      <c r="I1995" t="inlineStr">
        <is>
          <t>Perdido</t>
        </is>
      </c>
      <c r="J1995" s="28" t="n">
        <v>45894</v>
      </c>
      <c r="K1995" s="28" t="n">
        <v>45920</v>
      </c>
      <c r="L1995" t="inlineStr">
        <is>
          <t>No calificó para crédito</t>
        </is>
      </c>
    </row>
    <row r="1996">
      <c r="A1996" t="inlineStr">
        <is>
          <t>CLI-1994</t>
        </is>
      </c>
      <c r="B1996" t="inlineStr">
        <is>
          <t>Jhon Cano Uribe</t>
        </is>
      </c>
      <c r="C1996" t="inlineStr">
        <is>
          <t>3208576425</t>
        </is>
      </c>
      <c r="D1996" t="inlineStr">
        <is>
          <t>jhon.cano99@hotmail.com</t>
        </is>
      </c>
      <c r="E1996" t="inlineStr">
        <is>
          <t>Bello</t>
        </is>
      </c>
      <c r="F1996" t="inlineStr">
        <is>
          <t>PRY-006</t>
        </is>
      </c>
      <c r="G1996" t="inlineStr">
        <is>
          <t>Portal Web</t>
        </is>
      </c>
      <c r="H1996" t="inlineStr">
        <is>
          <t>Paula Arenas</t>
        </is>
      </c>
      <c r="I1996" t="inlineStr">
        <is>
          <t>Perdido</t>
        </is>
      </c>
      <c r="J1996" s="28" t="n">
        <v>45894</v>
      </c>
      <c r="K1996" s="28" t="n">
        <v>45922</v>
      </c>
      <c r="L1996" t="inlineStr">
        <is>
          <t>No calificó para crédito</t>
        </is>
      </c>
    </row>
    <row r="1997">
      <c r="A1997" t="inlineStr">
        <is>
          <t>CLI-1995</t>
        </is>
      </c>
      <c r="B1997" t="inlineStr">
        <is>
          <t>Valeria Bedoya Marín</t>
        </is>
      </c>
      <c r="C1997" t="inlineStr">
        <is>
          <t>3179904553</t>
        </is>
      </c>
      <c r="D1997" t="inlineStr">
        <is>
          <t>valeria.bedoya27@outlook.com</t>
        </is>
      </c>
      <c r="E1997" t="inlineStr">
        <is>
          <t>Bello</t>
        </is>
      </c>
      <c r="F1997" t="inlineStr">
        <is>
          <t>PRY-001</t>
        </is>
      </c>
      <c r="G1997" t="inlineStr">
        <is>
          <t>Feria Inmobiliaria</t>
        </is>
      </c>
      <c r="H1997" t="inlineStr">
        <is>
          <t>Sofía Prada</t>
        </is>
      </c>
      <c r="I1997" t="inlineStr">
        <is>
          <t>Ganado</t>
        </is>
      </c>
      <c r="J1997" s="28" t="n">
        <v>45895</v>
      </c>
      <c r="K1997" s="28" t="n">
        <v>46003</v>
      </c>
      <c r="L1997" t="inlineStr">
        <is>
          <t>Compró Apto 1706 en Torres del Poblado</t>
        </is>
      </c>
    </row>
    <row r="1998">
      <c r="A1998" t="inlineStr">
        <is>
          <t>CLI-1996</t>
        </is>
      </c>
      <c r="B1998" t="inlineStr">
        <is>
          <t>Liliana Betancur Quintero</t>
        </is>
      </c>
      <c r="C1998" t="inlineStr">
        <is>
          <t>3204310459</t>
        </is>
      </c>
      <c r="D1998" t="inlineStr">
        <is>
          <t>liliana.betancur20@gmail.com</t>
        </is>
      </c>
      <c r="E1998" t="inlineStr">
        <is>
          <t>Bello</t>
        </is>
      </c>
      <c r="F1998" t="inlineStr">
        <is>
          <t>PRY-006</t>
        </is>
      </c>
      <c r="G1998" t="inlineStr">
        <is>
          <t>Feria Inmobiliaria</t>
        </is>
      </c>
      <c r="H1998" t="inlineStr">
        <is>
          <t>Mateo Herrera</t>
        </is>
      </c>
      <c r="I1998" t="inlineStr">
        <is>
          <t>Perdido</t>
        </is>
      </c>
      <c r="J1998" s="28" t="n">
        <v>45895</v>
      </c>
      <c r="K1998" s="28" t="n">
        <v>45908</v>
      </c>
      <c r="L1998" t="inlineStr">
        <is>
          <t>Buscaba arriendo, no compra</t>
        </is>
      </c>
    </row>
    <row r="1999">
      <c r="A1999" t="inlineStr">
        <is>
          <t>CLI-1997</t>
        </is>
      </c>
      <c r="B1999" t="inlineStr">
        <is>
          <t>Katherine Zuluaga Restrepo</t>
        </is>
      </c>
      <c r="C1999" t="inlineStr">
        <is>
          <t>3102730287</t>
        </is>
      </c>
      <c r="D1999" t="inlineStr">
        <is>
          <t>katherine.zuluaga83@outlook.com</t>
        </is>
      </c>
      <c r="E1999" t="inlineStr">
        <is>
          <t>Bello</t>
        </is>
      </c>
      <c r="F1999" t="inlineStr">
        <is>
          <t>PRY-003</t>
        </is>
      </c>
      <c r="G1999" t="inlineStr">
        <is>
          <t>Facebook</t>
        </is>
      </c>
      <c r="H1999" t="inlineStr">
        <is>
          <t>Ana Quintero</t>
        </is>
      </c>
      <c r="I1999" t="inlineStr">
        <is>
          <t>Perdido</t>
        </is>
      </c>
      <c r="J1999" s="28" t="n">
        <v>45895</v>
      </c>
      <c r="K1999" s="28" t="n">
        <v>45910</v>
      </c>
      <c r="L1999" t="inlineStr">
        <is>
          <t>Presupuesto insuficiente</t>
        </is>
      </c>
    </row>
    <row r="2000">
      <c r="A2000" t="inlineStr">
        <is>
          <t>CLI-1998</t>
        </is>
      </c>
      <c r="B2000" t="inlineStr">
        <is>
          <t>Hernán Ramírez Uribe</t>
        </is>
      </c>
      <c r="C2000" t="inlineStr">
        <is>
          <t>3237023858</t>
        </is>
      </c>
      <c r="D2000" t="inlineStr">
        <is>
          <t>hernan.ramirez57@yahoo.com</t>
        </is>
      </c>
      <c r="E2000" t="inlineStr">
        <is>
          <t>Rionegro</t>
        </is>
      </c>
      <c r="F2000" t="inlineStr">
        <is>
          <t>PRY-006</t>
        </is>
      </c>
      <c r="G2000" t="inlineStr">
        <is>
          <t>Referido</t>
        </is>
      </c>
      <c r="H2000" t="inlineStr">
        <is>
          <t>Luis Bedoya</t>
        </is>
      </c>
      <c r="I2000" t="inlineStr">
        <is>
          <t>Ganado</t>
        </is>
      </c>
      <c r="J2000" s="28" t="n">
        <v>45896</v>
      </c>
      <c r="K2000" s="28" t="n">
        <v>46031</v>
      </c>
      <c r="L2000" t="inlineStr">
        <is>
          <t>Compró Local 9 en Plaza Bello</t>
        </is>
      </c>
    </row>
    <row r="2001">
      <c r="A2001" t="inlineStr">
        <is>
          <t>CLI-1999</t>
        </is>
      </c>
      <c r="B2001" t="inlineStr">
        <is>
          <t>Gabriel Vélez Toro</t>
        </is>
      </c>
      <c r="C2001" t="inlineStr">
        <is>
          <t>3237530652</t>
        </is>
      </c>
      <c r="D2001" t="inlineStr">
        <is>
          <t>gabriel.velez11@hotmail.com</t>
        </is>
      </c>
      <c r="E2001" t="inlineStr">
        <is>
          <t>Medellín</t>
        </is>
      </c>
      <c r="F2001" t="inlineStr">
        <is>
          <t>PRY-002</t>
        </is>
      </c>
      <c r="G2001" t="inlineStr">
        <is>
          <t>Llamada directa</t>
        </is>
      </c>
      <c r="H2001" t="inlineStr">
        <is>
          <t>Ana Quintero</t>
        </is>
      </c>
      <c r="I2001" t="inlineStr">
        <is>
          <t>Ganado</t>
        </is>
      </c>
      <c r="J2001" s="28" t="n">
        <v>45896</v>
      </c>
      <c r="K2001" s="28" t="n">
        <v>46008</v>
      </c>
      <c r="L2001" t="inlineStr">
        <is>
          <t>Compró Casa 55 en Reserva Santa Elena</t>
        </is>
      </c>
    </row>
    <row r="2002">
      <c r="A2002" t="inlineStr">
        <is>
          <t>CLI-2000</t>
        </is>
      </c>
      <c r="B2002" t="inlineStr">
        <is>
          <t>Isabel Valencia Henao</t>
        </is>
      </c>
      <c r="C2002" t="inlineStr">
        <is>
          <t>3155546389</t>
        </is>
      </c>
      <c r="D2002" t="inlineStr">
        <is>
          <t>isabel.valencia19@hotmail.com</t>
        </is>
      </c>
      <c r="E2002" t="inlineStr">
        <is>
          <t>Envigado</t>
        </is>
      </c>
      <c r="F2002" t="inlineStr">
        <is>
          <t>PRY-007</t>
        </is>
      </c>
      <c r="G2002" t="inlineStr">
        <is>
          <t>Instagram</t>
        </is>
      </c>
      <c r="H2002" t="inlineStr">
        <is>
          <t>Miguel Salazar</t>
        </is>
      </c>
      <c r="I2002" t="inlineStr">
        <is>
          <t>Perdido</t>
        </is>
      </c>
      <c r="J2002" s="28" t="n">
        <v>45896</v>
      </c>
      <c r="K2002" s="28" t="n">
        <v>45911</v>
      </c>
      <c r="L2002" t="inlineStr">
        <is>
          <t>No calificó para crédito</t>
        </is>
      </c>
    </row>
    <row r="2003">
      <c r="A2003" t="inlineStr">
        <is>
          <t>CLI-2001</t>
        </is>
      </c>
      <c r="B2003" t="inlineStr">
        <is>
          <t>Manuela Mejía Montoya</t>
        </is>
      </c>
      <c r="C2003" t="inlineStr">
        <is>
          <t>3171214805</t>
        </is>
      </c>
      <c r="D2003" t="inlineStr">
        <is>
          <t>manuela.mejia18@gmail.com</t>
        </is>
      </c>
      <c r="E2003" t="inlineStr">
        <is>
          <t>Bello</t>
        </is>
      </c>
      <c r="F2003" t="inlineStr">
        <is>
          <t>PRY-006</t>
        </is>
      </c>
      <c r="G2003" t="inlineStr">
        <is>
          <t>Feria Inmobiliaria</t>
        </is>
      </c>
      <c r="H2003" t="inlineStr">
        <is>
          <t>Mateo Herrera</t>
        </is>
      </c>
      <c r="I2003" t="inlineStr">
        <is>
          <t>Ganado</t>
        </is>
      </c>
      <c r="J2003" s="28" t="n">
        <v>45897</v>
      </c>
      <c r="K2003" s="28" t="n">
        <v>45999</v>
      </c>
      <c r="L2003" t="inlineStr">
        <is>
          <t>Compró Local 18 en Plaza Bello</t>
        </is>
      </c>
    </row>
    <row r="2004">
      <c r="A2004" t="inlineStr">
        <is>
          <t>CLI-2002</t>
        </is>
      </c>
      <c r="B2004" t="inlineStr">
        <is>
          <t>Liliana Espinosa Salazar</t>
        </is>
      </c>
      <c r="C2004" t="inlineStr">
        <is>
          <t>3201376523</t>
        </is>
      </c>
      <c r="D2004" t="inlineStr">
        <is>
          <t>liliana.espinosa4@hotmail.com</t>
        </is>
      </c>
      <c r="E2004" t="inlineStr">
        <is>
          <t>Medellín</t>
        </is>
      </c>
      <c r="F2004" t="inlineStr">
        <is>
          <t>PRY-001</t>
        </is>
      </c>
      <c r="G2004" t="inlineStr">
        <is>
          <t>Feria Inmobiliaria</t>
        </is>
      </c>
      <c r="H2004" t="inlineStr">
        <is>
          <t>Miguel Salazar</t>
        </is>
      </c>
      <c r="I2004" t="inlineStr">
        <is>
          <t>Ganado</t>
        </is>
      </c>
      <c r="J2004" s="28" t="n">
        <v>45897</v>
      </c>
      <c r="K2004" s="28" t="n">
        <v>45986</v>
      </c>
      <c r="L2004" t="inlineStr">
        <is>
          <t>Compró Apto 902 en Torres del Poblado</t>
        </is>
      </c>
    </row>
    <row r="2005">
      <c r="A2005" t="inlineStr">
        <is>
          <t>CLI-2003</t>
        </is>
      </c>
      <c r="B2005" t="inlineStr">
        <is>
          <t>Simón Vásquez Quintero</t>
        </is>
      </c>
      <c r="C2005" t="inlineStr">
        <is>
          <t>3149899252</t>
        </is>
      </c>
      <c r="D2005" t="inlineStr">
        <is>
          <t>simon.vasquez80@outlook.com</t>
        </is>
      </c>
      <c r="E2005" t="inlineStr">
        <is>
          <t>Medellín</t>
        </is>
      </c>
      <c r="F2005" t="inlineStr">
        <is>
          <t>PRY-003</t>
        </is>
      </c>
      <c r="G2005" t="inlineStr">
        <is>
          <t>Feria Inmobiliaria</t>
        </is>
      </c>
      <c r="H2005" t="inlineStr">
        <is>
          <t>Luis Bedoya</t>
        </is>
      </c>
      <c r="I2005" t="inlineStr">
        <is>
          <t>Ganado</t>
        </is>
      </c>
      <c r="J2005" s="28" t="n">
        <v>45897</v>
      </c>
      <c r="K2005" s="28" t="n">
        <v>45971</v>
      </c>
      <c r="L2005" t="inlineStr">
        <is>
          <t>Compró Apto 1702 en Conecta Laureles</t>
        </is>
      </c>
    </row>
    <row r="2006">
      <c r="A2006" t="inlineStr">
        <is>
          <t>CLI-2004</t>
        </is>
      </c>
      <c r="B2006" t="inlineStr">
        <is>
          <t>Mauricio Cifuentes Jaramillo</t>
        </is>
      </c>
      <c r="C2006" t="inlineStr">
        <is>
          <t>3011647365</t>
        </is>
      </c>
      <c r="D2006" t="inlineStr">
        <is>
          <t>mauricio.cifuentes11@hotmail.com</t>
        </is>
      </c>
      <c r="E2006" t="inlineStr">
        <is>
          <t>Rionegro</t>
        </is>
      </c>
      <c r="F2006" t="inlineStr">
        <is>
          <t>PRY-005</t>
        </is>
      </c>
      <c r="G2006" t="inlineStr">
        <is>
          <t>Feria Inmobiliaria</t>
        </is>
      </c>
      <c r="H2006" t="inlineStr">
        <is>
          <t>Sofía Prada</t>
        </is>
      </c>
      <c r="I2006" t="inlineStr">
        <is>
          <t>Ganado</t>
        </is>
      </c>
      <c r="J2006" s="28" t="n">
        <v>45897</v>
      </c>
      <c r="K2006" s="28" t="n">
        <v>46047</v>
      </c>
      <c r="L2006" t="inlineStr">
        <is>
          <t>Compró Apto 406 en Ciudadela Rionegro</t>
        </is>
      </c>
    </row>
    <row r="2007">
      <c r="A2007" t="inlineStr">
        <is>
          <t>CLI-2005</t>
        </is>
      </c>
      <c r="B2007" t="inlineStr">
        <is>
          <t>David Palacio Montes</t>
        </is>
      </c>
      <c r="C2007" t="inlineStr">
        <is>
          <t>3003986595</t>
        </is>
      </c>
      <c r="D2007" t="inlineStr">
        <is>
          <t>david.palacio14@yahoo.com</t>
        </is>
      </c>
      <c r="E2007" t="inlineStr">
        <is>
          <t>Medellín</t>
        </is>
      </c>
      <c r="F2007" t="inlineStr">
        <is>
          <t>PRY-002</t>
        </is>
      </c>
      <c r="G2007" t="inlineStr">
        <is>
          <t>Portal Web</t>
        </is>
      </c>
      <c r="H2007" t="inlineStr">
        <is>
          <t>Luis Bedoya</t>
        </is>
      </c>
      <c r="I2007" t="inlineStr">
        <is>
          <t>Perdido</t>
        </is>
      </c>
      <c r="J2007" s="28" t="n">
        <v>45897</v>
      </c>
      <c r="K2007" s="28" t="n">
        <v>45919</v>
      </c>
      <c r="L2007" t="inlineStr">
        <is>
          <t>Sin respuesta tras 3 contactos</t>
        </is>
      </c>
    </row>
    <row r="2008">
      <c r="A2008" t="inlineStr">
        <is>
          <t>CLI-2006</t>
        </is>
      </c>
      <c r="B2008" t="inlineStr">
        <is>
          <t>Daniel Ríos Montoya</t>
        </is>
      </c>
      <c r="C2008" t="inlineStr">
        <is>
          <t>3227550230</t>
        </is>
      </c>
      <c r="D2008" t="inlineStr">
        <is>
          <t>daniel.rios99@gmail.com</t>
        </is>
      </c>
      <c r="E2008" t="inlineStr">
        <is>
          <t>Rionegro</t>
        </is>
      </c>
      <c r="F2008" t="inlineStr">
        <is>
          <t>PRY-005</t>
        </is>
      </c>
      <c r="G2008" t="inlineStr">
        <is>
          <t>Portal Web</t>
        </is>
      </c>
      <c r="H2008" t="inlineStr">
        <is>
          <t>Paula Arenas</t>
        </is>
      </c>
      <c r="I2008" t="inlineStr">
        <is>
          <t>Perdido</t>
        </is>
      </c>
      <c r="J2008" s="28" t="n">
        <v>45898</v>
      </c>
      <c r="K2008" s="28" t="n">
        <v>45919</v>
      </c>
      <c r="L2008" t="inlineStr">
        <is>
          <t>No calificó para crédito</t>
        </is>
      </c>
    </row>
    <row r="2009">
      <c r="A2009" t="inlineStr">
        <is>
          <t>CLI-2007</t>
        </is>
      </c>
      <c r="B2009" t="inlineStr">
        <is>
          <t>Óscar Valencia Valencia</t>
        </is>
      </c>
      <c r="C2009" t="inlineStr">
        <is>
          <t>3002606817</t>
        </is>
      </c>
      <c r="D2009" t="inlineStr">
        <is>
          <t>oscar.valencia43@yahoo.com</t>
        </is>
      </c>
      <c r="E2009" t="inlineStr">
        <is>
          <t>La Estrella</t>
        </is>
      </c>
      <c r="F2009" t="inlineStr">
        <is>
          <t>PRY-003</t>
        </is>
      </c>
      <c r="G2009" t="inlineStr">
        <is>
          <t>Facebook</t>
        </is>
      </c>
      <c r="H2009" t="inlineStr">
        <is>
          <t>Ana Quintero</t>
        </is>
      </c>
      <c r="I2009" t="inlineStr">
        <is>
          <t>Perdido</t>
        </is>
      </c>
      <c r="J2009" s="28" t="n">
        <v>45899</v>
      </c>
      <c r="K2009" s="28" t="n">
        <v>45912</v>
      </c>
      <c r="L2009" t="inlineStr">
        <is>
          <t>Sin respuesta tras 3 contactos</t>
        </is>
      </c>
    </row>
    <row r="2010">
      <c r="A2010" t="inlineStr">
        <is>
          <t>CLI-2008</t>
        </is>
      </c>
      <c r="B2010" t="inlineStr">
        <is>
          <t>Rodrigo Muñoz Betancur</t>
        </is>
      </c>
      <c r="C2010" t="inlineStr">
        <is>
          <t>3201084053</t>
        </is>
      </c>
      <c r="D2010" t="inlineStr">
        <is>
          <t>rodrigo.munoz3@hotmail.com</t>
        </is>
      </c>
      <c r="E2010" t="inlineStr">
        <is>
          <t>Medellín</t>
        </is>
      </c>
      <c r="F2010" t="inlineStr">
        <is>
          <t>PRY-001</t>
        </is>
      </c>
      <c r="G2010" t="inlineStr">
        <is>
          <t>Portal Web</t>
        </is>
      </c>
      <c r="H2010" t="inlineStr">
        <is>
          <t>Santiago Muñoz</t>
        </is>
      </c>
      <c r="I2010" t="inlineStr">
        <is>
          <t>Perdido</t>
        </is>
      </c>
      <c r="J2010" s="28" t="n">
        <v>45899</v>
      </c>
      <c r="K2010" s="28" t="n">
        <v>45906</v>
      </c>
      <c r="L2010" t="inlineStr">
        <is>
          <t>Presupuesto insuficiente</t>
        </is>
      </c>
    </row>
    <row r="2011">
      <c r="A2011" t="inlineStr">
        <is>
          <t>CLI-2009</t>
        </is>
      </c>
      <c r="B2011" t="inlineStr">
        <is>
          <t>Manuela Ochoa Espinosa</t>
        </is>
      </c>
      <c r="C2011" t="inlineStr">
        <is>
          <t>3151781477</t>
        </is>
      </c>
      <c r="D2011" t="inlineStr">
        <is>
          <t>manuela.ochoa67@yahoo.com</t>
        </is>
      </c>
      <c r="E2011" t="inlineStr">
        <is>
          <t>Bello</t>
        </is>
      </c>
      <c r="F2011" t="inlineStr">
        <is>
          <t>PRY-002</t>
        </is>
      </c>
      <c r="G2011" t="inlineStr">
        <is>
          <t>Facebook</t>
        </is>
      </c>
      <c r="H2011" t="inlineStr">
        <is>
          <t>Sofía Prada</t>
        </is>
      </c>
      <c r="I2011" t="inlineStr">
        <is>
          <t>Perdido</t>
        </is>
      </c>
      <c r="J2011" s="28" t="n">
        <v>45899</v>
      </c>
      <c r="K2011" s="28" t="n">
        <v>45915</v>
      </c>
      <c r="L2011" t="inlineStr">
        <is>
          <t>Buscaba arriendo, no compra</t>
        </is>
      </c>
    </row>
    <row r="2012">
      <c r="A2012" t="inlineStr">
        <is>
          <t>CLI-2010</t>
        </is>
      </c>
      <c r="B2012" t="inlineStr">
        <is>
          <t>David Henao López</t>
        </is>
      </c>
      <c r="C2012" t="inlineStr">
        <is>
          <t>3226851260</t>
        </is>
      </c>
      <c r="D2012" t="inlineStr">
        <is>
          <t>david.henao4@yahoo.com</t>
        </is>
      </c>
      <c r="E2012" t="inlineStr">
        <is>
          <t>La Estrella</t>
        </is>
      </c>
      <c r="F2012" t="inlineStr">
        <is>
          <t>PRY-002</t>
        </is>
      </c>
      <c r="G2012" t="inlineStr">
        <is>
          <t>Instagram</t>
        </is>
      </c>
      <c r="H2012" t="inlineStr">
        <is>
          <t>Luis Bedoya</t>
        </is>
      </c>
      <c r="I2012" t="inlineStr">
        <is>
          <t>Perdido</t>
        </is>
      </c>
      <c r="J2012" s="28" t="n">
        <v>45899</v>
      </c>
      <c r="K2012" s="28" t="n">
        <v>45913</v>
      </c>
      <c r="L2012" t="inlineStr">
        <is>
          <t>Sin respuesta tras 3 contactos</t>
        </is>
      </c>
    </row>
    <row r="2013">
      <c r="A2013" t="inlineStr">
        <is>
          <t>CLI-2011</t>
        </is>
      </c>
      <c r="B2013" t="inlineStr">
        <is>
          <t>Lorena Correa Zapata</t>
        </is>
      </c>
      <c r="C2013" t="inlineStr">
        <is>
          <t>3209491590</t>
        </is>
      </c>
      <c r="D2013" t="inlineStr">
        <is>
          <t>lorena.correa58@outlook.com</t>
        </is>
      </c>
      <c r="E2013" t="inlineStr">
        <is>
          <t>Bello</t>
        </is>
      </c>
      <c r="F2013" t="inlineStr">
        <is>
          <t>PRY-006</t>
        </is>
      </c>
      <c r="G2013" t="inlineStr">
        <is>
          <t>Llamada directa</t>
        </is>
      </c>
      <c r="H2013" t="inlineStr">
        <is>
          <t>Ana Quintero</t>
        </is>
      </c>
      <c r="I2013" t="inlineStr">
        <is>
          <t>Perdido</t>
        </is>
      </c>
      <c r="J2013" s="28" t="n">
        <v>45900</v>
      </c>
      <c r="K2013" s="28" t="n">
        <v>45927</v>
      </c>
      <c r="L2013" t="inlineStr">
        <is>
          <t>Sin respuesta tras 3 contactos</t>
        </is>
      </c>
    </row>
    <row r="2014">
      <c r="A2014" t="inlineStr">
        <is>
          <t>CLI-2012</t>
        </is>
      </c>
      <c r="B2014" t="inlineStr">
        <is>
          <t>Sandra Bedoya Álvarez</t>
        </is>
      </c>
      <c r="C2014" t="inlineStr">
        <is>
          <t>3109463041</t>
        </is>
      </c>
      <c r="D2014" t="inlineStr">
        <is>
          <t>sandra.bedoya67@gmail.com</t>
        </is>
      </c>
      <c r="E2014" t="inlineStr">
        <is>
          <t>Itagüí</t>
        </is>
      </c>
      <c r="F2014" t="inlineStr">
        <is>
          <t>PRY-008</t>
        </is>
      </c>
      <c r="G2014" t="inlineStr">
        <is>
          <t>Portal Web</t>
        </is>
      </c>
      <c r="H2014" t="inlineStr">
        <is>
          <t>Ana Quintero</t>
        </is>
      </c>
      <c r="I2014" t="inlineStr">
        <is>
          <t>Perdido</t>
        </is>
      </c>
      <c r="J2014" s="28" t="n">
        <v>45900</v>
      </c>
      <c r="K2014" s="28" t="n">
        <v>45906</v>
      </c>
      <c r="L2014" t="inlineStr">
        <is>
          <t>Datos de contacto errados</t>
        </is>
      </c>
    </row>
    <row r="2015">
      <c r="A2015" t="inlineStr">
        <is>
          <t>CLI-2013</t>
        </is>
      </c>
      <c r="B2015" t="inlineStr">
        <is>
          <t>Iván Vargas Mejía</t>
        </is>
      </c>
      <c r="C2015" t="inlineStr">
        <is>
          <t>3204269478</t>
        </is>
      </c>
      <c r="D2015" t="inlineStr">
        <is>
          <t>ivan.vargas87@gmail.com</t>
        </is>
      </c>
      <c r="E2015" t="inlineStr">
        <is>
          <t>Medellín</t>
        </is>
      </c>
      <c r="F2015" t="inlineStr">
        <is>
          <t>PRY-001</t>
        </is>
      </c>
      <c r="G2015" t="inlineStr">
        <is>
          <t>Feria Inmobiliaria</t>
        </is>
      </c>
      <c r="H2015" t="inlineStr">
        <is>
          <t>Mateo Herrera</t>
        </is>
      </c>
      <c r="I2015" t="inlineStr">
        <is>
          <t>Perdido</t>
        </is>
      </c>
      <c r="J2015" s="28" t="n">
        <v>45900</v>
      </c>
      <c r="K2015" s="28" t="n">
        <v>45912</v>
      </c>
      <c r="L2015" t="inlineStr">
        <is>
          <t>No calificó para crédito</t>
        </is>
      </c>
    </row>
    <row r="2016">
      <c r="A2016" t="inlineStr">
        <is>
          <t>CLI-2014</t>
        </is>
      </c>
      <c r="B2016" t="inlineStr">
        <is>
          <t>Carlos Espinosa Ríos</t>
        </is>
      </c>
      <c r="C2016" t="inlineStr">
        <is>
          <t>3001648793</t>
        </is>
      </c>
      <c r="D2016" t="inlineStr">
        <is>
          <t>carlos.espinosa46@gmail.com</t>
        </is>
      </c>
      <c r="E2016" t="inlineStr">
        <is>
          <t>La Estrella</t>
        </is>
      </c>
      <c r="F2016" t="inlineStr">
        <is>
          <t>PRY-001</t>
        </is>
      </c>
      <c r="G2016" t="inlineStr">
        <is>
          <t>Feria Inmobiliaria</t>
        </is>
      </c>
      <c r="H2016" t="inlineStr">
        <is>
          <t>Ana Quintero</t>
        </is>
      </c>
      <c r="I2016" t="inlineStr">
        <is>
          <t>Perdido</t>
        </is>
      </c>
      <c r="J2016" s="28" t="n">
        <v>45900</v>
      </c>
      <c r="K2016" s="28" t="n">
        <v>45927</v>
      </c>
      <c r="L2016" t="inlineStr">
        <is>
          <t>Presupuesto insuficiente</t>
        </is>
      </c>
    </row>
    <row r="2017">
      <c r="A2017" t="inlineStr">
        <is>
          <t>CLI-2015</t>
        </is>
      </c>
      <c r="B2017" t="inlineStr">
        <is>
          <t>María Peláez Castaño</t>
        </is>
      </c>
      <c r="C2017" t="inlineStr">
        <is>
          <t>3177719792</t>
        </is>
      </c>
      <c r="D2017" t="inlineStr">
        <is>
          <t>maria.pelaez79@gmail.com</t>
        </is>
      </c>
      <c r="E2017" t="inlineStr">
        <is>
          <t>Rionegro</t>
        </is>
      </c>
      <c r="F2017" t="inlineStr">
        <is>
          <t>PRY-008</t>
        </is>
      </c>
      <c r="G2017" t="inlineStr">
        <is>
          <t>Facebook</t>
        </is>
      </c>
      <c r="H2017" t="inlineStr">
        <is>
          <t>Juliana Vélez</t>
        </is>
      </c>
      <c r="I2017" t="inlineStr">
        <is>
          <t>Perdido</t>
        </is>
      </c>
      <c r="J2017" s="28" t="n">
        <v>45901</v>
      </c>
      <c r="K2017" s="28" t="n">
        <v>45915</v>
      </c>
      <c r="L2017" t="inlineStr">
        <is>
          <t>Presupuesto insuficiente</t>
        </is>
      </c>
    </row>
    <row r="2018">
      <c r="A2018" t="inlineStr">
        <is>
          <t>CLI-2016</t>
        </is>
      </c>
      <c r="B2018" t="inlineStr">
        <is>
          <t>Alejandra Arango Gaviria</t>
        </is>
      </c>
      <c r="C2018" t="inlineStr">
        <is>
          <t>3207921087</t>
        </is>
      </c>
      <c r="D2018" t="inlineStr">
        <is>
          <t>alejandra.arango56@yahoo.com</t>
        </is>
      </c>
      <c r="E2018" t="inlineStr">
        <is>
          <t>Sabaneta</t>
        </is>
      </c>
      <c r="F2018" t="inlineStr">
        <is>
          <t>PRY-003</t>
        </is>
      </c>
      <c r="G2018" t="inlineStr">
        <is>
          <t>Portal Web</t>
        </is>
      </c>
      <c r="H2018" t="inlineStr">
        <is>
          <t>Luis Bedoya</t>
        </is>
      </c>
      <c r="I2018" t="inlineStr">
        <is>
          <t>Perdido</t>
        </is>
      </c>
      <c r="J2018" s="28" t="n">
        <v>45901</v>
      </c>
      <c r="K2018" s="28" t="n">
        <v>45907</v>
      </c>
      <c r="L2018" t="inlineStr">
        <is>
          <t>Sin respuesta tras 3 contactos</t>
        </is>
      </c>
    </row>
    <row r="2019">
      <c r="A2019" t="inlineStr">
        <is>
          <t>CLI-2017</t>
        </is>
      </c>
      <c r="B2019" t="inlineStr">
        <is>
          <t>Emilio Escobar Zapata</t>
        </is>
      </c>
      <c r="C2019" t="inlineStr">
        <is>
          <t>3207670265</t>
        </is>
      </c>
      <c r="D2019" t="inlineStr">
        <is>
          <t>emilio.escobar45@yahoo.com</t>
        </is>
      </c>
      <c r="E2019" t="inlineStr">
        <is>
          <t>Itagüí</t>
        </is>
      </c>
      <c r="F2019" t="inlineStr">
        <is>
          <t>PRY-006</t>
        </is>
      </c>
      <c r="G2019" t="inlineStr">
        <is>
          <t>Facebook</t>
        </is>
      </c>
      <c r="H2019" t="inlineStr">
        <is>
          <t>Miguel Salazar</t>
        </is>
      </c>
      <c r="I2019" t="inlineStr">
        <is>
          <t>Perdido</t>
        </is>
      </c>
      <c r="J2019" s="28" t="n">
        <v>45901</v>
      </c>
      <c r="K2019" s="28" t="n">
        <v>45913</v>
      </c>
      <c r="L2019" t="inlineStr">
        <is>
          <t>No calificó para crédito</t>
        </is>
      </c>
    </row>
    <row r="2020">
      <c r="A2020" t="inlineStr">
        <is>
          <t>CLI-2018</t>
        </is>
      </c>
      <c r="B2020" t="inlineStr">
        <is>
          <t>Laura Betancur Bedoya</t>
        </is>
      </c>
      <c r="C2020" t="inlineStr">
        <is>
          <t>3178824510</t>
        </is>
      </c>
      <c r="D2020" t="inlineStr">
        <is>
          <t>laura.betancur56@yahoo.com</t>
        </is>
      </c>
      <c r="E2020" t="inlineStr">
        <is>
          <t>Medellín</t>
        </is>
      </c>
      <c r="F2020" t="inlineStr">
        <is>
          <t>PRY-002</t>
        </is>
      </c>
      <c r="G2020" t="inlineStr">
        <is>
          <t>Portal Web</t>
        </is>
      </c>
      <c r="H2020" t="inlineStr">
        <is>
          <t>Luis Bedoya</t>
        </is>
      </c>
      <c r="I2020" t="inlineStr">
        <is>
          <t>Perdido</t>
        </is>
      </c>
      <c r="J2020" s="28" t="n">
        <v>45902</v>
      </c>
      <c r="K2020" s="28" t="n">
        <v>46008</v>
      </c>
      <c r="L2020" t="inlineStr">
        <is>
          <t>Precio fuera de presupuesto</t>
        </is>
      </c>
    </row>
    <row r="2021">
      <c r="A2021" t="inlineStr">
        <is>
          <t>CLI-2019</t>
        </is>
      </c>
      <c r="B2021" t="inlineStr">
        <is>
          <t>Natalia Toro Vélez</t>
        </is>
      </c>
      <c r="C2021" t="inlineStr">
        <is>
          <t>3003070647</t>
        </is>
      </c>
      <c r="D2021" t="inlineStr">
        <is>
          <t>natalia.toro71@hotmail.com</t>
        </is>
      </c>
      <c r="E2021" t="inlineStr">
        <is>
          <t>La Estrella</t>
        </is>
      </c>
      <c r="F2021" t="inlineStr">
        <is>
          <t>PRY-008</t>
        </is>
      </c>
      <c r="G2021" t="inlineStr">
        <is>
          <t>Llamada directa</t>
        </is>
      </c>
      <c r="H2021" t="inlineStr">
        <is>
          <t>Santiago Muñoz</t>
        </is>
      </c>
      <c r="I2021" t="inlineStr">
        <is>
          <t>Perdido</t>
        </is>
      </c>
      <c r="J2021" s="28" t="n">
        <v>45902</v>
      </c>
      <c r="K2021" s="28" t="n">
        <v>45923</v>
      </c>
      <c r="L2021" t="inlineStr">
        <is>
          <t>No calificó para crédito</t>
        </is>
      </c>
    </row>
    <row r="2022">
      <c r="A2022" t="inlineStr">
        <is>
          <t>CLI-2020</t>
        </is>
      </c>
      <c r="B2022" t="inlineStr">
        <is>
          <t>Wilson Giraldo Restrepo</t>
        </is>
      </c>
      <c r="C2022" t="inlineStr">
        <is>
          <t>3209377439</t>
        </is>
      </c>
      <c r="D2022" t="inlineStr">
        <is>
          <t>wilson.giraldo53@outlook.com</t>
        </is>
      </c>
      <c r="E2022" t="inlineStr">
        <is>
          <t>Rionegro</t>
        </is>
      </c>
      <c r="F2022" t="inlineStr">
        <is>
          <t>PRY-006</t>
        </is>
      </c>
      <c r="G2022" t="inlineStr">
        <is>
          <t>Portal Web</t>
        </is>
      </c>
      <c r="H2022" t="inlineStr">
        <is>
          <t>Paula Arenas</t>
        </is>
      </c>
      <c r="I2022" t="inlineStr">
        <is>
          <t>Perdido</t>
        </is>
      </c>
      <c r="J2022" s="28" t="n">
        <v>45902</v>
      </c>
      <c r="K2022" s="28" t="n">
        <v>45931</v>
      </c>
      <c r="L2022" t="inlineStr">
        <is>
          <t>Buscaba arriendo, no compra</t>
        </is>
      </c>
    </row>
    <row r="2023">
      <c r="A2023" t="inlineStr">
        <is>
          <t>CLI-2021</t>
        </is>
      </c>
      <c r="B2023" t="inlineStr">
        <is>
          <t>Laura Palacio Castaño</t>
        </is>
      </c>
      <c r="C2023" t="inlineStr">
        <is>
          <t>3241525738</t>
        </is>
      </c>
      <c r="D2023" t="inlineStr">
        <is>
          <t>laura.palacio26@yahoo.com</t>
        </is>
      </c>
      <c r="E2023" t="inlineStr">
        <is>
          <t>La Estrella</t>
        </is>
      </c>
      <c r="F2023" t="inlineStr">
        <is>
          <t>PRY-002</t>
        </is>
      </c>
      <c r="G2023" t="inlineStr">
        <is>
          <t>Instagram</t>
        </is>
      </c>
      <c r="H2023" t="inlineStr">
        <is>
          <t>Juliana Vélez</t>
        </is>
      </c>
      <c r="I2023" t="inlineStr">
        <is>
          <t>Ganado</t>
        </is>
      </c>
      <c r="J2023" s="28" t="n">
        <v>45903</v>
      </c>
      <c r="K2023" s="28" t="n">
        <v>46030</v>
      </c>
      <c r="L2023" t="inlineStr">
        <is>
          <t>Compró Casa 26 en Reserva Santa Elena</t>
        </is>
      </c>
    </row>
    <row r="2024">
      <c r="A2024" t="inlineStr">
        <is>
          <t>CLI-2022</t>
        </is>
      </c>
      <c r="B2024" t="inlineStr">
        <is>
          <t>Mariana Zuluaga Mejía</t>
        </is>
      </c>
      <c r="C2024" t="inlineStr">
        <is>
          <t>3226789165</t>
        </is>
      </c>
      <c r="D2024" t="inlineStr">
        <is>
          <t>mariana.zuluaga47@outlook.com</t>
        </is>
      </c>
      <c r="E2024" t="inlineStr">
        <is>
          <t>Envigado</t>
        </is>
      </c>
      <c r="F2024" t="inlineStr">
        <is>
          <t>PRY-007</t>
        </is>
      </c>
      <c r="G2024" t="inlineStr">
        <is>
          <t>Feria Inmobiliaria</t>
        </is>
      </c>
      <c r="H2024" t="inlineStr">
        <is>
          <t>Juliana Vélez</t>
        </is>
      </c>
      <c r="I2024" t="inlineStr">
        <is>
          <t>Ganado</t>
        </is>
      </c>
      <c r="J2024" s="28" t="n">
        <v>45903</v>
      </c>
      <c r="K2024" s="28" t="n">
        <v>46023</v>
      </c>
      <c r="L2024" t="inlineStr">
        <is>
          <t>Compró Apto 806 en Mirador de Envigado</t>
        </is>
      </c>
    </row>
    <row r="2025">
      <c r="A2025" t="inlineStr">
        <is>
          <t>CLI-2023</t>
        </is>
      </c>
      <c r="B2025" t="inlineStr">
        <is>
          <t>Hernán Zapata Betancur</t>
        </is>
      </c>
      <c r="C2025" t="inlineStr">
        <is>
          <t>3005589655</t>
        </is>
      </c>
      <c r="D2025" t="inlineStr">
        <is>
          <t>hernan.zapata90@gmail.com</t>
        </is>
      </c>
      <c r="E2025" t="inlineStr">
        <is>
          <t>Medellín</t>
        </is>
      </c>
      <c r="F2025" t="inlineStr">
        <is>
          <t>PRY-001</t>
        </is>
      </c>
      <c r="G2025" t="inlineStr">
        <is>
          <t>Portal Web</t>
        </is>
      </c>
      <c r="H2025" t="inlineStr">
        <is>
          <t>Luis Bedoya</t>
        </is>
      </c>
      <c r="I2025" t="inlineStr">
        <is>
          <t>Perdido</t>
        </is>
      </c>
      <c r="J2025" s="28" t="n">
        <v>45903</v>
      </c>
      <c r="K2025" s="28" t="n">
        <v>45910</v>
      </c>
      <c r="L2025" t="inlineStr">
        <is>
          <t>No calificó para crédito</t>
        </is>
      </c>
    </row>
    <row r="2026">
      <c r="A2026" t="inlineStr">
        <is>
          <t>CLI-2024</t>
        </is>
      </c>
      <c r="B2026" t="inlineStr">
        <is>
          <t>David Salcedo Giraldo</t>
        </is>
      </c>
      <c r="C2026" t="inlineStr">
        <is>
          <t>3249978654</t>
        </is>
      </c>
      <c r="D2026" t="inlineStr">
        <is>
          <t>david.salcedo65@gmail.com</t>
        </is>
      </c>
      <c r="E2026" t="inlineStr">
        <is>
          <t>Rionegro</t>
        </is>
      </c>
      <c r="F2026" t="inlineStr">
        <is>
          <t>PRY-005</t>
        </is>
      </c>
      <c r="G2026" t="inlineStr">
        <is>
          <t>Referido</t>
        </is>
      </c>
      <c r="H2026" t="inlineStr">
        <is>
          <t>Luis Bedoya</t>
        </is>
      </c>
      <c r="I2026" t="inlineStr">
        <is>
          <t>Ganado</t>
        </is>
      </c>
      <c r="J2026" s="28" t="n">
        <v>45904</v>
      </c>
      <c r="K2026" s="28" t="n">
        <v>46050</v>
      </c>
      <c r="L2026" t="inlineStr">
        <is>
          <t>Compró Casa 41 en Ciudadela Rionegro</t>
        </is>
      </c>
    </row>
    <row r="2027">
      <c r="A2027" t="inlineStr">
        <is>
          <t>CLI-2025</t>
        </is>
      </c>
      <c r="B2027" t="inlineStr">
        <is>
          <t>Tomás Zuluaga Restrepo</t>
        </is>
      </c>
      <c r="C2027" t="inlineStr">
        <is>
          <t>3143676180</t>
        </is>
      </c>
      <c r="D2027" t="inlineStr">
        <is>
          <t>tomas.zuluaga46@hotmail.com</t>
        </is>
      </c>
      <c r="E2027" t="inlineStr">
        <is>
          <t>Medellín</t>
        </is>
      </c>
      <c r="F2027" t="inlineStr">
        <is>
          <t>PRY-003</t>
        </is>
      </c>
      <c r="G2027" t="inlineStr">
        <is>
          <t>Facebook</t>
        </is>
      </c>
      <c r="H2027" t="inlineStr">
        <is>
          <t>Paula Arenas</t>
        </is>
      </c>
      <c r="I2027" t="inlineStr">
        <is>
          <t>Ganado</t>
        </is>
      </c>
      <c r="J2027" s="28" t="n">
        <v>45904</v>
      </c>
      <c r="K2027" s="28" t="n">
        <v>46008</v>
      </c>
      <c r="L2027" t="inlineStr">
        <is>
          <t>Compró Apto 701 en Conecta Laureles</t>
        </is>
      </c>
    </row>
    <row r="2028">
      <c r="A2028" t="inlineStr">
        <is>
          <t>CLI-2026</t>
        </is>
      </c>
      <c r="B2028" t="inlineStr">
        <is>
          <t>Catalina Montoya Hernández</t>
        </is>
      </c>
      <c r="C2028" t="inlineStr">
        <is>
          <t>3105883171</t>
        </is>
      </c>
      <c r="D2028" t="inlineStr">
        <is>
          <t>catalina.montoya62@gmail.com</t>
        </is>
      </c>
      <c r="E2028" t="inlineStr">
        <is>
          <t>Medellín</t>
        </is>
      </c>
      <c r="F2028" t="inlineStr">
        <is>
          <t>PRY-003</t>
        </is>
      </c>
      <c r="G2028" t="inlineStr">
        <is>
          <t>Referido</t>
        </is>
      </c>
      <c r="H2028" t="inlineStr">
        <is>
          <t>Ana Quintero</t>
        </is>
      </c>
      <c r="I2028" t="inlineStr">
        <is>
          <t>Ganado</t>
        </is>
      </c>
      <c r="J2028" s="28" t="n">
        <v>45904</v>
      </c>
      <c r="K2028" s="28" t="n">
        <v>46040</v>
      </c>
      <c r="L2028" t="inlineStr">
        <is>
          <t>Compró Apto 905 en Conecta Laureles</t>
        </is>
      </c>
    </row>
    <row r="2029">
      <c r="A2029" t="inlineStr">
        <is>
          <t>CLI-2027</t>
        </is>
      </c>
      <c r="B2029" t="inlineStr">
        <is>
          <t>Laura Bedoya Espinosa</t>
        </is>
      </c>
      <c r="C2029" t="inlineStr">
        <is>
          <t>3155315913</t>
        </is>
      </c>
      <c r="D2029" t="inlineStr">
        <is>
          <t>laura.bedoya93@yahoo.com</t>
        </is>
      </c>
      <c r="E2029" t="inlineStr">
        <is>
          <t>Envigado</t>
        </is>
      </c>
      <c r="F2029" t="inlineStr">
        <is>
          <t>PRY-001</t>
        </is>
      </c>
      <c r="G2029" t="inlineStr">
        <is>
          <t>Portal Web</t>
        </is>
      </c>
      <c r="H2029" t="inlineStr">
        <is>
          <t>Paula Arenas</t>
        </is>
      </c>
      <c r="I2029" t="inlineStr">
        <is>
          <t>Perdido</t>
        </is>
      </c>
      <c r="J2029" s="28" t="n">
        <v>45904</v>
      </c>
      <c r="K2029" s="28" t="n">
        <v>45921</v>
      </c>
      <c r="L2029" t="inlineStr">
        <is>
          <t>No calificó para crédito</t>
        </is>
      </c>
    </row>
    <row r="2030">
      <c r="A2030" t="inlineStr">
        <is>
          <t>CLI-2028</t>
        </is>
      </c>
      <c r="B2030" t="inlineStr">
        <is>
          <t>Valentina Vásquez Hernández</t>
        </is>
      </c>
      <c r="C2030" t="inlineStr">
        <is>
          <t>3234234526</t>
        </is>
      </c>
      <c r="D2030" t="inlineStr">
        <is>
          <t>valentina.vasquez62@outlook.com</t>
        </is>
      </c>
      <c r="E2030" t="inlineStr">
        <is>
          <t>Medellín</t>
        </is>
      </c>
      <c r="F2030" t="inlineStr">
        <is>
          <t>PRY-007</t>
        </is>
      </c>
      <c r="G2030" t="inlineStr">
        <is>
          <t>Facebook</t>
        </is>
      </c>
      <c r="H2030" t="inlineStr">
        <is>
          <t>Mateo Herrera</t>
        </is>
      </c>
      <c r="I2030" t="inlineStr">
        <is>
          <t>Perdido</t>
        </is>
      </c>
      <c r="J2030" s="28" t="n">
        <v>45904</v>
      </c>
      <c r="K2030" s="28" t="n">
        <v>45934</v>
      </c>
      <c r="L2030" t="inlineStr">
        <is>
          <t>No calificó para crédito</t>
        </is>
      </c>
    </row>
    <row r="2031">
      <c r="A2031" t="inlineStr">
        <is>
          <t>CLI-2029</t>
        </is>
      </c>
      <c r="B2031" t="inlineStr">
        <is>
          <t>Santiago Henao Escobar</t>
        </is>
      </c>
      <c r="C2031" t="inlineStr">
        <is>
          <t>3228662552</t>
        </is>
      </c>
      <c r="D2031" t="inlineStr">
        <is>
          <t>santiago.henao84@yahoo.com</t>
        </is>
      </c>
      <c r="E2031" t="inlineStr">
        <is>
          <t>Sabaneta</t>
        </is>
      </c>
      <c r="F2031" t="inlineStr">
        <is>
          <t>PRY-003</t>
        </is>
      </c>
      <c r="G2031" t="inlineStr">
        <is>
          <t>Instagram</t>
        </is>
      </c>
      <c r="H2031" t="inlineStr">
        <is>
          <t>Sofía Prada</t>
        </is>
      </c>
      <c r="I2031" t="inlineStr">
        <is>
          <t>Perdido</t>
        </is>
      </c>
      <c r="J2031" s="28" t="n">
        <v>45904</v>
      </c>
      <c r="K2031" s="28" t="n">
        <v>45921</v>
      </c>
      <c r="L2031" t="inlineStr">
        <is>
          <t>Buscaba arriendo, no compra</t>
        </is>
      </c>
    </row>
    <row r="2032">
      <c r="A2032" t="inlineStr">
        <is>
          <t>CLI-2030</t>
        </is>
      </c>
      <c r="B2032" t="inlineStr">
        <is>
          <t>Simón Pérez Arango</t>
        </is>
      </c>
      <c r="C2032" t="inlineStr">
        <is>
          <t>3149804536</t>
        </is>
      </c>
      <c r="D2032" t="inlineStr">
        <is>
          <t>simon.perez31@outlook.com</t>
        </is>
      </c>
      <c r="E2032" t="inlineStr">
        <is>
          <t>Rionegro</t>
        </is>
      </c>
      <c r="F2032" t="inlineStr">
        <is>
          <t>PRY-005</t>
        </is>
      </c>
      <c r="G2032" t="inlineStr">
        <is>
          <t>Facebook</t>
        </is>
      </c>
      <c r="H2032" t="inlineStr">
        <is>
          <t>Ana Quintero</t>
        </is>
      </c>
      <c r="I2032" t="inlineStr">
        <is>
          <t>Perdido</t>
        </is>
      </c>
      <c r="J2032" s="28" t="n">
        <v>45904</v>
      </c>
      <c r="K2032" s="28" t="n">
        <v>45923</v>
      </c>
      <c r="L2032" t="inlineStr">
        <is>
          <t>Sin respuesta tras 3 contactos</t>
        </is>
      </c>
    </row>
    <row r="2033">
      <c r="A2033" t="inlineStr">
        <is>
          <t>CLI-2031</t>
        </is>
      </c>
      <c r="B2033" t="inlineStr">
        <is>
          <t>Isabel Henao Osorio</t>
        </is>
      </c>
      <c r="C2033" t="inlineStr">
        <is>
          <t>3176000959</t>
        </is>
      </c>
      <c r="D2033" t="inlineStr">
        <is>
          <t>isabel.henao78@gmail.com</t>
        </is>
      </c>
      <c r="E2033" t="inlineStr">
        <is>
          <t>Medellín</t>
        </is>
      </c>
      <c r="F2033" t="inlineStr">
        <is>
          <t>PRY-007</t>
        </is>
      </c>
      <c r="G2033" t="inlineStr">
        <is>
          <t>Llamada directa</t>
        </is>
      </c>
      <c r="H2033" t="inlineStr">
        <is>
          <t>Luis Bedoya</t>
        </is>
      </c>
      <c r="I2033" t="inlineStr">
        <is>
          <t>Ganado</t>
        </is>
      </c>
      <c r="J2033" s="28" t="n">
        <v>45905</v>
      </c>
      <c r="K2033" s="28" t="n">
        <v>46074</v>
      </c>
      <c r="L2033" t="inlineStr">
        <is>
          <t>Compró Apto 302 en Mirador de Envigado</t>
        </is>
      </c>
    </row>
    <row r="2034">
      <c r="A2034" t="inlineStr">
        <is>
          <t>CLI-2032</t>
        </is>
      </c>
      <c r="B2034" t="inlineStr">
        <is>
          <t>Marcela Franco Toro</t>
        </is>
      </c>
      <c r="C2034" t="inlineStr">
        <is>
          <t>3223698311</t>
        </is>
      </c>
      <c r="D2034" t="inlineStr">
        <is>
          <t>marcela.franco45@hotmail.com</t>
        </is>
      </c>
      <c r="E2034" t="inlineStr">
        <is>
          <t>Itagüí</t>
        </is>
      </c>
      <c r="F2034" t="inlineStr">
        <is>
          <t>PRY-006</t>
        </is>
      </c>
      <c r="G2034" t="inlineStr">
        <is>
          <t>Instagram</t>
        </is>
      </c>
      <c r="H2034" t="inlineStr">
        <is>
          <t>Santiago Muñoz</t>
        </is>
      </c>
      <c r="I2034" t="inlineStr">
        <is>
          <t>Perdido</t>
        </is>
      </c>
      <c r="J2034" s="28" t="n">
        <v>45905</v>
      </c>
      <c r="K2034" s="28" t="n">
        <v>45916</v>
      </c>
      <c r="L2034" t="inlineStr">
        <is>
          <t>Sin respuesta tras 3 contactos</t>
        </is>
      </c>
    </row>
    <row r="2035">
      <c r="A2035" t="inlineStr">
        <is>
          <t>CLI-2033</t>
        </is>
      </c>
      <c r="B2035" t="inlineStr">
        <is>
          <t>Hernán Henao Muñoz</t>
        </is>
      </c>
      <c r="C2035" t="inlineStr">
        <is>
          <t>3209303217</t>
        </is>
      </c>
      <c r="D2035" t="inlineStr">
        <is>
          <t>hernan.henao94@outlook.com</t>
        </is>
      </c>
      <c r="E2035" t="inlineStr">
        <is>
          <t>Bello</t>
        </is>
      </c>
      <c r="F2035" t="inlineStr">
        <is>
          <t>PRY-007</t>
        </is>
      </c>
      <c r="G2035" t="inlineStr">
        <is>
          <t>Portal Web</t>
        </is>
      </c>
      <c r="H2035" t="inlineStr">
        <is>
          <t>Luis Bedoya</t>
        </is>
      </c>
      <c r="I2035" t="inlineStr">
        <is>
          <t>Perdido</t>
        </is>
      </c>
      <c r="J2035" s="28" t="n">
        <v>45905</v>
      </c>
      <c r="K2035" s="28" t="n">
        <v>45934</v>
      </c>
      <c r="L2035" t="inlineStr">
        <is>
          <t>Datos de contacto errados</t>
        </is>
      </c>
    </row>
    <row r="2036">
      <c r="A2036" t="inlineStr">
        <is>
          <t>CLI-2034</t>
        </is>
      </c>
      <c r="B2036" t="inlineStr">
        <is>
          <t>Patricia Hernández Restrepo</t>
        </is>
      </c>
      <c r="C2036" t="inlineStr">
        <is>
          <t>3019540021</t>
        </is>
      </c>
      <c r="D2036" t="inlineStr">
        <is>
          <t>patricia.hernandez84@outlook.com</t>
        </is>
      </c>
      <c r="E2036" t="inlineStr">
        <is>
          <t>Medellín</t>
        </is>
      </c>
      <c r="F2036" t="inlineStr">
        <is>
          <t>PRY-003</t>
        </is>
      </c>
      <c r="G2036" t="inlineStr">
        <is>
          <t>Referido</t>
        </is>
      </c>
      <c r="H2036" t="inlineStr">
        <is>
          <t>Santiago Muñoz</t>
        </is>
      </c>
      <c r="I2036" t="inlineStr">
        <is>
          <t>Perdido</t>
        </is>
      </c>
      <c r="J2036" s="28" t="n">
        <v>45905</v>
      </c>
      <c r="K2036" s="28" t="n">
        <v>45910</v>
      </c>
      <c r="L2036" t="inlineStr">
        <is>
          <t>Buscaba arriendo, no compra</t>
        </is>
      </c>
    </row>
    <row r="2037">
      <c r="A2037" t="inlineStr">
        <is>
          <t>CLI-2035</t>
        </is>
      </c>
      <c r="B2037" t="inlineStr">
        <is>
          <t>Ricardo Henao Álvarez</t>
        </is>
      </c>
      <c r="C2037" t="inlineStr">
        <is>
          <t>3173546961</t>
        </is>
      </c>
      <c r="D2037" t="inlineStr">
        <is>
          <t>ricardo.henao99@yahoo.com</t>
        </is>
      </c>
      <c r="E2037" t="inlineStr">
        <is>
          <t>Rionegro</t>
        </is>
      </c>
      <c r="F2037" t="inlineStr">
        <is>
          <t>PRY-001</t>
        </is>
      </c>
      <c r="G2037" t="inlineStr">
        <is>
          <t>Referido</t>
        </is>
      </c>
      <c r="H2037" t="inlineStr">
        <is>
          <t>Santiago Muñoz</t>
        </is>
      </c>
      <c r="I2037" t="inlineStr">
        <is>
          <t>Ganado</t>
        </is>
      </c>
      <c r="J2037" s="28" t="n">
        <v>45906</v>
      </c>
      <c r="K2037" s="28" t="n">
        <v>46048</v>
      </c>
      <c r="L2037" t="inlineStr">
        <is>
          <t>Compró Apto 1105 en Torres del Poblado</t>
        </is>
      </c>
    </row>
    <row r="2038">
      <c r="A2038" t="inlineStr">
        <is>
          <t>CLI-2036</t>
        </is>
      </c>
      <c r="B2038" t="inlineStr">
        <is>
          <t>Isabel Marín Zapata</t>
        </is>
      </c>
      <c r="C2038" t="inlineStr">
        <is>
          <t>3144613267</t>
        </is>
      </c>
      <c r="D2038" t="inlineStr">
        <is>
          <t>isabel.marin7@outlook.com</t>
        </is>
      </c>
      <c r="E2038" t="inlineStr">
        <is>
          <t>Medellín</t>
        </is>
      </c>
      <c r="F2038" t="inlineStr">
        <is>
          <t>PRY-003</t>
        </is>
      </c>
      <c r="G2038" t="inlineStr">
        <is>
          <t>Portal Web</t>
        </is>
      </c>
      <c r="H2038" t="inlineStr">
        <is>
          <t>Luis Bedoya</t>
        </is>
      </c>
      <c r="I2038" t="inlineStr">
        <is>
          <t>Ganado</t>
        </is>
      </c>
      <c r="J2038" s="28" t="n">
        <v>45906</v>
      </c>
      <c r="K2038" s="28" t="n">
        <v>45966</v>
      </c>
      <c r="L2038" t="inlineStr">
        <is>
          <t>Compró Apto 1303 en Conecta Laureles</t>
        </is>
      </c>
    </row>
    <row r="2039">
      <c r="A2039" t="inlineStr">
        <is>
          <t>CLI-2037</t>
        </is>
      </c>
      <c r="B2039" t="inlineStr">
        <is>
          <t>José Echeverri Restrepo</t>
        </is>
      </c>
      <c r="C2039" t="inlineStr">
        <is>
          <t>3174245151</t>
        </is>
      </c>
      <c r="D2039" t="inlineStr">
        <is>
          <t>jose.echeverri15@gmail.com</t>
        </is>
      </c>
      <c r="E2039" t="inlineStr">
        <is>
          <t>Itagüí</t>
        </is>
      </c>
      <c r="F2039" t="inlineStr">
        <is>
          <t>PRY-008</t>
        </is>
      </c>
      <c r="G2039" t="inlineStr">
        <is>
          <t>Facebook</t>
        </is>
      </c>
      <c r="H2039" t="inlineStr">
        <is>
          <t>Paula Arenas</t>
        </is>
      </c>
      <c r="I2039" t="inlineStr">
        <is>
          <t>Perdido</t>
        </is>
      </c>
      <c r="J2039" s="28" t="n">
        <v>45906</v>
      </c>
      <c r="K2039" s="28" t="n">
        <v>45922</v>
      </c>
      <c r="L2039" t="inlineStr">
        <is>
          <t>Sin respuesta tras 3 contactos</t>
        </is>
      </c>
    </row>
    <row r="2040">
      <c r="A2040" t="inlineStr">
        <is>
          <t>CLI-2038</t>
        </is>
      </c>
      <c r="B2040" t="inlineStr">
        <is>
          <t>Mariana Osorio Uribe</t>
        </is>
      </c>
      <c r="C2040" t="inlineStr">
        <is>
          <t>3223052694</t>
        </is>
      </c>
      <c r="D2040" t="inlineStr">
        <is>
          <t>mariana.osorio49@yahoo.com</t>
        </is>
      </c>
      <c r="E2040" t="inlineStr">
        <is>
          <t>La Estrella</t>
        </is>
      </c>
      <c r="F2040" t="inlineStr">
        <is>
          <t>PRY-007</t>
        </is>
      </c>
      <c r="G2040" t="inlineStr">
        <is>
          <t>Instagram</t>
        </is>
      </c>
      <c r="H2040" t="inlineStr">
        <is>
          <t>Sofía Prada</t>
        </is>
      </c>
      <c r="I2040" t="inlineStr">
        <is>
          <t>Perdido</t>
        </is>
      </c>
      <c r="J2040" s="28" t="n">
        <v>45906</v>
      </c>
      <c r="K2040" s="28" t="n">
        <v>45930</v>
      </c>
      <c r="L2040" t="inlineStr">
        <is>
          <t>Sin respuesta tras 3 contactos</t>
        </is>
      </c>
    </row>
    <row r="2041">
      <c r="A2041" t="inlineStr">
        <is>
          <t>CLI-2039</t>
        </is>
      </c>
      <c r="B2041" t="inlineStr">
        <is>
          <t>Sandra Castaño Zapata</t>
        </is>
      </c>
      <c r="C2041" t="inlineStr">
        <is>
          <t>3142028450</t>
        </is>
      </c>
      <c r="D2041" t="inlineStr">
        <is>
          <t>sandra.castano90@yahoo.com</t>
        </is>
      </c>
      <c r="E2041" t="inlineStr">
        <is>
          <t>Medellín</t>
        </is>
      </c>
      <c r="F2041" t="inlineStr">
        <is>
          <t>PRY-001</t>
        </is>
      </c>
      <c r="G2041" t="inlineStr">
        <is>
          <t>Feria Inmobiliaria</t>
        </is>
      </c>
      <c r="H2041" t="inlineStr">
        <is>
          <t>Santiago Muñoz</t>
        </is>
      </c>
      <c r="I2041" t="inlineStr">
        <is>
          <t>Ganado</t>
        </is>
      </c>
      <c r="J2041" s="28" t="n">
        <v>45908</v>
      </c>
      <c r="K2041" s="28" t="n">
        <v>46048</v>
      </c>
      <c r="L2041" t="inlineStr">
        <is>
          <t>Compró Apto 1002 en Torres del Poblado</t>
        </is>
      </c>
    </row>
    <row r="2042">
      <c r="A2042" t="inlineStr">
        <is>
          <t>CLI-2040</t>
        </is>
      </c>
      <c r="B2042" t="inlineStr">
        <is>
          <t>Mónica Henao Palacio</t>
        </is>
      </c>
      <c r="C2042" t="inlineStr">
        <is>
          <t>3015506422</t>
        </is>
      </c>
      <c r="D2042" t="inlineStr">
        <is>
          <t>monica.henao37@outlook.com</t>
        </is>
      </c>
      <c r="E2042" t="inlineStr">
        <is>
          <t>Itagüí</t>
        </is>
      </c>
      <c r="F2042" t="inlineStr">
        <is>
          <t>PRY-001</t>
        </is>
      </c>
      <c r="G2042" t="inlineStr">
        <is>
          <t>Facebook</t>
        </is>
      </c>
      <c r="H2042" t="inlineStr">
        <is>
          <t>Daniela Ríos</t>
        </is>
      </c>
      <c r="I2042" t="inlineStr">
        <is>
          <t>Perdido</t>
        </is>
      </c>
      <c r="J2042" s="28" t="n">
        <v>45908</v>
      </c>
      <c r="K2042" s="28" t="n">
        <v>45918</v>
      </c>
      <c r="L2042" t="inlineStr">
        <is>
          <t>No calificó para crédito</t>
        </is>
      </c>
    </row>
    <row r="2043">
      <c r="A2043" t="inlineStr">
        <is>
          <t>CLI-2041</t>
        </is>
      </c>
      <c r="B2043" t="inlineStr">
        <is>
          <t>Catalina Uribe López</t>
        </is>
      </c>
      <c r="C2043" t="inlineStr">
        <is>
          <t>3045578632</t>
        </is>
      </c>
      <c r="D2043" t="inlineStr">
        <is>
          <t>catalina.uribe11@yahoo.com</t>
        </is>
      </c>
      <c r="E2043" t="inlineStr">
        <is>
          <t>Sabaneta</t>
        </is>
      </c>
      <c r="F2043" t="inlineStr">
        <is>
          <t>PRY-005</t>
        </is>
      </c>
      <c r="G2043" t="inlineStr">
        <is>
          <t>Feria Inmobiliaria</t>
        </is>
      </c>
      <c r="H2043" t="inlineStr">
        <is>
          <t>Andrés Torres</t>
        </is>
      </c>
      <c r="I2043" t="inlineStr">
        <is>
          <t>Perdido</t>
        </is>
      </c>
      <c r="J2043" s="28" t="n">
        <v>45908</v>
      </c>
      <c r="K2043" s="28" t="n">
        <v>45926</v>
      </c>
      <c r="L2043" t="inlineStr">
        <is>
          <t>Presupuesto insuficiente</t>
        </is>
      </c>
    </row>
    <row r="2044">
      <c r="A2044" t="inlineStr">
        <is>
          <t>CLI-2042</t>
        </is>
      </c>
      <c r="B2044" t="inlineStr">
        <is>
          <t>Verónica Escobar Álvarez</t>
        </is>
      </c>
      <c r="C2044" t="inlineStr">
        <is>
          <t>3226159846</t>
        </is>
      </c>
      <c r="D2044" t="inlineStr">
        <is>
          <t>veronica.escobar83@yahoo.com</t>
        </is>
      </c>
      <c r="E2044" t="inlineStr">
        <is>
          <t>Bello</t>
        </is>
      </c>
      <c r="F2044" t="inlineStr">
        <is>
          <t>PRY-006</t>
        </is>
      </c>
      <c r="G2044" t="inlineStr">
        <is>
          <t>Llamada directa</t>
        </is>
      </c>
      <c r="H2044" t="inlineStr">
        <is>
          <t>Miguel Salazar</t>
        </is>
      </c>
      <c r="I2044" t="inlineStr">
        <is>
          <t>Perdido</t>
        </is>
      </c>
      <c r="J2044" s="28" t="n">
        <v>45908</v>
      </c>
      <c r="K2044" s="28" t="n">
        <v>45926</v>
      </c>
      <c r="L2044" t="inlineStr">
        <is>
          <t>Presupuesto insuficiente</t>
        </is>
      </c>
    </row>
    <row r="2045">
      <c r="A2045" t="inlineStr">
        <is>
          <t>CLI-2043</t>
        </is>
      </c>
      <c r="B2045" t="inlineStr">
        <is>
          <t>Ximena Toro Bedoya</t>
        </is>
      </c>
      <c r="C2045" t="inlineStr">
        <is>
          <t>3135210248</t>
        </is>
      </c>
      <c r="D2045" t="inlineStr">
        <is>
          <t>ximena.toro27@yahoo.com</t>
        </is>
      </c>
      <c r="E2045" t="inlineStr">
        <is>
          <t>Medellín</t>
        </is>
      </c>
      <c r="F2045" t="inlineStr">
        <is>
          <t>PRY-008</t>
        </is>
      </c>
      <c r="G2045" t="inlineStr">
        <is>
          <t>Referido</t>
        </is>
      </c>
      <c r="H2045" t="inlineStr">
        <is>
          <t>Juliana Vélez</t>
        </is>
      </c>
      <c r="I2045" t="inlineStr">
        <is>
          <t>Perdido</t>
        </is>
      </c>
      <c r="J2045" s="28" t="n">
        <v>45908</v>
      </c>
      <c r="K2045" s="28" t="n">
        <v>45936</v>
      </c>
      <c r="L2045" t="inlineStr">
        <is>
          <t>Sin respuesta tras 3 contactos</t>
        </is>
      </c>
    </row>
    <row r="2046">
      <c r="A2046" t="inlineStr">
        <is>
          <t>CLI-2044</t>
        </is>
      </c>
      <c r="B2046" t="inlineStr">
        <is>
          <t>Daniela Sánchez Betancur</t>
        </is>
      </c>
      <c r="C2046" t="inlineStr">
        <is>
          <t>3227331280</t>
        </is>
      </c>
      <c r="D2046" t="inlineStr">
        <is>
          <t>daniela.sanchez12@gmail.com</t>
        </is>
      </c>
      <c r="E2046" t="inlineStr">
        <is>
          <t>Itagüí</t>
        </is>
      </c>
      <c r="F2046" t="inlineStr">
        <is>
          <t>PRY-008</t>
        </is>
      </c>
      <c r="G2046" t="inlineStr">
        <is>
          <t>Facebook</t>
        </is>
      </c>
      <c r="H2046" t="inlineStr">
        <is>
          <t>Sofía Prada</t>
        </is>
      </c>
      <c r="I2046" t="inlineStr">
        <is>
          <t>Perdido</t>
        </is>
      </c>
      <c r="J2046" s="28" t="n">
        <v>45909</v>
      </c>
      <c r="K2046" s="28" t="n">
        <v>45942</v>
      </c>
      <c r="L2046" t="inlineStr">
        <is>
          <t>Crédito no aprobado</t>
        </is>
      </c>
    </row>
    <row r="2047">
      <c r="A2047" t="inlineStr">
        <is>
          <t>CLI-2045</t>
        </is>
      </c>
      <c r="B2047" t="inlineStr">
        <is>
          <t>Felipe Muñoz Espinosa</t>
        </is>
      </c>
      <c r="C2047" t="inlineStr">
        <is>
          <t>3003008230</t>
        </is>
      </c>
      <c r="D2047" t="inlineStr">
        <is>
          <t>felipe.munoz25@gmail.com</t>
        </is>
      </c>
      <c r="E2047" t="inlineStr">
        <is>
          <t>Envigado</t>
        </is>
      </c>
      <c r="F2047" t="inlineStr">
        <is>
          <t>PRY-007</t>
        </is>
      </c>
      <c r="G2047" t="inlineStr">
        <is>
          <t>Facebook</t>
        </is>
      </c>
      <c r="H2047" t="inlineStr">
        <is>
          <t>Luis Bedoya</t>
        </is>
      </c>
      <c r="I2047" t="inlineStr">
        <is>
          <t>Perdido</t>
        </is>
      </c>
      <c r="J2047" s="28" t="n">
        <v>45909</v>
      </c>
      <c r="K2047" s="28" t="n">
        <v>46011</v>
      </c>
      <c r="L2047" t="inlineStr">
        <is>
          <t>Cambió de ciudad</t>
        </is>
      </c>
    </row>
    <row r="2048">
      <c r="A2048" t="inlineStr">
        <is>
          <t>CLI-2046</t>
        </is>
      </c>
      <c r="B2048" t="inlineStr">
        <is>
          <t>Daniela Valencia Valencia</t>
        </is>
      </c>
      <c r="C2048" t="inlineStr">
        <is>
          <t>3009949672</t>
        </is>
      </c>
      <c r="D2048" t="inlineStr">
        <is>
          <t>daniela.valencia79@outlook.com</t>
        </is>
      </c>
      <c r="E2048" t="inlineStr">
        <is>
          <t>Itagüí</t>
        </is>
      </c>
      <c r="F2048" t="inlineStr">
        <is>
          <t>PRY-008</t>
        </is>
      </c>
      <c r="G2048" t="inlineStr">
        <is>
          <t>Portal Web</t>
        </is>
      </c>
      <c r="H2048" t="inlineStr">
        <is>
          <t>Sofía Prada</t>
        </is>
      </c>
      <c r="I2048" t="inlineStr">
        <is>
          <t>Perdido</t>
        </is>
      </c>
      <c r="J2048" s="28" t="n">
        <v>45909</v>
      </c>
      <c r="K2048" s="28" t="n">
        <v>45926</v>
      </c>
      <c r="L2048" t="inlineStr">
        <is>
          <t>No calificó para crédito</t>
        </is>
      </c>
    </row>
    <row r="2049">
      <c r="A2049" t="inlineStr">
        <is>
          <t>CLI-2047</t>
        </is>
      </c>
      <c r="B2049" t="inlineStr">
        <is>
          <t>María Arango Franco</t>
        </is>
      </c>
      <c r="C2049" t="inlineStr">
        <is>
          <t>3048211623</t>
        </is>
      </c>
      <c r="D2049" t="inlineStr">
        <is>
          <t>maria.arango75@yahoo.com</t>
        </is>
      </c>
      <c r="E2049" t="inlineStr">
        <is>
          <t>Itagüí</t>
        </is>
      </c>
      <c r="F2049" t="inlineStr">
        <is>
          <t>PRY-008</t>
        </is>
      </c>
      <c r="G2049" t="inlineStr">
        <is>
          <t>Referido</t>
        </is>
      </c>
      <c r="H2049" t="inlineStr">
        <is>
          <t>Miguel Salazar</t>
        </is>
      </c>
      <c r="I2049" t="inlineStr">
        <is>
          <t>Ganado</t>
        </is>
      </c>
      <c r="J2049" s="28" t="n">
        <v>45910</v>
      </c>
      <c r="K2049" s="28" t="n">
        <v>45992</v>
      </c>
      <c r="L2049" t="inlineStr">
        <is>
          <t>Compró Casa 32 en Valle Verde Itagüí</t>
        </is>
      </c>
    </row>
    <row r="2050">
      <c r="A2050" t="inlineStr">
        <is>
          <t>CLI-2048</t>
        </is>
      </c>
      <c r="B2050" t="inlineStr">
        <is>
          <t>Valentina Zuluaga Mejía</t>
        </is>
      </c>
      <c r="C2050" t="inlineStr">
        <is>
          <t>3152482581</t>
        </is>
      </c>
      <c r="D2050" t="inlineStr">
        <is>
          <t>valentina.zuluaga75@yahoo.com</t>
        </is>
      </c>
      <c r="E2050" t="inlineStr">
        <is>
          <t>Envigado</t>
        </is>
      </c>
      <c r="F2050" t="inlineStr">
        <is>
          <t>PRY-005</t>
        </is>
      </c>
      <c r="G2050" t="inlineStr">
        <is>
          <t>Instagram</t>
        </is>
      </c>
      <c r="H2050" t="inlineStr">
        <is>
          <t>Daniela Ríos</t>
        </is>
      </c>
      <c r="I2050" t="inlineStr">
        <is>
          <t>Perdido</t>
        </is>
      </c>
      <c r="J2050" s="28" t="n">
        <v>45910</v>
      </c>
      <c r="K2050" s="28" t="n">
        <v>46009</v>
      </c>
      <c r="L2050" t="inlineStr">
        <is>
          <t>Crédito no aprobado</t>
        </is>
      </c>
    </row>
    <row r="2051">
      <c r="A2051" t="inlineStr">
        <is>
          <t>CLI-2049</t>
        </is>
      </c>
      <c r="B2051" t="inlineStr">
        <is>
          <t>Ximena Correa Muñoz</t>
        </is>
      </c>
      <c r="C2051" t="inlineStr">
        <is>
          <t>3146063045</t>
        </is>
      </c>
      <c r="D2051" t="inlineStr">
        <is>
          <t>ximena.correa52@outlook.com</t>
        </is>
      </c>
      <c r="E2051" t="inlineStr">
        <is>
          <t>Medellín</t>
        </is>
      </c>
      <c r="F2051" t="inlineStr">
        <is>
          <t>PRY-006</t>
        </is>
      </c>
      <c r="G2051" t="inlineStr">
        <is>
          <t>Feria Inmobiliaria</t>
        </is>
      </c>
      <c r="H2051" t="inlineStr">
        <is>
          <t>Paula Arenas</t>
        </is>
      </c>
      <c r="I2051" t="inlineStr">
        <is>
          <t>Perdido</t>
        </is>
      </c>
      <c r="J2051" s="28" t="n">
        <v>45910</v>
      </c>
      <c r="K2051" s="28" t="n">
        <v>45918</v>
      </c>
      <c r="L2051" t="inlineStr">
        <is>
          <t>No calificó para crédito</t>
        </is>
      </c>
    </row>
    <row r="2052">
      <c r="A2052" t="inlineStr">
        <is>
          <t>CLI-2050</t>
        </is>
      </c>
      <c r="B2052" t="inlineStr">
        <is>
          <t>Nicolás Franco Agudelo</t>
        </is>
      </c>
      <c r="C2052" t="inlineStr">
        <is>
          <t>3242256951</t>
        </is>
      </c>
      <c r="D2052" t="inlineStr">
        <is>
          <t>nicolas.franco65@yahoo.com</t>
        </is>
      </c>
      <c r="E2052" t="inlineStr">
        <is>
          <t>Medellín</t>
        </is>
      </c>
      <c r="F2052" t="inlineStr">
        <is>
          <t>PRY-001</t>
        </is>
      </c>
      <c r="G2052" t="inlineStr">
        <is>
          <t>Feria Inmobiliaria</t>
        </is>
      </c>
      <c r="H2052" t="inlineStr">
        <is>
          <t>Juliana Vélez</t>
        </is>
      </c>
      <c r="I2052" t="inlineStr">
        <is>
          <t>Perdido</t>
        </is>
      </c>
      <c r="J2052" s="28" t="n">
        <v>45910</v>
      </c>
      <c r="K2052" s="28" t="n">
        <v>45939</v>
      </c>
      <c r="L2052" t="inlineStr">
        <is>
          <t>Presupuesto insuficiente</t>
        </is>
      </c>
    </row>
    <row r="2053">
      <c r="A2053" t="inlineStr">
        <is>
          <t>CLI-2051</t>
        </is>
      </c>
      <c r="B2053" t="inlineStr">
        <is>
          <t>Verónica Correa Salcedo</t>
        </is>
      </c>
      <c r="C2053" t="inlineStr">
        <is>
          <t>3009221386</t>
        </is>
      </c>
      <c r="D2053" t="inlineStr">
        <is>
          <t>veronica.correa22@gmail.com</t>
        </is>
      </c>
      <c r="E2053" t="inlineStr">
        <is>
          <t>Itagüí</t>
        </is>
      </c>
      <c r="F2053" t="inlineStr">
        <is>
          <t>PRY-005</t>
        </is>
      </c>
      <c r="G2053" t="inlineStr">
        <is>
          <t>Facebook</t>
        </is>
      </c>
      <c r="H2053" t="inlineStr">
        <is>
          <t>Ana Quintero</t>
        </is>
      </c>
      <c r="I2053" t="inlineStr">
        <is>
          <t>Perdido</t>
        </is>
      </c>
      <c r="J2053" s="28" t="n">
        <v>45911</v>
      </c>
      <c r="K2053" s="28" t="n">
        <v>45986</v>
      </c>
      <c r="L2053" t="inlineStr">
        <is>
          <t>Precio fuera de presupuesto</t>
        </is>
      </c>
    </row>
    <row r="2054">
      <c r="A2054" t="inlineStr">
        <is>
          <t>CLI-2052</t>
        </is>
      </c>
      <c r="B2054" t="inlineStr">
        <is>
          <t>Carlos Pérez Castaño</t>
        </is>
      </c>
      <c r="C2054" t="inlineStr">
        <is>
          <t>3014052955</t>
        </is>
      </c>
      <c r="D2054" t="inlineStr">
        <is>
          <t>carlos.perez43@outlook.com</t>
        </is>
      </c>
      <c r="E2054" t="inlineStr">
        <is>
          <t>Rionegro</t>
        </is>
      </c>
      <c r="F2054" t="inlineStr">
        <is>
          <t>PRY-005</t>
        </is>
      </c>
      <c r="G2054" t="inlineStr">
        <is>
          <t>Portal Web</t>
        </is>
      </c>
      <c r="H2054" t="inlineStr">
        <is>
          <t>Ana Quintero</t>
        </is>
      </c>
      <c r="I2054" t="inlineStr">
        <is>
          <t>Perdido</t>
        </is>
      </c>
      <c r="J2054" s="28" t="n">
        <v>45911</v>
      </c>
      <c r="K2054" s="28" t="n">
        <v>45920</v>
      </c>
      <c r="L2054" t="inlineStr">
        <is>
          <t>No calificó para crédito</t>
        </is>
      </c>
    </row>
    <row r="2055">
      <c r="A2055" t="inlineStr">
        <is>
          <t>CLI-2053</t>
        </is>
      </c>
      <c r="B2055" t="inlineStr">
        <is>
          <t>Gabriel Duque Uribe</t>
        </is>
      </c>
      <c r="C2055" t="inlineStr">
        <is>
          <t>3014991568</t>
        </is>
      </c>
      <c r="D2055" t="inlineStr">
        <is>
          <t>gabriel.duque55@yahoo.com</t>
        </is>
      </c>
      <c r="E2055" t="inlineStr">
        <is>
          <t>Envigado</t>
        </is>
      </c>
      <c r="F2055" t="inlineStr">
        <is>
          <t>PRY-007</t>
        </is>
      </c>
      <c r="G2055" t="inlineStr">
        <is>
          <t>Portal Web</t>
        </is>
      </c>
      <c r="H2055" t="inlineStr">
        <is>
          <t>Andrés Torres</t>
        </is>
      </c>
      <c r="I2055" t="inlineStr">
        <is>
          <t>Perdido</t>
        </is>
      </c>
      <c r="J2055" s="28" t="n">
        <v>45911</v>
      </c>
      <c r="K2055" s="28" t="n">
        <v>45916</v>
      </c>
      <c r="L2055" t="inlineStr">
        <is>
          <t>Sin respuesta tras 3 contactos</t>
        </is>
      </c>
    </row>
    <row r="2056">
      <c r="A2056" t="inlineStr">
        <is>
          <t>CLI-2054</t>
        </is>
      </c>
      <c r="B2056" t="inlineStr">
        <is>
          <t>Carolina Valencia Osorio</t>
        </is>
      </c>
      <c r="C2056" t="inlineStr">
        <is>
          <t>3154822983</t>
        </is>
      </c>
      <c r="D2056" t="inlineStr">
        <is>
          <t>carolina.valencia35@outlook.com</t>
        </is>
      </c>
      <c r="E2056" t="inlineStr">
        <is>
          <t>Medellín</t>
        </is>
      </c>
      <c r="F2056" t="inlineStr">
        <is>
          <t>PRY-001</t>
        </is>
      </c>
      <c r="G2056" t="inlineStr">
        <is>
          <t>Instagram</t>
        </is>
      </c>
      <c r="H2056" t="inlineStr">
        <is>
          <t>Miguel Salazar</t>
        </is>
      </c>
      <c r="I2056" t="inlineStr">
        <is>
          <t>Perdido</t>
        </is>
      </c>
      <c r="J2056" s="28" t="n">
        <v>45911</v>
      </c>
      <c r="K2056" s="28" t="n">
        <v>45920</v>
      </c>
      <c r="L2056" t="inlineStr">
        <is>
          <t>Sin respuesta tras 3 contactos</t>
        </is>
      </c>
    </row>
    <row r="2057">
      <c r="A2057" t="inlineStr">
        <is>
          <t>CLI-2055</t>
        </is>
      </c>
      <c r="B2057" t="inlineStr">
        <is>
          <t>María Jaramillo Higuita</t>
        </is>
      </c>
      <c r="C2057" t="inlineStr">
        <is>
          <t>3249845506</t>
        </is>
      </c>
      <c r="D2057" t="inlineStr">
        <is>
          <t>maria.jaramillo63@hotmail.com</t>
        </is>
      </c>
      <c r="E2057" t="inlineStr">
        <is>
          <t>Sabaneta</t>
        </is>
      </c>
      <c r="F2057" t="inlineStr">
        <is>
          <t>PRY-007</t>
        </is>
      </c>
      <c r="G2057" t="inlineStr">
        <is>
          <t>Instagram</t>
        </is>
      </c>
      <c r="H2057" t="inlineStr">
        <is>
          <t>Paula Arenas</t>
        </is>
      </c>
      <c r="I2057" t="inlineStr">
        <is>
          <t>Perdido</t>
        </is>
      </c>
      <c r="J2057" s="28" t="n">
        <v>45911</v>
      </c>
      <c r="K2057" s="28" t="n">
        <v>45930</v>
      </c>
      <c r="L2057" t="inlineStr">
        <is>
          <t>Buscaba arriendo, no compra</t>
        </is>
      </c>
    </row>
    <row r="2058">
      <c r="A2058" t="inlineStr">
        <is>
          <t>CLI-2056</t>
        </is>
      </c>
      <c r="B2058" t="inlineStr">
        <is>
          <t>Natalia Ríos Uribe</t>
        </is>
      </c>
      <c r="C2058" t="inlineStr">
        <is>
          <t>3179269571</t>
        </is>
      </c>
      <c r="D2058" t="inlineStr">
        <is>
          <t>natalia.rios43@hotmail.com</t>
        </is>
      </c>
      <c r="E2058" t="inlineStr">
        <is>
          <t>Medellín</t>
        </is>
      </c>
      <c r="F2058" t="inlineStr">
        <is>
          <t>PRY-001</t>
        </is>
      </c>
      <c r="G2058" t="inlineStr">
        <is>
          <t>Instagram</t>
        </is>
      </c>
      <c r="H2058" t="inlineStr">
        <is>
          <t>Juliana Vélez</t>
        </is>
      </c>
      <c r="I2058" t="inlineStr">
        <is>
          <t>Ganado</t>
        </is>
      </c>
      <c r="J2058" s="28" t="n">
        <v>45912</v>
      </c>
      <c r="K2058" s="28" t="n">
        <v>46015</v>
      </c>
      <c r="L2058" t="inlineStr">
        <is>
          <t>Compró Apto 1206 en Torres del Poblado</t>
        </is>
      </c>
    </row>
    <row r="2059">
      <c r="A2059" t="inlineStr">
        <is>
          <t>CLI-2057</t>
        </is>
      </c>
      <c r="B2059" t="inlineStr">
        <is>
          <t>Ximena Vásquez Vásquez</t>
        </is>
      </c>
      <c r="C2059" t="inlineStr">
        <is>
          <t>3005344716</t>
        </is>
      </c>
      <c r="D2059" t="inlineStr">
        <is>
          <t>ximena.vasquez50@yahoo.com</t>
        </is>
      </c>
      <c r="E2059" t="inlineStr">
        <is>
          <t>Envigado</t>
        </is>
      </c>
      <c r="F2059" t="inlineStr">
        <is>
          <t>PRY-001</t>
        </is>
      </c>
      <c r="G2059" t="inlineStr">
        <is>
          <t>Portal Web</t>
        </is>
      </c>
      <c r="H2059" t="inlineStr">
        <is>
          <t>Luis Bedoya</t>
        </is>
      </c>
      <c r="I2059" t="inlineStr">
        <is>
          <t>Perdido</t>
        </is>
      </c>
      <c r="J2059" s="28" t="n">
        <v>45912</v>
      </c>
      <c r="K2059" s="28" t="n">
        <v>45987</v>
      </c>
      <c r="L2059" t="inlineStr">
        <is>
          <t>Precio fuera de presupuesto</t>
        </is>
      </c>
    </row>
    <row r="2060">
      <c r="A2060" t="inlineStr">
        <is>
          <t>CLI-2058</t>
        </is>
      </c>
      <c r="B2060" t="inlineStr">
        <is>
          <t>Diego Marín Cifuentes</t>
        </is>
      </c>
      <c r="C2060" t="inlineStr">
        <is>
          <t>3015472490</t>
        </is>
      </c>
      <c r="D2060" t="inlineStr">
        <is>
          <t>diego.marin46@yahoo.com</t>
        </is>
      </c>
      <c r="E2060" t="inlineStr">
        <is>
          <t>Envigado</t>
        </is>
      </c>
      <c r="F2060" t="inlineStr">
        <is>
          <t>PRY-003</t>
        </is>
      </c>
      <c r="G2060" t="inlineStr">
        <is>
          <t>Llamada directa</t>
        </is>
      </c>
      <c r="H2060" t="inlineStr">
        <is>
          <t>Santiago Muñoz</t>
        </is>
      </c>
      <c r="I2060" t="inlineStr">
        <is>
          <t>Ganado</t>
        </is>
      </c>
      <c r="J2060" s="28" t="n">
        <v>45912</v>
      </c>
      <c r="K2060" s="28" t="n">
        <v>46038</v>
      </c>
      <c r="L2060" t="inlineStr">
        <is>
          <t>Compró Apto 1502 en Conecta Laureles</t>
        </is>
      </c>
    </row>
    <row r="2061">
      <c r="A2061" t="inlineStr">
        <is>
          <t>CLI-2059</t>
        </is>
      </c>
      <c r="B2061" t="inlineStr">
        <is>
          <t>Marcela Escobar Espinosa</t>
        </is>
      </c>
      <c r="C2061" t="inlineStr">
        <is>
          <t>3174517642</t>
        </is>
      </c>
      <c r="D2061" t="inlineStr">
        <is>
          <t>marcela.escobar82@hotmail.com</t>
        </is>
      </c>
      <c r="E2061" t="inlineStr">
        <is>
          <t>Bello</t>
        </is>
      </c>
      <c r="F2061" t="inlineStr">
        <is>
          <t>PRY-006</t>
        </is>
      </c>
      <c r="G2061" t="inlineStr">
        <is>
          <t>Feria Inmobiliaria</t>
        </is>
      </c>
      <c r="H2061" t="inlineStr">
        <is>
          <t>Luis Bedoya</t>
        </is>
      </c>
      <c r="I2061" t="inlineStr">
        <is>
          <t>Perdido</t>
        </is>
      </c>
      <c r="J2061" s="28" t="n">
        <v>45912</v>
      </c>
      <c r="K2061" s="28" t="n">
        <v>45930</v>
      </c>
      <c r="L2061" t="inlineStr">
        <is>
          <t>No calificó para crédito</t>
        </is>
      </c>
    </row>
    <row r="2062">
      <c r="A2062" t="inlineStr">
        <is>
          <t>CLI-2060</t>
        </is>
      </c>
      <c r="B2062" t="inlineStr">
        <is>
          <t>José Jaramillo Betancur</t>
        </is>
      </c>
      <c r="C2062" t="inlineStr">
        <is>
          <t>3137855819</t>
        </is>
      </c>
      <c r="D2062" t="inlineStr">
        <is>
          <t>jose.jaramillo12@yahoo.com</t>
        </is>
      </c>
      <c r="E2062" t="inlineStr">
        <is>
          <t>Itagüí</t>
        </is>
      </c>
      <c r="F2062" t="inlineStr">
        <is>
          <t>PRY-008</t>
        </is>
      </c>
      <c r="G2062" t="inlineStr">
        <is>
          <t>Facebook</t>
        </is>
      </c>
      <c r="H2062" t="inlineStr">
        <is>
          <t>Andrés Torres</t>
        </is>
      </c>
      <c r="I2062" t="inlineStr">
        <is>
          <t>Perdido</t>
        </is>
      </c>
      <c r="J2062" s="28" t="n">
        <v>45912</v>
      </c>
      <c r="K2062" s="28" t="n">
        <v>45924</v>
      </c>
      <c r="L2062" t="inlineStr">
        <is>
          <t>Sin respuesta tras 3 contactos</t>
        </is>
      </c>
    </row>
    <row r="2063">
      <c r="A2063" t="inlineStr">
        <is>
          <t>CLI-2061</t>
        </is>
      </c>
      <c r="B2063" t="inlineStr">
        <is>
          <t>Mateo Cano Pérez</t>
        </is>
      </c>
      <c r="C2063" t="inlineStr">
        <is>
          <t>3209862494</t>
        </is>
      </c>
      <c r="D2063" t="inlineStr">
        <is>
          <t>mateo.cano35@outlook.com</t>
        </is>
      </c>
      <c r="E2063" t="inlineStr">
        <is>
          <t>La Estrella</t>
        </is>
      </c>
      <c r="F2063" t="inlineStr">
        <is>
          <t>PRY-005</t>
        </is>
      </c>
      <c r="G2063" t="inlineStr">
        <is>
          <t>Instagram</t>
        </is>
      </c>
      <c r="H2063" t="inlineStr">
        <is>
          <t>Andrés Torres</t>
        </is>
      </c>
      <c r="I2063" t="inlineStr">
        <is>
          <t>Perdido</t>
        </is>
      </c>
      <c r="J2063" s="28" t="n">
        <v>45912</v>
      </c>
      <c r="K2063" s="28" t="n">
        <v>45921</v>
      </c>
      <c r="L2063" t="inlineStr">
        <is>
          <t>Presupuesto insuficiente</t>
        </is>
      </c>
    </row>
    <row r="2064">
      <c r="A2064" t="inlineStr">
        <is>
          <t>CLI-2062</t>
        </is>
      </c>
      <c r="B2064" t="inlineStr">
        <is>
          <t>Ricardo Franco Betancur</t>
        </is>
      </c>
      <c r="C2064" t="inlineStr">
        <is>
          <t>3151614251</t>
        </is>
      </c>
      <c r="D2064" t="inlineStr">
        <is>
          <t>ricardo.franco63@outlook.com</t>
        </is>
      </c>
      <c r="E2064" t="inlineStr">
        <is>
          <t>Bello</t>
        </is>
      </c>
      <c r="F2064" t="inlineStr">
        <is>
          <t>PRY-005</t>
        </is>
      </c>
      <c r="G2064" t="inlineStr">
        <is>
          <t>Referido</t>
        </is>
      </c>
      <c r="H2064" t="inlineStr">
        <is>
          <t>Ana Quintero</t>
        </is>
      </c>
      <c r="I2064" t="inlineStr">
        <is>
          <t>Perdido</t>
        </is>
      </c>
      <c r="J2064" s="28" t="n">
        <v>45912</v>
      </c>
      <c r="K2064" s="28" t="n">
        <v>45924</v>
      </c>
      <c r="L2064" t="inlineStr">
        <is>
          <t>Sin respuesta tras 3 contactos</t>
        </is>
      </c>
    </row>
    <row r="2065">
      <c r="A2065" t="inlineStr">
        <is>
          <t>CLI-2063</t>
        </is>
      </c>
      <c r="B2065" t="inlineStr">
        <is>
          <t>José Espinosa Betancur</t>
        </is>
      </c>
      <c r="C2065" t="inlineStr">
        <is>
          <t>3012707663</t>
        </is>
      </c>
      <c r="D2065" t="inlineStr">
        <is>
          <t>jose.espinosa83@outlook.com</t>
        </is>
      </c>
      <c r="E2065" t="inlineStr">
        <is>
          <t>Rionegro</t>
        </is>
      </c>
      <c r="F2065" t="inlineStr">
        <is>
          <t>PRY-005</t>
        </is>
      </c>
      <c r="G2065" t="inlineStr">
        <is>
          <t>Portal Web</t>
        </is>
      </c>
      <c r="H2065" t="inlineStr">
        <is>
          <t>Luis Bedoya</t>
        </is>
      </c>
      <c r="I2065" t="inlineStr">
        <is>
          <t>Perdido</t>
        </is>
      </c>
      <c r="J2065" s="28" t="n">
        <v>45912</v>
      </c>
      <c r="K2065" s="28" t="n">
        <v>45923</v>
      </c>
      <c r="L2065" t="inlineStr">
        <is>
          <t>No calificó para crédito</t>
        </is>
      </c>
    </row>
    <row r="2066">
      <c r="A2066" t="inlineStr">
        <is>
          <t>CLI-2064</t>
        </is>
      </c>
      <c r="B2066" t="inlineStr">
        <is>
          <t>Paola Restrepo Mejía</t>
        </is>
      </c>
      <c r="C2066" t="inlineStr">
        <is>
          <t>3018318870</t>
        </is>
      </c>
      <c r="D2066" t="inlineStr">
        <is>
          <t>paola.restrepo50@yahoo.com</t>
        </is>
      </c>
      <c r="E2066" t="inlineStr">
        <is>
          <t>Envigado</t>
        </is>
      </c>
      <c r="F2066" t="inlineStr">
        <is>
          <t>PRY-006</t>
        </is>
      </c>
      <c r="G2066" t="inlineStr">
        <is>
          <t>Referido</t>
        </is>
      </c>
      <c r="H2066" t="inlineStr">
        <is>
          <t>Daniela Ríos</t>
        </is>
      </c>
      <c r="I2066" t="inlineStr">
        <is>
          <t>Ganado</t>
        </is>
      </c>
      <c r="J2066" s="28" t="n">
        <v>45913</v>
      </c>
      <c r="K2066" s="28" t="n">
        <v>46046</v>
      </c>
      <c r="L2066" t="inlineStr">
        <is>
          <t>Compró Local 10 en Plaza Bello</t>
        </is>
      </c>
    </row>
    <row r="2067">
      <c r="A2067" t="inlineStr">
        <is>
          <t>CLI-2065</t>
        </is>
      </c>
      <c r="B2067" t="inlineStr">
        <is>
          <t>Camila Osorio Valencia</t>
        </is>
      </c>
      <c r="C2067" t="inlineStr">
        <is>
          <t>3131384870</t>
        </is>
      </c>
      <c r="D2067" t="inlineStr">
        <is>
          <t>camila.osorio72@outlook.com</t>
        </is>
      </c>
      <c r="E2067" t="inlineStr">
        <is>
          <t>Rionegro</t>
        </is>
      </c>
      <c r="F2067" t="inlineStr">
        <is>
          <t>PRY-005</t>
        </is>
      </c>
      <c r="G2067" t="inlineStr">
        <is>
          <t>Referido</t>
        </is>
      </c>
      <c r="H2067" t="inlineStr">
        <is>
          <t>Paula Arenas</t>
        </is>
      </c>
      <c r="I2067" t="inlineStr">
        <is>
          <t>Ganado</t>
        </is>
      </c>
      <c r="J2067" s="28" t="n">
        <v>45913</v>
      </c>
      <c r="K2067" s="28" t="n">
        <v>46022</v>
      </c>
      <c r="L2067" t="inlineStr">
        <is>
          <t>Compró Apto 1402 en Ciudadela Rionegro</t>
        </is>
      </c>
    </row>
    <row r="2068">
      <c r="A2068" t="inlineStr">
        <is>
          <t>CLI-2066</t>
        </is>
      </c>
      <c r="B2068" t="inlineStr">
        <is>
          <t>Ricardo Ramírez Vargas</t>
        </is>
      </c>
      <c r="C2068" t="inlineStr">
        <is>
          <t>3047543576</t>
        </is>
      </c>
      <c r="D2068" t="inlineStr">
        <is>
          <t>ricardo.ramirez19@gmail.com</t>
        </is>
      </c>
      <c r="E2068" t="inlineStr">
        <is>
          <t>Rionegro</t>
        </is>
      </c>
      <c r="F2068" t="inlineStr">
        <is>
          <t>PRY-006</t>
        </is>
      </c>
      <c r="G2068" t="inlineStr">
        <is>
          <t>Llamada directa</t>
        </is>
      </c>
      <c r="H2068" t="inlineStr">
        <is>
          <t>Luis Bedoya</t>
        </is>
      </c>
      <c r="I2068" t="inlineStr">
        <is>
          <t>Perdido</t>
        </is>
      </c>
      <c r="J2068" s="28" t="n">
        <v>45913</v>
      </c>
      <c r="K2068" s="28" t="n">
        <v>45930</v>
      </c>
      <c r="L2068" t="inlineStr">
        <is>
          <t>Sin respuesta tras 3 contactos</t>
        </is>
      </c>
    </row>
    <row r="2069">
      <c r="A2069" t="inlineStr">
        <is>
          <t>CLI-2067</t>
        </is>
      </c>
      <c r="B2069" t="inlineStr">
        <is>
          <t>Catalina Henao Espinosa</t>
        </is>
      </c>
      <c r="C2069" t="inlineStr">
        <is>
          <t>3179641643</t>
        </is>
      </c>
      <c r="D2069" t="inlineStr">
        <is>
          <t>catalina.henao64@hotmail.com</t>
        </is>
      </c>
      <c r="E2069" t="inlineStr">
        <is>
          <t>Sabaneta</t>
        </is>
      </c>
      <c r="F2069" t="inlineStr">
        <is>
          <t>PRY-006</t>
        </is>
      </c>
      <c r="G2069" t="inlineStr">
        <is>
          <t>Portal Web</t>
        </is>
      </c>
      <c r="H2069" t="inlineStr">
        <is>
          <t>Mateo Herrera</t>
        </is>
      </c>
      <c r="I2069" t="inlineStr">
        <is>
          <t>Perdido</t>
        </is>
      </c>
      <c r="J2069" s="28" t="n">
        <v>45913</v>
      </c>
      <c r="K2069" s="28" t="n">
        <v>45931</v>
      </c>
      <c r="L2069" t="inlineStr">
        <is>
          <t>No calificó para crédito</t>
        </is>
      </c>
    </row>
    <row r="2070">
      <c r="A2070" t="inlineStr">
        <is>
          <t>CLI-2068</t>
        </is>
      </c>
      <c r="B2070" t="inlineStr">
        <is>
          <t>Verónica Marín Muñoz</t>
        </is>
      </c>
      <c r="C2070" t="inlineStr">
        <is>
          <t>3045878368</t>
        </is>
      </c>
      <c r="D2070" t="inlineStr">
        <is>
          <t>veronica.marin58@outlook.com</t>
        </is>
      </c>
      <c r="E2070" t="inlineStr">
        <is>
          <t>Envigado</t>
        </is>
      </c>
      <c r="F2070" t="inlineStr">
        <is>
          <t>PRY-006</t>
        </is>
      </c>
      <c r="G2070" t="inlineStr">
        <is>
          <t>Portal Web</t>
        </is>
      </c>
      <c r="H2070" t="inlineStr">
        <is>
          <t>Ana Quintero</t>
        </is>
      </c>
      <c r="I2070" t="inlineStr">
        <is>
          <t>Perdido</t>
        </is>
      </c>
      <c r="J2070" s="28" t="n">
        <v>45913</v>
      </c>
      <c r="K2070" s="28" t="n">
        <v>45932</v>
      </c>
      <c r="L2070" t="inlineStr">
        <is>
          <t>Datos de contacto errados</t>
        </is>
      </c>
    </row>
    <row r="2071">
      <c r="A2071" t="inlineStr">
        <is>
          <t>CLI-2069</t>
        </is>
      </c>
      <c r="B2071" t="inlineStr">
        <is>
          <t>Lorena Bedoya Peláez</t>
        </is>
      </c>
      <c r="C2071" t="inlineStr">
        <is>
          <t>3007784509</t>
        </is>
      </c>
      <c r="D2071" t="inlineStr">
        <is>
          <t>lorena.bedoya56@outlook.com</t>
        </is>
      </c>
      <c r="E2071" t="inlineStr">
        <is>
          <t>Envigado</t>
        </is>
      </c>
      <c r="F2071" t="inlineStr">
        <is>
          <t>PRY-003</t>
        </is>
      </c>
      <c r="G2071" t="inlineStr">
        <is>
          <t>Llamada directa</t>
        </is>
      </c>
      <c r="H2071" t="inlineStr">
        <is>
          <t>Miguel Salazar</t>
        </is>
      </c>
      <c r="I2071" t="inlineStr">
        <is>
          <t>Ganado</t>
        </is>
      </c>
      <c r="J2071" s="28" t="n">
        <v>45914</v>
      </c>
      <c r="K2071" s="28" t="n">
        <v>46002</v>
      </c>
      <c r="L2071" t="inlineStr">
        <is>
          <t>Compró Apto 1906 en Conecta Laureles</t>
        </is>
      </c>
    </row>
    <row r="2072">
      <c r="A2072" t="inlineStr">
        <is>
          <t>CLI-2070</t>
        </is>
      </c>
      <c r="B2072" t="inlineStr">
        <is>
          <t>Valentina Jaramillo Álvarez</t>
        </is>
      </c>
      <c r="C2072" t="inlineStr">
        <is>
          <t>3178231404</t>
        </is>
      </c>
      <c r="D2072" t="inlineStr">
        <is>
          <t>valentina.jaramillo60@gmail.com</t>
        </is>
      </c>
      <c r="E2072" t="inlineStr">
        <is>
          <t>Medellín</t>
        </is>
      </c>
      <c r="F2072" t="inlineStr">
        <is>
          <t>PRY-002</t>
        </is>
      </c>
      <c r="G2072" t="inlineStr">
        <is>
          <t>Portal Web</t>
        </is>
      </c>
      <c r="H2072" t="inlineStr">
        <is>
          <t>Sofía Prada</t>
        </is>
      </c>
      <c r="I2072" t="inlineStr">
        <is>
          <t>Perdido</t>
        </is>
      </c>
      <c r="J2072" s="28" t="n">
        <v>45914</v>
      </c>
      <c r="K2072" s="28" t="n">
        <v>46067</v>
      </c>
      <c r="L2072" t="inlineStr">
        <is>
          <t>Precio fuera de presupuesto</t>
        </is>
      </c>
    </row>
    <row r="2073">
      <c r="A2073" t="inlineStr">
        <is>
          <t>CLI-2071</t>
        </is>
      </c>
      <c r="B2073" t="inlineStr">
        <is>
          <t>Catalina Salcedo Zuluaga</t>
        </is>
      </c>
      <c r="C2073" t="inlineStr">
        <is>
          <t>3048178723</t>
        </is>
      </c>
      <c r="D2073" t="inlineStr">
        <is>
          <t>catalina.salcedo55@outlook.com</t>
        </is>
      </c>
      <c r="E2073" t="inlineStr">
        <is>
          <t>Rionegro</t>
        </is>
      </c>
      <c r="F2073" t="inlineStr">
        <is>
          <t>PRY-005</t>
        </is>
      </c>
      <c r="G2073" t="inlineStr">
        <is>
          <t>Portal Web</t>
        </is>
      </c>
      <c r="H2073" t="inlineStr">
        <is>
          <t>Ana Quintero</t>
        </is>
      </c>
      <c r="I2073" t="inlineStr">
        <is>
          <t>Perdido</t>
        </is>
      </c>
      <c r="J2073" s="28" t="n">
        <v>45914</v>
      </c>
      <c r="K2073" s="28" t="n">
        <v>45930</v>
      </c>
      <c r="L2073" t="inlineStr">
        <is>
          <t>Buscaba arriendo, no compra</t>
        </is>
      </c>
    </row>
    <row r="2074">
      <c r="A2074" t="inlineStr">
        <is>
          <t>CLI-2072</t>
        </is>
      </c>
      <c r="B2074" t="inlineStr">
        <is>
          <t>Valentina Álvarez Sánchez</t>
        </is>
      </c>
      <c r="C2074" t="inlineStr">
        <is>
          <t>3147154766</t>
        </is>
      </c>
      <c r="D2074" t="inlineStr">
        <is>
          <t>valentina.alvarez65@yahoo.com</t>
        </is>
      </c>
      <c r="E2074" t="inlineStr">
        <is>
          <t>Itagüí</t>
        </is>
      </c>
      <c r="F2074" t="inlineStr">
        <is>
          <t>PRY-008</t>
        </is>
      </c>
      <c r="G2074" t="inlineStr">
        <is>
          <t>Facebook</t>
        </is>
      </c>
      <c r="H2074" t="inlineStr">
        <is>
          <t>Sofía Prada</t>
        </is>
      </c>
      <c r="I2074" t="inlineStr">
        <is>
          <t>Perdido</t>
        </is>
      </c>
      <c r="J2074" s="28" t="n">
        <v>45914</v>
      </c>
      <c r="K2074" s="28" t="n">
        <v>45940</v>
      </c>
      <c r="L2074" t="inlineStr">
        <is>
          <t>Buscaba arriendo, no compra</t>
        </is>
      </c>
    </row>
    <row r="2075">
      <c r="A2075" t="inlineStr">
        <is>
          <t>CLI-2073</t>
        </is>
      </c>
      <c r="B2075" t="inlineStr">
        <is>
          <t>Nicolás Restrepo Salazar</t>
        </is>
      </c>
      <c r="C2075" t="inlineStr">
        <is>
          <t>3224877911</t>
        </is>
      </c>
      <c r="D2075" t="inlineStr">
        <is>
          <t>nicolas.restrepo40@outlook.com</t>
        </is>
      </c>
      <c r="E2075" t="inlineStr">
        <is>
          <t>Envigado</t>
        </is>
      </c>
      <c r="F2075" t="inlineStr">
        <is>
          <t>PRY-007</t>
        </is>
      </c>
      <c r="G2075" t="inlineStr">
        <is>
          <t>Feria Inmobiliaria</t>
        </is>
      </c>
      <c r="H2075" t="inlineStr">
        <is>
          <t>Juliana Vélez</t>
        </is>
      </c>
      <c r="I2075" t="inlineStr">
        <is>
          <t>Ganado</t>
        </is>
      </c>
      <c r="J2075" s="28" t="n">
        <v>45915</v>
      </c>
      <c r="K2075" s="28" t="n">
        <v>46016</v>
      </c>
      <c r="L2075" t="inlineStr">
        <is>
          <t>Compró Apto 1301 en Mirador de Envigado</t>
        </is>
      </c>
    </row>
    <row r="2076">
      <c r="A2076" t="inlineStr">
        <is>
          <t>CLI-2074</t>
        </is>
      </c>
      <c r="B2076" t="inlineStr">
        <is>
          <t>Gabriel Osorio Salcedo</t>
        </is>
      </c>
      <c r="C2076" t="inlineStr">
        <is>
          <t>3248748833</t>
        </is>
      </c>
      <c r="D2076" t="inlineStr">
        <is>
          <t>gabriel.osorio68@yahoo.com</t>
        </is>
      </c>
      <c r="E2076" t="inlineStr">
        <is>
          <t>Medellín</t>
        </is>
      </c>
      <c r="F2076" t="inlineStr">
        <is>
          <t>PRY-008</t>
        </is>
      </c>
      <c r="G2076" t="inlineStr">
        <is>
          <t>Instagram</t>
        </is>
      </c>
      <c r="H2076" t="inlineStr">
        <is>
          <t>Andrés Torres</t>
        </is>
      </c>
      <c r="I2076" t="inlineStr">
        <is>
          <t>Perdido</t>
        </is>
      </c>
      <c r="J2076" s="28" t="n">
        <v>45915</v>
      </c>
      <c r="K2076" s="28" t="n">
        <v>45921</v>
      </c>
      <c r="L2076" t="inlineStr">
        <is>
          <t>Buscaba arriendo, no compra</t>
        </is>
      </c>
    </row>
    <row r="2077">
      <c r="A2077" t="inlineStr">
        <is>
          <t>CLI-2075</t>
        </is>
      </c>
      <c r="B2077" t="inlineStr">
        <is>
          <t>Santiago Franco Escobar</t>
        </is>
      </c>
      <c r="C2077" t="inlineStr">
        <is>
          <t>3208171330</t>
        </is>
      </c>
      <c r="D2077" t="inlineStr">
        <is>
          <t>santiago.franco79@gmail.com</t>
        </is>
      </c>
      <c r="E2077" t="inlineStr">
        <is>
          <t>Sabaneta</t>
        </is>
      </c>
      <c r="F2077" t="inlineStr">
        <is>
          <t>PRY-002</t>
        </is>
      </c>
      <c r="G2077" t="inlineStr">
        <is>
          <t>Facebook</t>
        </is>
      </c>
      <c r="H2077" t="inlineStr">
        <is>
          <t>Sofía Prada</t>
        </is>
      </c>
      <c r="I2077" t="inlineStr">
        <is>
          <t>Perdido</t>
        </is>
      </c>
      <c r="J2077" s="28" t="n">
        <v>45915</v>
      </c>
      <c r="K2077" s="28" t="n">
        <v>45943</v>
      </c>
      <c r="L2077" t="inlineStr">
        <is>
          <t>Sin respuesta tras 3 contactos</t>
        </is>
      </c>
    </row>
    <row r="2078">
      <c r="A2078" t="inlineStr">
        <is>
          <t>CLI-2076</t>
        </is>
      </c>
      <c r="B2078" t="inlineStr">
        <is>
          <t>José Espinosa Agudelo</t>
        </is>
      </c>
      <c r="C2078" t="inlineStr">
        <is>
          <t>3226897776</t>
        </is>
      </c>
      <c r="D2078" t="inlineStr">
        <is>
          <t>jose.espinosa57@hotmail.com</t>
        </is>
      </c>
      <c r="E2078" t="inlineStr">
        <is>
          <t>Itagüí</t>
        </is>
      </c>
      <c r="F2078" t="inlineStr">
        <is>
          <t>PRY-007</t>
        </is>
      </c>
      <c r="G2078" t="inlineStr">
        <is>
          <t>Feria Inmobiliaria</t>
        </is>
      </c>
      <c r="H2078" t="inlineStr">
        <is>
          <t>Juliana Vélez</t>
        </is>
      </c>
      <c r="I2078" t="inlineStr">
        <is>
          <t>Perdido</t>
        </is>
      </c>
      <c r="J2078" s="28" t="n">
        <v>45915</v>
      </c>
      <c r="K2078" s="28" t="n">
        <v>45941</v>
      </c>
      <c r="L2078" t="inlineStr">
        <is>
          <t>No calificó para crédito</t>
        </is>
      </c>
    </row>
    <row r="2079">
      <c r="A2079" t="inlineStr">
        <is>
          <t>CLI-2077</t>
        </is>
      </c>
      <c r="B2079" t="inlineStr">
        <is>
          <t>Emilio Toro Zapata</t>
        </is>
      </c>
      <c r="C2079" t="inlineStr">
        <is>
          <t>3139406677</t>
        </is>
      </c>
      <c r="D2079" t="inlineStr">
        <is>
          <t>emilio.toro78@outlook.com</t>
        </is>
      </c>
      <c r="E2079" t="inlineStr">
        <is>
          <t>Itagüí</t>
        </is>
      </c>
      <c r="F2079" t="inlineStr">
        <is>
          <t>PRY-007</t>
        </is>
      </c>
      <c r="G2079" t="inlineStr">
        <is>
          <t>Portal Web</t>
        </is>
      </c>
      <c r="H2079" t="inlineStr">
        <is>
          <t>Ana Quintero</t>
        </is>
      </c>
      <c r="I2079" t="inlineStr">
        <is>
          <t>Perdido</t>
        </is>
      </c>
      <c r="J2079" s="28" t="n">
        <v>45915</v>
      </c>
      <c r="K2079" s="28" t="n">
        <v>45936</v>
      </c>
      <c r="L2079" t="inlineStr">
        <is>
          <t>Sin respuesta tras 3 contactos</t>
        </is>
      </c>
    </row>
    <row r="2080">
      <c r="A2080" t="inlineStr">
        <is>
          <t>CLI-2078</t>
        </is>
      </c>
      <c r="B2080" t="inlineStr">
        <is>
          <t>Juan Pablo Vásquez Zuluaga</t>
        </is>
      </c>
      <c r="C2080" t="inlineStr">
        <is>
          <t>3226974441</t>
        </is>
      </c>
      <c r="D2080" t="inlineStr">
        <is>
          <t>juan.vasquez76@gmail.com</t>
        </is>
      </c>
      <c r="E2080" t="inlineStr">
        <is>
          <t>Itagüí</t>
        </is>
      </c>
      <c r="F2080" t="inlineStr">
        <is>
          <t>PRY-008</t>
        </is>
      </c>
      <c r="G2080" t="inlineStr">
        <is>
          <t>Portal Web</t>
        </is>
      </c>
      <c r="H2080" t="inlineStr">
        <is>
          <t>Luis Bedoya</t>
        </is>
      </c>
      <c r="I2080" t="inlineStr">
        <is>
          <t>Perdido</t>
        </is>
      </c>
      <c r="J2080" s="28" t="n">
        <v>45916</v>
      </c>
      <c r="K2080" s="28" t="n">
        <v>45924</v>
      </c>
      <c r="L2080" t="inlineStr">
        <is>
          <t>Presupuesto insuficiente</t>
        </is>
      </c>
    </row>
    <row r="2081">
      <c r="A2081" t="inlineStr">
        <is>
          <t>CLI-2079</t>
        </is>
      </c>
      <c r="B2081" t="inlineStr">
        <is>
          <t>Luisa Gaviria Osorio</t>
        </is>
      </c>
      <c r="C2081" t="inlineStr">
        <is>
          <t>3102063213</t>
        </is>
      </c>
      <c r="D2081" t="inlineStr">
        <is>
          <t>luisa.gaviria34@gmail.com</t>
        </is>
      </c>
      <c r="E2081" t="inlineStr">
        <is>
          <t>Medellín</t>
        </is>
      </c>
      <c r="F2081" t="inlineStr">
        <is>
          <t>PRY-005</t>
        </is>
      </c>
      <c r="G2081" t="inlineStr">
        <is>
          <t>Instagram</t>
        </is>
      </c>
      <c r="H2081" t="inlineStr">
        <is>
          <t>Luis Bedoya</t>
        </is>
      </c>
      <c r="I2081" t="inlineStr">
        <is>
          <t>Perdido</t>
        </is>
      </c>
      <c r="J2081" s="28" t="n">
        <v>45917</v>
      </c>
      <c r="K2081" s="28" t="n">
        <v>45922</v>
      </c>
      <c r="L2081" t="inlineStr">
        <is>
          <t>Buscaba arriendo, no compra</t>
        </is>
      </c>
    </row>
    <row r="2082">
      <c r="A2082" t="inlineStr">
        <is>
          <t>CLI-2080</t>
        </is>
      </c>
      <c r="B2082" t="inlineStr">
        <is>
          <t>Alejandra Arango Higuita</t>
        </is>
      </c>
      <c r="C2082" t="inlineStr">
        <is>
          <t>3202141741</t>
        </is>
      </c>
      <c r="D2082" t="inlineStr">
        <is>
          <t>alejandra.arango16@yahoo.com</t>
        </is>
      </c>
      <c r="E2082" t="inlineStr">
        <is>
          <t>Envigado</t>
        </is>
      </c>
      <c r="F2082" t="inlineStr">
        <is>
          <t>PRY-007</t>
        </is>
      </c>
      <c r="G2082" t="inlineStr">
        <is>
          <t>Referido</t>
        </is>
      </c>
      <c r="H2082" t="inlineStr">
        <is>
          <t>Juliana Vélez</t>
        </is>
      </c>
      <c r="I2082" t="inlineStr">
        <is>
          <t>Perdido</t>
        </is>
      </c>
      <c r="J2082" s="28" t="n">
        <v>45917</v>
      </c>
      <c r="K2082" s="28" t="n">
        <v>45928</v>
      </c>
      <c r="L2082" t="inlineStr">
        <is>
          <t>Sin respuesta tras 3 contactos</t>
        </is>
      </c>
    </row>
    <row r="2083">
      <c r="A2083" t="inlineStr">
        <is>
          <t>CLI-2081</t>
        </is>
      </c>
      <c r="B2083" t="inlineStr">
        <is>
          <t>Santiago Jaramillo Londoño</t>
        </is>
      </c>
      <c r="C2083" t="inlineStr">
        <is>
          <t>3015423223</t>
        </is>
      </c>
      <c r="D2083" t="inlineStr">
        <is>
          <t>santiago.jaramillo94@yahoo.com</t>
        </is>
      </c>
      <c r="E2083" t="inlineStr">
        <is>
          <t>Itagüí</t>
        </is>
      </c>
      <c r="F2083" t="inlineStr">
        <is>
          <t>PRY-008</t>
        </is>
      </c>
      <c r="G2083" t="inlineStr">
        <is>
          <t>Portal Web</t>
        </is>
      </c>
      <c r="H2083" t="inlineStr">
        <is>
          <t>Daniela Ríos</t>
        </is>
      </c>
      <c r="I2083" t="inlineStr">
        <is>
          <t>Ganado</t>
        </is>
      </c>
      <c r="J2083" s="28" t="n">
        <v>45918</v>
      </c>
      <c r="K2083" s="28" t="n">
        <v>46033</v>
      </c>
      <c r="L2083" t="inlineStr">
        <is>
          <t>Compró Casa 57 en Valle Verde Itagüí</t>
        </is>
      </c>
    </row>
    <row r="2084">
      <c r="A2084" t="inlineStr">
        <is>
          <t>CLI-2082</t>
        </is>
      </c>
      <c r="B2084" t="inlineStr">
        <is>
          <t>Diego Higuita Ochoa</t>
        </is>
      </c>
      <c r="C2084" t="inlineStr">
        <is>
          <t>3175584504</t>
        </is>
      </c>
      <c r="D2084" t="inlineStr">
        <is>
          <t>diego.higuita92@yahoo.com</t>
        </is>
      </c>
      <c r="E2084" t="inlineStr">
        <is>
          <t>La Estrella</t>
        </is>
      </c>
      <c r="F2084" t="inlineStr">
        <is>
          <t>PRY-001</t>
        </is>
      </c>
      <c r="G2084" t="inlineStr">
        <is>
          <t>Feria Inmobiliaria</t>
        </is>
      </c>
      <c r="H2084" t="inlineStr">
        <is>
          <t>Sofía Prada</t>
        </is>
      </c>
      <c r="I2084" t="inlineStr">
        <is>
          <t>Perdido</t>
        </is>
      </c>
      <c r="J2084" s="28" t="n">
        <v>45918</v>
      </c>
      <c r="K2084" s="28" t="n">
        <v>46038</v>
      </c>
      <c r="L2084" t="inlineStr">
        <is>
          <t>No volvió a responder</t>
        </is>
      </c>
    </row>
    <row r="2085">
      <c r="A2085" t="inlineStr">
        <is>
          <t>CLI-2083</t>
        </is>
      </c>
      <c r="B2085" t="inlineStr">
        <is>
          <t>Andrés Salazar Echeverri</t>
        </is>
      </c>
      <c r="C2085" t="inlineStr">
        <is>
          <t>3244140554</t>
        </is>
      </c>
      <c r="D2085" t="inlineStr">
        <is>
          <t>andres.salazar83@outlook.com</t>
        </is>
      </c>
      <c r="E2085" t="inlineStr">
        <is>
          <t>Medellín</t>
        </is>
      </c>
      <c r="F2085" t="inlineStr">
        <is>
          <t>PRY-003</t>
        </is>
      </c>
      <c r="G2085" t="inlineStr">
        <is>
          <t>Feria Inmobiliaria</t>
        </is>
      </c>
      <c r="H2085" t="inlineStr">
        <is>
          <t>Daniela Ríos</t>
        </is>
      </c>
      <c r="I2085" t="inlineStr">
        <is>
          <t>Perdido</t>
        </is>
      </c>
      <c r="J2085" s="28" t="n">
        <v>45918</v>
      </c>
      <c r="K2085" s="28" t="n">
        <v>45933</v>
      </c>
      <c r="L2085" t="inlineStr">
        <is>
          <t>Buscaba arriendo, no compra</t>
        </is>
      </c>
    </row>
    <row r="2086">
      <c r="A2086" t="inlineStr">
        <is>
          <t>CLI-2084</t>
        </is>
      </c>
      <c r="B2086" t="inlineStr">
        <is>
          <t>Gabriel Quintero Quintero</t>
        </is>
      </c>
      <c r="C2086" t="inlineStr">
        <is>
          <t>3177737972</t>
        </is>
      </c>
      <c r="D2086" t="inlineStr">
        <is>
          <t>gabriel.quintero27@outlook.com</t>
        </is>
      </c>
      <c r="E2086" t="inlineStr">
        <is>
          <t>Medellín</t>
        </is>
      </c>
      <c r="F2086" t="inlineStr">
        <is>
          <t>PRY-003</t>
        </is>
      </c>
      <c r="G2086" t="inlineStr">
        <is>
          <t>Facebook</t>
        </is>
      </c>
      <c r="H2086" t="inlineStr">
        <is>
          <t>Sofía Prada</t>
        </is>
      </c>
      <c r="I2086" t="inlineStr">
        <is>
          <t>Perdido</t>
        </is>
      </c>
      <c r="J2086" s="28" t="n">
        <v>45918</v>
      </c>
      <c r="K2086" s="28" t="n">
        <v>45923</v>
      </c>
      <c r="L2086" t="inlineStr">
        <is>
          <t>No calificó para crédito</t>
        </is>
      </c>
    </row>
    <row r="2087">
      <c r="A2087" t="inlineStr">
        <is>
          <t>CLI-2085</t>
        </is>
      </c>
      <c r="B2087" t="inlineStr">
        <is>
          <t>Ximena Escobar Muñoz</t>
        </is>
      </c>
      <c r="C2087" t="inlineStr">
        <is>
          <t>3175065563</t>
        </is>
      </c>
      <c r="D2087" t="inlineStr">
        <is>
          <t>ximena.escobar11@hotmail.com</t>
        </is>
      </c>
      <c r="E2087" t="inlineStr">
        <is>
          <t>Itagüí</t>
        </is>
      </c>
      <c r="F2087" t="inlineStr">
        <is>
          <t>PRY-008</t>
        </is>
      </c>
      <c r="G2087" t="inlineStr">
        <is>
          <t>Facebook</t>
        </is>
      </c>
      <c r="H2087" t="inlineStr">
        <is>
          <t>Paula Arenas</t>
        </is>
      </c>
      <c r="I2087" t="inlineStr">
        <is>
          <t>Perdido</t>
        </is>
      </c>
      <c r="J2087" s="28" t="n">
        <v>45918</v>
      </c>
      <c r="K2087" s="28" t="n">
        <v>45935</v>
      </c>
      <c r="L2087" t="inlineStr">
        <is>
          <t>Buscaba arriendo, no compra</t>
        </is>
      </c>
    </row>
    <row r="2088">
      <c r="A2088" t="inlineStr">
        <is>
          <t>CLI-2086</t>
        </is>
      </c>
      <c r="B2088" t="inlineStr">
        <is>
          <t>Tomás Vásquez Henao</t>
        </is>
      </c>
      <c r="C2088" t="inlineStr">
        <is>
          <t>3139858243</t>
        </is>
      </c>
      <c r="D2088" t="inlineStr">
        <is>
          <t>tomas.vasquez50@hotmail.com</t>
        </is>
      </c>
      <c r="E2088" t="inlineStr">
        <is>
          <t>La Estrella</t>
        </is>
      </c>
      <c r="F2088" t="inlineStr">
        <is>
          <t>PRY-003</t>
        </is>
      </c>
      <c r="G2088" t="inlineStr">
        <is>
          <t>Instagram</t>
        </is>
      </c>
      <c r="H2088" t="inlineStr">
        <is>
          <t>Andrés Torres</t>
        </is>
      </c>
      <c r="I2088" t="inlineStr">
        <is>
          <t>Perdido</t>
        </is>
      </c>
      <c r="J2088" s="28" t="n">
        <v>45919</v>
      </c>
      <c r="K2088" s="28" t="n">
        <v>45929</v>
      </c>
      <c r="L2088" t="inlineStr">
        <is>
          <t>Presupuesto insuficiente</t>
        </is>
      </c>
    </row>
    <row r="2089">
      <c r="A2089" t="inlineStr">
        <is>
          <t>CLI-2087</t>
        </is>
      </c>
      <c r="B2089" t="inlineStr">
        <is>
          <t>Diana Pérez Zapata</t>
        </is>
      </c>
      <c r="C2089" t="inlineStr">
        <is>
          <t>3041098447</t>
        </is>
      </c>
      <c r="D2089" t="inlineStr">
        <is>
          <t>diana.perez38@gmail.com</t>
        </is>
      </c>
      <c r="E2089" t="inlineStr">
        <is>
          <t>Itagüí</t>
        </is>
      </c>
      <c r="F2089" t="inlineStr">
        <is>
          <t>PRY-008</t>
        </is>
      </c>
      <c r="G2089" t="inlineStr">
        <is>
          <t>Instagram</t>
        </is>
      </c>
      <c r="H2089" t="inlineStr">
        <is>
          <t>Luis Bedoya</t>
        </is>
      </c>
      <c r="I2089" t="inlineStr">
        <is>
          <t>Perdido</t>
        </is>
      </c>
      <c r="J2089" s="28" t="n">
        <v>45919</v>
      </c>
      <c r="K2089" s="28" t="n">
        <v>45943</v>
      </c>
      <c r="L2089" t="inlineStr">
        <is>
          <t>Presupuesto insuficiente</t>
        </is>
      </c>
    </row>
    <row r="2090">
      <c r="A2090" t="inlineStr">
        <is>
          <t>CLI-2088</t>
        </is>
      </c>
      <c r="B2090" t="inlineStr">
        <is>
          <t>Hernán Hernández Bedoya</t>
        </is>
      </c>
      <c r="C2090" t="inlineStr">
        <is>
          <t>3146638169</t>
        </is>
      </c>
      <c r="D2090" t="inlineStr">
        <is>
          <t>hernan.hernandez29@gmail.com</t>
        </is>
      </c>
      <c r="E2090" t="inlineStr">
        <is>
          <t>Sabaneta</t>
        </is>
      </c>
      <c r="F2090" t="inlineStr">
        <is>
          <t>PRY-001</t>
        </is>
      </c>
      <c r="G2090" t="inlineStr">
        <is>
          <t>Instagram</t>
        </is>
      </c>
      <c r="H2090" t="inlineStr">
        <is>
          <t>Santiago Muñoz</t>
        </is>
      </c>
      <c r="I2090" t="inlineStr">
        <is>
          <t>Perdido</t>
        </is>
      </c>
      <c r="J2090" s="28" t="n">
        <v>45919</v>
      </c>
      <c r="K2090" s="28" t="n">
        <v>45940</v>
      </c>
      <c r="L2090" t="inlineStr">
        <is>
          <t>No calificó para crédito</t>
        </is>
      </c>
    </row>
    <row r="2091">
      <c r="A2091" t="inlineStr">
        <is>
          <t>CLI-2089</t>
        </is>
      </c>
      <c r="B2091" t="inlineStr">
        <is>
          <t>Diana Correa Toro</t>
        </is>
      </c>
      <c r="C2091" t="inlineStr">
        <is>
          <t>3045186635</t>
        </is>
      </c>
      <c r="D2091" t="inlineStr">
        <is>
          <t>diana.correa29@hotmail.com</t>
        </is>
      </c>
      <c r="E2091" t="inlineStr">
        <is>
          <t>Medellín</t>
        </is>
      </c>
      <c r="F2091" t="inlineStr">
        <is>
          <t>PRY-003</t>
        </is>
      </c>
      <c r="G2091" t="inlineStr">
        <is>
          <t>Referido</t>
        </is>
      </c>
      <c r="H2091" t="inlineStr">
        <is>
          <t>Mateo Herrera</t>
        </is>
      </c>
      <c r="I2091" t="inlineStr">
        <is>
          <t>Ganado</t>
        </is>
      </c>
      <c r="J2091" s="28" t="n">
        <v>45920</v>
      </c>
      <c r="K2091" s="28" t="n">
        <v>46059</v>
      </c>
      <c r="L2091" t="inlineStr">
        <is>
          <t>Compró Apto 302 en Conecta Laureles</t>
        </is>
      </c>
    </row>
    <row r="2092">
      <c r="A2092" t="inlineStr">
        <is>
          <t>CLI-2090</t>
        </is>
      </c>
      <c r="B2092" t="inlineStr">
        <is>
          <t>Nicolás Zapata Toro</t>
        </is>
      </c>
      <c r="C2092" t="inlineStr">
        <is>
          <t>3172868795</t>
        </is>
      </c>
      <c r="D2092" t="inlineStr">
        <is>
          <t>nicolas.zapata76@outlook.com</t>
        </is>
      </c>
      <c r="E2092" t="inlineStr">
        <is>
          <t>Rionegro</t>
        </is>
      </c>
      <c r="F2092" t="inlineStr">
        <is>
          <t>PRY-005</t>
        </is>
      </c>
      <c r="G2092" t="inlineStr">
        <is>
          <t>Facebook</t>
        </is>
      </c>
      <c r="H2092" t="inlineStr">
        <is>
          <t>Juliana Vélez</t>
        </is>
      </c>
      <c r="I2092" t="inlineStr">
        <is>
          <t>Perdido</t>
        </is>
      </c>
      <c r="J2092" s="28" t="n">
        <v>45920</v>
      </c>
      <c r="K2092" s="28" t="n">
        <v>45928</v>
      </c>
      <c r="L2092" t="inlineStr">
        <is>
          <t>Presupuesto insuficiente</t>
        </is>
      </c>
    </row>
    <row r="2093">
      <c r="A2093" t="inlineStr">
        <is>
          <t>CLI-2091</t>
        </is>
      </c>
      <c r="B2093" t="inlineStr">
        <is>
          <t>Carlos Muñoz López</t>
        </is>
      </c>
      <c r="C2093" t="inlineStr">
        <is>
          <t>3045162654</t>
        </is>
      </c>
      <c r="D2093" t="inlineStr">
        <is>
          <t>carlos.munoz46@outlook.com</t>
        </is>
      </c>
      <c r="E2093" t="inlineStr">
        <is>
          <t>Medellín</t>
        </is>
      </c>
      <c r="F2093" t="inlineStr">
        <is>
          <t>PRY-003</t>
        </is>
      </c>
      <c r="G2093" t="inlineStr">
        <is>
          <t>Instagram</t>
        </is>
      </c>
      <c r="H2093" t="inlineStr">
        <is>
          <t>Mateo Herrera</t>
        </is>
      </c>
      <c r="I2093" t="inlineStr">
        <is>
          <t>Perdido</t>
        </is>
      </c>
      <c r="J2093" s="28" t="n">
        <v>45920</v>
      </c>
      <c r="K2093" s="28" t="n">
        <v>45933</v>
      </c>
      <c r="L2093" t="inlineStr">
        <is>
          <t>Buscaba arriendo, no compra</t>
        </is>
      </c>
    </row>
    <row r="2094">
      <c r="A2094" t="inlineStr">
        <is>
          <t>CLI-2092</t>
        </is>
      </c>
      <c r="B2094" t="inlineStr">
        <is>
          <t>Mauricio Montes Gaviria</t>
        </is>
      </c>
      <c r="C2094" t="inlineStr">
        <is>
          <t>3231497868</t>
        </is>
      </c>
      <c r="D2094" t="inlineStr">
        <is>
          <t>mauricio.montes40@yahoo.com</t>
        </is>
      </c>
      <c r="E2094" t="inlineStr">
        <is>
          <t>Itagüí</t>
        </is>
      </c>
      <c r="F2094" t="inlineStr">
        <is>
          <t>PRY-008</t>
        </is>
      </c>
      <c r="G2094" t="inlineStr">
        <is>
          <t>Portal Web</t>
        </is>
      </c>
      <c r="H2094" t="inlineStr">
        <is>
          <t>Ana Quintero</t>
        </is>
      </c>
      <c r="I2094" t="inlineStr">
        <is>
          <t>Perdido</t>
        </is>
      </c>
      <c r="J2094" s="28" t="n">
        <v>45920</v>
      </c>
      <c r="K2094" s="28" t="n">
        <v>45936</v>
      </c>
      <c r="L2094" t="inlineStr">
        <is>
          <t>Buscaba arriendo, no compra</t>
        </is>
      </c>
    </row>
    <row r="2095">
      <c r="A2095" t="inlineStr">
        <is>
          <t>CLI-2093</t>
        </is>
      </c>
      <c r="B2095" t="inlineStr">
        <is>
          <t>Carlos Osorio Echeverri</t>
        </is>
      </c>
      <c r="C2095" t="inlineStr">
        <is>
          <t>3143389523</t>
        </is>
      </c>
      <c r="D2095" t="inlineStr">
        <is>
          <t>carlos.osorio69@outlook.com</t>
        </is>
      </c>
      <c r="E2095" t="inlineStr">
        <is>
          <t>Envigado</t>
        </is>
      </c>
      <c r="F2095" t="inlineStr">
        <is>
          <t>PRY-007</t>
        </is>
      </c>
      <c r="G2095" t="inlineStr">
        <is>
          <t>Portal Web</t>
        </is>
      </c>
      <c r="H2095" t="inlineStr">
        <is>
          <t>Ana Quintero</t>
        </is>
      </c>
      <c r="I2095" t="inlineStr">
        <is>
          <t>Perdido</t>
        </is>
      </c>
      <c r="J2095" s="28" t="n">
        <v>45921</v>
      </c>
      <c r="K2095" s="28" t="n">
        <v>45931</v>
      </c>
      <c r="L2095" t="inlineStr">
        <is>
          <t>Sin respuesta tras 3 contactos</t>
        </is>
      </c>
    </row>
    <row r="2096">
      <c r="A2096" t="inlineStr">
        <is>
          <t>CLI-2094</t>
        </is>
      </c>
      <c r="B2096" t="inlineStr">
        <is>
          <t>Jhon Correa Mejía</t>
        </is>
      </c>
      <c r="C2096" t="inlineStr">
        <is>
          <t>3246420167</t>
        </is>
      </c>
      <c r="D2096" t="inlineStr">
        <is>
          <t>jhon.correa16@outlook.com</t>
        </is>
      </c>
      <c r="E2096" t="inlineStr">
        <is>
          <t>Rionegro</t>
        </is>
      </c>
      <c r="F2096" t="inlineStr">
        <is>
          <t>PRY-006</t>
        </is>
      </c>
      <c r="G2096" t="inlineStr">
        <is>
          <t>Facebook</t>
        </is>
      </c>
      <c r="H2096" t="inlineStr">
        <is>
          <t>Ana Quintero</t>
        </is>
      </c>
      <c r="I2096" t="inlineStr">
        <is>
          <t>Perdido</t>
        </is>
      </c>
      <c r="J2096" s="28" t="n">
        <v>45922</v>
      </c>
      <c r="K2096" s="28" t="n">
        <v>45931</v>
      </c>
      <c r="L2096" t="inlineStr">
        <is>
          <t>Buscaba arriendo, no compra</t>
        </is>
      </c>
    </row>
    <row r="2097">
      <c r="A2097" t="inlineStr">
        <is>
          <t>CLI-2095</t>
        </is>
      </c>
      <c r="B2097" t="inlineStr">
        <is>
          <t>Wilson Restrepo Vásquez</t>
        </is>
      </c>
      <c r="C2097" t="inlineStr">
        <is>
          <t>3173016417</t>
        </is>
      </c>
      <c r="D2097" t="inlineStr">
        <is>
          <t>wilson.restrepo38@hotmail.com</t>
        </is>
      </c>
      <c r="E2097" t="inlineStr">
        <is>
          <t>Medellín</t>
        </is>
      </c>
      <c r="F2097" t="inlineStr">
        <is>
          <t>PRY-003</t>
        </is>
      </c>
      <c r="G2097" t="inlineStr">
        <is>
          <t>Portal Web</t>
        </is>
      </c>
      <c r="H2097" t="inlineStr">
        <is>
          <t>Paula Arenas</t>
        </is>
      </c>
      <c r="I2097" t="inlineStr">
        <is>
          <t>Perdido</t>
        </is>
      </c>
      <c r="J2097" s="28" t="n">
        <v>45923</v>
      </c>
      <c r="K2097" s="28" t="n">
        <v>45939</v>
      </c>
      <c r="L2097" t="inlineStr">
        <is>
          <t>Buscaba arriendo, no compra</t>
        </is>
      </c>
    </row>
    <row r="2098">
      <c r="A2098" t="inlineStr">
        <is>
          <t>CLI-2096</t>
        </is>
      </c>
      <c r="B2098" t="inlineStr">
        <is>
          <t>Óscar Ríos Cardona</t>
        </is>
      </c>
      <c r="C2098" t="inlineStr">
        <is>
          <t>3176322208</t>
        </is>
      </c>
      <c r="D2098" t="inlineStr">
        <is>
          <t>oscar.rios25@hotmail.com</t>
        </is>
      </c>
      <c r="E2098" t="inlineStr">
        <is>
          <t>Rionegro</t>
        </is>
      </c>
      <c r="F2098" t="inlineStr">
        <is>
          <t>PRY-008</t>
        </is>
      </c>
      <c r="G2098" t="inlineStr">
        <is>
          <t>Llamada directa</t>
        </is>
      </c>
      <c r="H2098" t="inlineStr">
        <is>
          <t>Andrés Torres</t>
        </is>
      </c>
      <c r="I2098" t="inlineStr">
        <is>
          <t>Perdido</t>
        </is>
      </c>
      <c r="J2098" s="28" t="n">
        <v>45923</v>
      </c>
      <c r="K2098" s="28" t="n">
        <v>45938</v>
      </c>
      <c r="L2098" t="inlineStr">
        <is>
          <t>Buscaba arriendo, no compra</t>
        </is>
      </c>
    </row>
    <row r="2099">
      <c r="A2099" t="inlineStr">
        <is>
          <t>CLI-2097</t>
        </is>
      </c>
      <c r="B2099" t="inlineStr">
        <is>
          <t>Daniel Higuita Osorio</t>
        </is>
      </c>
      <c r="C2099" t="inlineStr">
        <is>
          <t>3105346550</t>
        </is>
      </c>
      <c r="D2099" t="inlineStr">
        <is>
          <t>daniel.higuita97@yahoo.com</t>
        </is>
      </c>
      <c r="E2099" t="inlineStr">
        <is>
          <t>Itagüí</t>
        </is>
      </c>
      <c r="F2099" t="inlineStr">
        <is>
          <t>PRY-008</t>
        </is>
      </c>
      <c r="G2099" t="inlineStr">
        <is>
          <t>Portal Web</t>
        </is>
      </c>
      <c r="H2099" t="inlineStr">
        <is>
          <t>Sofía Prada</t>
        </is>
      </c>
      <c r="I2099" t="inlineStr">
        <is>
          <t>Perdido</t>
        </is>
      </c>
      <c r="J2099" s="28" t="n">
        <v>45924</v>
      </c>
      <c r="K2099" s="28" t="n">
        <v>45996</v>
      </c>
      <c r="L2099" t="inlineStr">
        <is>
          <t>Cambió de ciudad</t>
        </is>
      </c>
    </row>
    <row r="2100">
      <c r="A2100" t="inlineStr">
        <is>
          <t>CLI-2098</t>
        </is>
      </c>
      <c r="B2100" t="inlineStr">
        <is>
          <t>Gloria Castaño Mejía</t>
        </is>
      </c>
      <c r="C2100" t="inlineStr">
        <is>
          <t>3146461649</t>
        </is>
      </c>
      <c r="D2100" t="inlineStr">
        <is>
          <t>gloria.castano87@yahoo.com</t>
        </is>
      </c>
      <c r="E2100" t="inlineStr">
        <is>
          <t>Medellín</t>
        </is>
      </c>
      <c r="F2100" t="inlineStr">
        <is>
          <t>PRY-003</t>
        </is>
      </c>
      <c r="G2100" t="inlineStr">
        <is>
          <t>Llamada directa</t>
        </is>
      </c>
      <c r="H2100" t="inlineStr">
        <is>
          <t>Mateo Herrera</t>
        </is>
      </c>
      <c r="I2100" t="inlineStr">
        <is>
          <t>Ganado</t>
        </is>
      </c>
      <c r="J2100" s="28" t="n">
        <v>45924</v>
      </c>
      <c r="K2100" s="28" t="n">
        <v>46010</v>
      </c>
      <c r="L2100" t="inlineStr">
        <is>
          <t>Compró Apto 1707 en Conecta Laureles</t>
        </is>
      </c>
    </row>
    <row r="2101">
      <c r="A2101" t="inlineStr">
        <is>
          <t>CLI-2099</t>
        </is>
      </c>
      <c r="B2101" t="inlineStr">
        <is>
          <t>Liliana Rojas Cifuentes</t>
        </is>
      </c>
      <c r="C2101" t="inlineStr">
        <is>
          <t>3242690377</t>
        </is>
      </c>
      <c r="D2101" t="inlineStr">
        <is>
          <t>liliana.rojas38@yahoo.com</t>
        </is>
      </c>
      <c r="E2101" t="inlineStr">
        <is>
          <t>Medellín</t>
        </is>
      </c>
      <c r="F2101" t="inlineStr">
        <is>
          <t>PRY-002</t>
        </is>
      </c>
      <c r="G2101" t="inlineStr">
        <is>
          <t>Portal Web</t>
        </is>
      </c>
      <c r="H2101" t="inlineStr">
        <is>
          <t>Luis Bedoya</t>
        </is>
      </c>
      <c r="I2101" t="inlineStr">
        <is>
          <t>Ganado</t>
        </is>
      </c>
      <c r="J2101" s="28" t="n">
        <v>45924</v>
      </c>
      <c r="K2101" s="28" t="n">
        <v>46057</v>
      </c>
      <c r="L2101" t="inlineStr">
        <is>
          <t>Compró Casa 16 en Reserva Santa Elena</t>
        </is>
      </c>
    </row>
    <row r="2102">
      <c r="A2102" t="inlineStr">
        <is>
          <t>CLI-2100</t>
        </is>
      </c>
      <c r="B2102" t="inlineStr">
        <is>
          <t>Sandra Franco Betancur</t>
        </is>
      </c>
      <c r="C2102" t="inlineStr">
        <is>
          <t>3048961844</t>
        </is>
      </c>
      <c r="D2102" t="inlineStr">
        <is>
          <t>sandra.franco9@yahoo.com</t>
        </is>
      </c>
      <c r="E2102" t="inlineStr">
        <is>
          <t>La Estrella</t>
        </is>
      </c>
      <c r="F2102" t="inlineStr">
        <is>
          <t>PRY-006</t>
        </is>
      </c>
      <c r="G2102" t="inlineStr">
        <is>
          <t>Portal Web</t>
        </is>
      </c>
      <c r="H2102" t="inlineStr">
        <is>
          <t>Paula Arenas</t>
        </is>
      </c>
      <c r="I2102" t="inlineStr">
        <is>
          <t>Perdido</t>
        </is>
      </c>
      <c r="J2102" s="28" t="n">
        <v>45924</v>
      </c>
      <c r="K2102" s="28" t="n">
        <v>45932</v>
      </c>
      <c r="L2102" t="inlineStr">
        <is>
          <t>No calificó para crédito</t>
        </is>
      </c>
    </row>
    <row r="2103">
      <c r="A2103" t="inlineStr">
        <is>
          <t>CLI-2101</t>
        </is>
      </c>
      <c r="B2103" t="inlineStr">
        <is>
          <t>Mariana Ochoa Salcedo</t>
        </is>
      </c>
      <c r="C2103" t="inlineStr">
        <is>
          <t>3043441259</t>
        </is>
      </c>
      <c r="D2103" t="inlineStr">
        <is>
          <t>mariana.ochoa99@outlook.com</t>
        </is>
      </c>
      <c r="E2103" t="inlineStr">
        <is>
          <t>Sabaneta</t>
        </is>
      </c>
      <c r="F2103" t="inlineStr">
        <is>
          <t>PRY-003</t>
        </is>
      </c>
      <c r="G2103" t="inlineStr">
        <is>
          <t>Portal Web</t>
        </is>
      </c>
      <c r="H2103" t="inlineStr">
        <is>
          <t>Ana Quintero</t>
        </is>
      </c>
      <c r="I2103" t="inlineStr">
        <is>
          <t>Perdido</t>
        </is>
      </c>
      <c r="J2103" s="28" t="n">
        <v>45924</v>
      </c>
      <c r="K2103" s="28" t="n">
        <v>45936</v>
      </c>
      <c r="L2103" t="inlineStr">
        <is>
          <t>Sin respuesta tras 3 contactos</t>
        </is>
      </c>
    </row>
    <row r="2104">
      <c r="A2104" t="inlineStr">
        <is>
          <t>CLI-2102</t>
        </is>
      </c>
      <c r="B2104" t="inlineStr">
        <is>
          <t>Juliana Osorio Palacio</t>
        </is>
      </c>
      <c r="C2104" t="inlineStr">
        <is>
          <t>3232113372</t>
        </is>
      </c>
      <c r="D2104" t="inlineStr">
        <is>
          <t>juliana.osorio83@yahoo.com</t>
        </is>
      </c>
      <c r="E2104" t="inlineStr">
        <is>
          <t>Envigado</t>
        </is>
      </c>
      <c r="F2104" t="inlineStr">
        <is>
          <t>PRY-008</t>
        </is>
      </c>
      <c r="G2104" t="inlineStr">
        <is>
          <t>Portal Web</t>
        </is>
      </c>
      <c r="H2104" t="inlineStr">
        <is>
          <t>Luis Bedoya</t>
        </is>
      </c>
      <c r="I2104" t="inlineStr">
        <is>
          <t>Perdido</t>
        </is>
      </c>
      <c r="J2104" s="28" t="n">
        <v>45924</v>
      </c>
      <c r="K2104" s="28" t="n">
        <v>45947</v>
      </c>
      <c r="L2104" t="inlineStr">
        <is>
          <t>Sin respuesta tras 3 contactos</t>
        </is>
      </c>
    </row>
    <row r="2105">
      <c r="A2105" t="inlineStr">
        <is>
          <t>CLI-2103</t>
        </is>
      </c>
      <c r="B2105" t="inlineStr">
        <is>
          <t>Catalina Espinosa Pérez</t>
        </is>
      </c>
      <c r="C2105" t="inlineStr">
        <is>
          <t>3102872365</t>
        </is>
      </c>
      <c r="D2105" t="inlineStr">
        <is>
          <t>catalina.espinosa81@gmail.com</t>
        </is>
      </c>
      <c r="E2105" t="inlineStr">
        <is>
          <t>La Estrella</t>
        </is>
      </c>
      <c r="F2105" t="inlineStr">
        <is>
          <t>PRY-003</t>
        </is>
      </c>
      <c r="G2105" t="inlineStr">
        <is>
          <t>Llamada directa</t>
        </is>
      </c>
      <c r="H2105" t="inlineStr">
        <is>
          <t>Daniela Ríos</t>
        </is>
      </c>
      <c r="I2105" t="inlineStr">
        <is>
          <t>Perdido</t>
        </is>
      </c>
      <c r="J2105" s="28" t="n">
        <v>45924</v>
      </c>
      <c r="K2105" s="28" t="n">
        <v>45933</v>
      </c>
      <c r="L2105" t="inlineStr">
        <is>
          <t>No calificó para crédito</t>
        </is>
      </c>
    </row>
    <row r="2106">
      <c r="A2106" t="inlineStr">
        <is>
          <t>CLI-2104</t>
        </is>
      </c>
      <c r="B2106" t="inlineStr">
        <is>
          <t>Juliana Toro Zuluaga</t>
        </is>
      </c>
      <c r="C2106" t="inlineStr">
        <is>
          <t>3177317278</t>
        </is>
      </c>
      <c r="D2106" t="inlineStr">
        <is>
          <t>juliana.toro54@yahoo.com</t>
        </is>
      </c>
      <c r="E2106" t="inlineStr">
        <is>
          <t>Bello</t>
        </is>
      </c>
      <c r="F2106" t="inlineStr">
        <is>
          <t>PRY-006</t>
        </is>
      </c>
      <c r="G2106" t="inlineStr">
        <is>
          <t>Feria Inmobiliaria</t>
        </is>
      </c>
      <c r="H2106" t="inlineStr">
        <is>
          <t>Daniela Ríos</t>
        </is>
      </c>
      <c r="I2106" t="inlineStr">
        <is>
          <t>Perdido</t>
        </is>
      </c>
      <c r="J2106" s="28" t="n">
        <v>45925</v>
      </c>
      <c r="K2106" s="28" t="n">
        <v>45955</v>
      </c>
      <c r="L2106" t="inlineStr">
        <is>
          <t>Presupuesto insuficiente</t>
        </is>
      </c>
    </row>
    <row r="2107">
      <c r="A2107" t="inlineStr">
        <is>
          <t>CLI-2105</t>
        </is>
      </c>
      <c r="B2107" t="inlineStr">
        <is>
          <t>Natalia Hernández Bedoya</t>
        </is>
      </c>
      <c r="C2107" t="inlineStr">
        <is>
          <t>3133121593</t>
        </is>
      </c>
      <c r="D2107" t="inlineStr">
        <is>
          <t>natalia.hernandez48@yahoo.com</t>
        </is>
      </c>
      <c r="E2107" t="inlineStr">
        <is>
          <t>Envigado</t>
        </is>
      </c>
      <c r="F2107" t="inlineStr">
        <is>
          <t>PRY-002</t>
        </is>
      </c>
      <c r="G2107" t="inlineStr">
        <is>
          <t>Feria Inmobiliaria</t>
        </is>
      </c>
      <c r="H2107" t="inlineStr">
        <is>
          <t>Ana Quintero</t>
        </is>
      </c>
      <c r="I2107" t="inlineStr">
        <is>
          <t>Perdido</t>
        </is>
      </c>
      <c r="J2107" s="28" t="n">
        <v>45926</v>
      </c>
      <c r="K2107" s="28" t="n">
        <v>45956</v>
      </c>
      <c r="L2107" t="inlineStr">
        <is>
          <t>Sin respuesta tras 3 contactos</t>
        </is>
      </c>
    </row>
    <row r="2108">
      <c r="A2108" t="inlineStr">
        <is>
          <t>CLI-2106</t>
        </is>
      </c>
      <c r="B2108" t="inlineStr">
        <is>
          <t>Paula Muñoz Gaviria</t>
        </is>
      </c>
      <c r="C2108" t="inlineStr">
        <is>
          <t>3208620716</t>
        </is>
      </c>
      <c r="D2108" t="inlineStr">
        <is>
          <t>paula.munoz70@yahoo.com</t>
        </is>
      </c>
      <c r="E2108" t="inlineStr">
        <is>
          <t>Rionegro</t>
        </is>
      </c>
      <c r="F2108" t="inlineStr">
        <is>
          <t>PRY-005</t>
        </is>
      </c>
      <c r="G2108" t="inlineStr">
        <is>
          <t>Facebook</t>
        </is>
      </c>
      <c r="H2108" t="inlineStr">
        <is>
          <t>Andrés Torres</t>
        </is>
      </c>
      <c r="I2108" t="inlineStr">
        <is>
          <t>Perdido</t>
        </is>
      </c>
      <c r="J2108" s="28" t="n">
        <v>45926</v>
      </c>
      <c r="K2108" s="28" t="n">
        <v>45940</v>
      </c>
      <c r="L2108" t="inlineStr">
        <is>
          <t>Sin respuesta tras 3 contactos</t>
        </is>
      </c>
    </row>
    <row r="2109">
      <c r="A2109" t="inlineStr">
        <is>
          <t>CLI-2107</t>
        </is>
      </c>
      <c r="B2109" t="inlineStr">
        <is>
          <t>Sara Pérez Higuita</t>
        </is>
      </c>
      <c r="C2109" t="inlineStr">
        <is>
          <t>3011041585</t>
        </is>
      </c>
      <c r="D2109" t="inlineStr">
        <is>
          <t>sara.perez48@hotmail.com</t>
        </is>
      </c>
      <c r="E2109" t="inlineStr">
        <is>
          <t>Medellín</t>
        </is>
      </c>
      <c r="F2109" t="inlineStr">
        <is>
          <t>PRY-001</t>
        </is>
      </c>
      <c r="G2109" t="inlineStr">
        <is>
          <t>Portal Web</t>
        </is>
      </c>
      <c r="H2109" t="inlineStr">
        <is>
          <t>Miguel Salazar</t>
        </is>
      </c>
      <c r="I2109" t="inlineStr">
        <is>
          <t>Perdido</t>
        </is>
      </c>
      <c r="J2109" s="28" t="n">
        <v>45927</v>
      </c>
      <c r="K2109" s="28" t="n">
        <v>46014</v>
      </c>
      <c r="L2109" t="inlineStr">
        <is>
          <t>Eligió otro proyecto</t>
        </is>
      </c>
    </row>
    <row r="2110">
      <c r="A2110" t="inlineStr">
        <is>
          <t>CLI-2108</t>
        </is>
      </c>
      <c r="B2110" t="inlineStr">
        <is>
          <t>Valentina Cardona Restrepo</t>
        </is>
      </c>
      <c r="C2110" t="inlineStr">
        <is>
          <t>3005725276</t>
        </is>
      </c>
      <c r="D2110" t="inlineStr">
        <is>
          <t>valentina.cardona9@gmail.com</t>
        </is>
      </c>
      <c r="E2110" t="inlineStr">
        <is>
          <t>Rionegro</t>
        </is>
      </c>
      <c r="F2110" t="inlineStr">
        <is>
          <t>PRY-005</t>
        </is>
      </c>
      <c r="G2110" t="inlineStr">
        <is>
          <t>Feria Inmobiliaria</t>
        </is>
      </c>
      <c r="H2110" t="inlineStr">
        <is>
          <t>Santiago Muñoz</t>
        </is>
      </c>
      <c r="I2110" t="inlineStr">
        <is>
          <t>Perdido</t>
        </is>
      </c>
      <c r="J2110" s="28" t="n">
        <v>45927</v>
      </c>
      <c r="K2110" s="28" t="n">
        <v>45944</v>
      </c>
      <c r="L2110" t="inlineStr">
        <is>
          <t>Datos de contacto errados</t>
        </is>
      </c>
    </row>
    <row r="2111">
      <c r="A2111" t="inlineStr">
        <is>
          <t>CLI-2109</t>
        </is>
      </c>
      <c r="B2111" t="inlineStr">
        <is>
          <t>Jhon Salazar Zuluaga</t>
        </is>
      </c>
      <c r="C2111" t="inlineStr">
        <is>
          <t>3229004419</t>
        </is>
      </c>
      <c r="D2111" t="inlineStr">
        <is>
          <t>jhon.salazar67@gmail.com</t>
        </is>
      </c>
      <c r="E2111" t="inlineStr">
        <is>
          <t>La Estrella</t>
        </is>
      </c>
      <c r="F2111" t="inlineStr">
        <is>
          <t>PRY-008</t>
        </is>
      </c>
      <c r="G2111" t="inlineStr">
        <is>
          <t>Facebook</t>
        </is>
      </c>
      <c r="H2111" t="inlineStr">
        <is>
          <t>Sofía Prada</t>
        </is>
      </c>
      <c r="I2111" t="inlineStr">
        <is>
          <t>Perdido</t>
        </is>
      </c>
      <c r="J2111" s="28" t="n">
        <v>45927</v>
      </c>
      <c r="K2111" s="28" t="n">
        <v>45933</v>
      </c>
      <c r="L2111" t="inlineStr">
        <is>
          <t>Buscaba arriendo, no compra</t>
        </is>
      </c>
    </row>
    <row r="2112">
      <c r="A2112" t="inlineStr">
        <is>
          <t>CLI-2110</t>
        </is>
      </c>
      <c r="B2112" t="inlineStr">
        <is>
          <t>Esteban Gómez Franco</t>
        </is>
      </c>
      <c r="C2112" t="inlineStr">
        <is>
          <t>3175168872</t>
        </is>
      </c>
      <c r="D2112" t="inlineStr">
        <is>
          <t>esteban.gomez20@outlook.com</t>
        </is>
      </c>
      <c r="E2112" t="inlineStr">
        <is>
          <t>Envigado</t>
        </is>
      </c>
      <c r="F2112" t="inlineStr">
        <is>
          <t>PRY-002</t>
        </is>
      </c>
      <c r="G2112" t="inlineStr">
        <is>
          <t>Portal Web</t>
        </is>
      </c>
      <c r="H2112" t="inlineStr">
        <is>
          <t>Paula Arenas</t>
        </is>
      </c>
      <c r="I2112" t="inlineStr">
        <is>
          <t>Perdido</t>
        </is>
      </c>
      <c r="J2112" s="28" t="n">
        <v>45927</v>
      </c>
      <c r="K2112" s="28" t="n">
        <v>45937</v>
      </c>
      <c r="L2112" t="inlineStr">
        <is>
          <t>No calificó para crédito</t>
        </is>
      </c>
    </row>
    <row r="2113">
      <c r="A2113" t="inlineStr">
        <is>
          <t>CLI-2111</t>
        </is>
      </c>
      <c r="B2113" t="inlineStr">
        <is>
          <t>Valeria Marín Castaño</t>
        </is>
      </c>
      <c r="C2113" t="inlineStr">
        <is>
          <t>3149388106</t>
        </is>
      </c>
      <c r="D2113" t="inlineStr">
        <is>
          <t>valeria.marin60@outlook.com</t>
        </is>
      </c>
      <c r="E2113" t="inlineStr">
        <is>
          <t>Itagüí</t>
        </is>
      </c>
      <c r="F2113" t="inlineStr">
        <is>
          <t>PRY-005</t>
        </is>
      </c>
      <c r="G2113" t="inlineStr">
        <is>
          <t>Referido</t>
        </is>
      </c>
      <c r="H2113" t="inlineStr">
        <is>
          <t>Luis Bedoya</t>
        </is>
      </c>
      <c r="I2113" t="inlineStr">
        <is>
          <t>Ganado</t>
        </is>
      </c>
      <c r="J2113" s="28" t="n">
        <v>45928</v>
      </c>
      <c r="K2113" s="28" t="n">
        <v>46083</v>
      </c>
      <c r="L2113" t="inlineStr">
        <is>
          <t>Compró Casa 16 en Ciudadela Rionegro</t>
        </is>
      </c>
    </row>
    <row r="2114">
      <c r="A2114" t="inlineStr">
        <is>
          <t>CLI-2112</t>
        </is>
      </c>
      <c r="B2114" t="inlineStr">
        <is>
          <t>Ricardo Castaño Salazar</t>
        </is>
      </c>
      <c r="C2114" t="inlineStr">
        <is>
          <t>3225527765</t>
        </is>
      </c>
      <c r="D2114" t="inlineStr">
        <is>
          <t>ricardo.castano71@gmail.com</t>
        </is>
      </c>
      <c r="E2114" t="inlineStr">
        <is>
          <t>Rionegro</t>
        </is>
      </c>
      <c r="F2114" t="inlineStr">
        <is>
          <t>PRY-006</t>
        </is>
      </c>
      <c r="G2114" t="inlineStr">
        <is>
          <t>Instagram</t>
        </is>
      </c>
      <c r="H2114" t="inlineStr">
        <is>
          <t>Sofía Prada</t>
        </is>
      </c>
      <c r="I2114" t="inlineStr">
        <is>
          <t>Perdido</t>
        </is>
      </c>
      <c r="J2114" s="28" t="n">
        <v>45928</v>
      </c>
      <c r="K2114" s="28" t="n">
        <v>45949</v>
      </c>
      <c r="L2114" t="inlineStr">
        <is>
          <t>No calificó para crédito</t>
        </is>
      </c>
    </row>
    <row r="2115">
      <c r="A2115" t="inlineStr">
        <is>
          <t>CLI-2113</t>
        </is>
      </c>
      <c r="B2115" t="inlineStr">
        <is>
          <t>Diego Duque Correa</t>
        </is>
      </c>
      <c r="C2115" t="inlineStr">
        <is>
          <t>3233679689</t>
        </is>
      </c>
      <c r="D2115" t="inlineStr">
        <is>
          <t>diego.duque89@hotmail.com</t>
        </is>
      </c>
      <c r="E2115" t="inlineStr">
        <is>
          <t>Rionegro</t>
        </is>
      </c>
      <c r="F2115" t="inlineStr">
        <is>
          <t>PRY-005</t>
        </is>
      </c>
      <c r="G2115" t="inlineStr">
        <is>
          <t>Instagram</t>
        </is>
      </c>
      <c r="H2115" t="inlineStr">
        <is>
          <t>Santiago Muñoz</t>
        </is>
      </c>
      <c r="I2115" t="inlineStr">
        <is>
          <t>Perdido</t>
        </is>
      </c>
      <c r="J2115" s="28" t="n">
        <v>45929</v>
      </c>
      <c r="K2115" s="28" t="n">
        <v>46002</v>
      </c>
      <c r="L2115" t="inlineStr">
        <is>
          <t>Eligió otro proyecto</t>
        </is>
      </c>
    </row>
    <row r="2116">
      <c r="A2116" t="inlineStr">
        <is>
          <t>CLI-2114</t>
        </is>
      </c>
      <c r="B2116" t="inlineStr">
        <is>
          <t>Verónica Rojas Marín</t>
        </is>
      </c>
      <c r="C2116" t="inlineStr">
        <is>
          <t>3229972871</t>
        </is>
      </c>
      <c r="D2116" t="inlineStr">
        <is>
          <t>veronica.rojas13@hotmail.com</t>
        </is>
      </c>
      <c r="E2116" t="inlineStr">
        <is>
          <t>Medellín</t>
        </is>
      </c>
      <c r="F2116" t="inlineStr">
        <is>
          <t>PRY-001</t>
        </is>
      </c>
      <c r="G2116" t="inlineStr">
        <is>
          <t>Facebook</t>
        </is>
      </c>
      <c r="H2116" t="inlineStr">
        <is>
          <t>Miguel Salazar</t>
        </is>
      </c>
      <c r="I2116" t="inlineStr">
        <is>
          <t>Perdido</t>
        </is>
      </c>
      <c r="J2116" s="28" t="n">
        <v>45929</v>
      </c>
      <c r="K2116" s="28" t="n">
        <v>46015</v>
      </c>
      <c r="L2116" t="inlineStr">
        <is>
          <t>Crédito no aprobado</t>
        </is>
      </c>
    </row>
    <row r="2117">
      <c r="A2117" t="inlineStr">
        <is>
          <t>CLI-2115</t>
        </is>
      </c>
      <c r="B2117" t="inlineStr">
        <is>
          <t>Rodrigo Cifuentes Agudelo</t>
        </is>
      </c>
      <c r="C2117" t="inlineStr">
        <is>
          <t>3238003401</t>
        </is>
      </c>
      <c r="D2117" t="inlineStr">
        <is>
          <t>rodrigo.cifuentes29@hotmail.com</t>
        </is>
      </c>
      <c r="E2117" t="inlineStr">
        <is>
          <t>Medellín</t>
        </is>
      </c>
      <c r="F2117" t="inlineStr">
        <is>
          <t>PRY-003</t>
        </is>
      </c>
      <c r="G2117" t="inlineStr">
        <is>
          <t>Portal Web</t>
        </is>
      </c>
      <c r="H2117" t="inlineStr">
        <is>
          <t>Santiago Muñoz</t>
        </is>
      </c>
      <c r="I2117" t="inlineStr">
        <is>
          <t>Ganado</t>
        </is>
      </c>
      <c r="J2117" s="28" t="n">
        <v>45929</v>
      </c>
      <c r="K2117" s="28" t="n">
        <v>46046</v>
      </c>
      <c r="L2117" t="inlineStr">
        <is>
          <t>Compró Apto 2505 en Conecta Laureles</t>
        </is>
      </c>
    </row>
    <row r="2118">
      <c r="A2118" t="inlineStr">
        <is>
          <t>CLI-2116</t>
        </is>
      </c>
      <c r="B2118" t="inlineStr">
        <is>
          <t>Hernán Bedoya Rojas</t>
        </is>
      </c>
      <c r="C2118" t="inlineStr">
        <is>
          <t>3135673491</t>
        </is>
      </c>
      <c r="D2118" t="inlineStr">
        <is>
          <t>hernan.bedoya82@outlook.com</t>
        </is>
      </c>
      <c r="E2118" t="inlineStr">
        <is>
          <t>Envigado</t>
        </is>
      </c>
      <c r="F2118" t="inlineStr">
        <is>
          <t>PRY-007</t>
        </is>
      </c>
      <c r="G2118" t="inlineStr">
        <is>
          <t>Feria Inmobiliaria</t>
        </is>
      </c>
      <c r="H2118" t="inlineStr">
        <is>
          <t>Mateo Herrera</t>
        </is>
      </c>
      <c r="I2118" t="inlineStr">
        <is>
          <t>Perdido</t>
        </is>
      </c>
      <c r="J2118" s="28" t="n">
        <v>45929</v>
      </c>
      <c r="K2118" s="28" t="n">
        <v>45943</v>
      </c>
      <c r="L2118" t="inlineStr">
        <is>
          <t>Buscaba arriendo, no compra</t>
        </is>
      </c>
    </row>
    <row r="2119">
      <c r="A2119" t="inlineStr">
        <is>
          <t>CLI-2117</t>
        </is>
      </c>
      <c r="B2119" t="inlineStr">
        <is>
          <t>Emilio Mejía Salazar</t>
        </is>
      </c>
      <c r="C2119" t="inlineStr">
        <is>
          <t>3105664659</t>
        </is>
      </c>
      <c r="D2119" t="inlineStr">
        <is>
          <t>emilio.mejia63@gmail.com</t>
        </is>
      </c>
      <c r="E2119" t="inlineStr">
        <is>
          <t>Rionegro</t>
        </is>
      </c>
      <c r="F2119" t="inlineStr">
        <is>
          <t>PRY-002</t>
        </is>
      </c>
      <c r="G2119" t="inlineStr">
        <is>
          <t>Referido</t>
        </is>
      </c>
      <c r="H2119" t="inlineStr">
        <is>
          <t>Ana Quintero</t>
        </is>
      </c>
      <c r="I2119" t="inlineStr">
        <is>
          <t>Perdido</t>
        </is>
      </c>
      <c r="J2119" s="28" t="n">
        <v>45929</v>
      </c>
      <c r="K2119" s="28" t="n">
        <v>45945</v>
      </c>
      <c r="L2119" t="inlineStr">
        <is>
          <t>Presupuesto insuficiente</t>
        </is>
      </c>
    </row>
    <row r="2120">
      <c r="A2120" t="inlineStr">
        <is>
          <t>CLI-2118</t>
        </is>
      </c>
      <c r="B2120" t="inlineStr">
        <is>
          <t>Santiago Cifuentes Pérez</t>
        </is>
      </c>
      <c r="C2120" t="inlineStr">
        <is>
          <t>3013111368</t>
        </is>
      </c>
      <c r="D2120" t="inlineStr">
        <is>
          <t>santiago.cifuentes65@hotmail.com</t>
        </is>
      </c>
      <c r="E2120" t="inlineStr">
        <is>
          <t>Bello</t>
        </is>
      </c>
      <c r="F2120" t="inlineStr">
        <is>
          <t>PRY-008</t>
        </is>
      </c>
      <c r="G2120" t="inlineStr">
        <is>
          <t>Facebook</t>
        </is>
      </c>
      <c r="H2120" t="inlineStr">
        <is>
          <t>Mateo Herrera</t>
        </is>
      </c>
      <c r="I2120" t="inlineStr">
        <is>
          <t>Perdido</t>
        </is>
      </c>
      <c r="J2120" s="28" t="n">
        <v>45929</v>
      </c>
      <c r="K2120" s="28" t="n">
        <v>45959</v>
      </c>
      <c r="L2120" t="inlineStr">
        <is>
          <t>Sin respuesta tras 3 contactos</t>
        </is>
      </c>
    </row>
    <row r="2121">
      <c r="A2121" t="inlineStr">
        <is>
          <t>CLI-2119</t>
        </is>
      </c>
      <c r="B2121" t="inlineStr">
        <is>
          <t>Natalia Escobar Castaño</t>
        </is>
      </c>
      <c r="C2121" t="inlineStr">
        <is>
          <t>3245903560</t>
        </is>
      </c>
      <c r="D2121" t="inlineStr">
        <is>
          <t>natalia.escobar19@yahoo.com</t>
        </is>
      </c>
      <c r="E2121" t="inlineStr">
        <is>
          <t>Bello</t>
        </is>
      </c>
      <c r="F2121" t="inlineStr">
        <is>
          <t>PRY-008</t>
        </is>
      </c>
      <c r="G2121" t="inlineStr">
        <is>
          <t>Facebook</t>
        </is>
      </c>
      <c r="H2121" t="inlineStr">
        <is>
          <t>Mateo Herrera</t>
        </is>
      </c>
      <c r="I2121" t="inlineStr">
        <is>
          <t>Perdido</t>
        </is>
      </c>
      <c r="J2121" s="28" t="n">
        <v>45929</v>
      </c>
      <c r="K2121" s="28" t="n">
        <v>45951</v>
      </c>
      <c r="L2121" t="inlineStr">
        <is>
          <t>No calificó para crédito</t>
        </is>
      </c>
    </row>
    <row r="2122">
      <c r="A2122" t="inlineStr">
        <is>
          <t>CLI-2120</t>
        </is>
      </c>
      <c r="B2122" t="inlineStr">
        <is>
          <t>Isabel Álvarez Restrepo</t>
        </is>
      </c>
      <c r="C2122" t="inlineStr">
        <is>
          <t>3138745255</t>
        </is>
      </c>
      <c r="D2122" t="inlineStr">
        <is>
          <t>isabel.alvarez71@yahoo.com</t>
        </is>
      </c>
      <c r="E2122" t="inlineStr">
        <is>
          <t>La Estrella</t>
        </is>
      </c>
      <c r="F2122" t="inlineStr">
        <is>
          <t>PRY-008</t>
        </is>
      </c>
      <c r="G2122" t="inlineStr">
        <is>
          <t>Portal Web</t>
        </is>
      </c>
      <c r="H2122" t="inlineStr">
        <is>
          <t>Mateo Herrera</t>
        </is>
      </c>
      <c r="I2122" t="inlineStr">
        <is>
          <t>Perdido</t>
        </is>
      </c>
      <c r="J2122" s="28" t="n">
        <v>45929</v>
      </c>
      <c r="K2122" s="28" t="n">
        <v>45949</v>
      </c>
      <c r="L2122" t="inlineStr">
        <is>
          <t>Buscaba arriendo, no compra</t>
        </is>
      </c>
    </row>
    <row r="2123">
      <c r="A2123" t="inlineStr">
        <is>
          <t>CLI-2121</t>
        </is>
      </c>
      <c r="B2123" t="inlineStr">
        <is>
          <t>Sandra Ramírez Ríos</t>
        </is>
      </c>
      <c r="C2123" t="inlineStr">
        <is>
          <t>3144486924</t>
        </is>
      </c>
      <c r="D2123" t="inlineStr">
        <is>
          <t>sandra.ramirez27@hotmail.com</t>
        </is>
      </c>
      <c r="E2123" t="inlineStr">
        <is>
          <t>Envigado</t>
        </is>
      </c>
      <c r="F2123" t="inlineStr">
        <is>
          <t>PRY-007</t>
        </is>
      </c>
      <c r="G2123" t="inlineStr">
        <is>
          <t>Llamada directa</t>
        </is>
      </c>
      <c r="H2123" t="inlineStr">
        <is>
          <t>Mateo Herrera</t>
        </is>
      </c>
      <c r="I2123" t="inlineStr">
        <is>
          <t>Ganado</t>
        </is>
      </c>
      <c r="J2123" s="28" t="n">
        <v>45930</v>
      </c>
      <c r="K2123" s="28" t="n">
        <v>46001</v>
      </c>
      <c r="L2123" t="inlineStr">
        <is>
          <t>Compró Apto 1405 en Mirador de Envigado</t>
        </is>
      </c>
    </row>
    <row r="2124">
      <c r="A2124" t="inlineStr">
        <is>
          <t>CLI-2122</t>
        </is>
      </c>
      <c r="B2124" t="inlineStr">
        <is>
          <t>Tomás López Muñoz</t>
        </is>
      </c>
      <c r="C2124" t="inlineStr">
        <is>
          <t>3012166759</t>
        </is>
      </c>
      <c r="D2124" t="inlineStr">
        <is>
          <t>tomas.lopez57@yahoo.com</t>
        </is>
      </c>
      <c r="E2124" t="inlineStr">
        <is>
          <t>Rionegro</t>
        </is>
      </c>
      <c r="F2124" t="inlineStr">
        <is>
          <t>PRY-005</t>
        </is>
      </c>
      <c r="G2124" t="inlineStr">
        <is>
          <t>Portal Web</t>
        </is>
      </c>
      <c r="H2124" t="inlineStr">
        <is>
          <t>Paula Arenas</t>
        </is>
      </c>
      <c r="I2124" t="inlineStr">
        <is>
          <t>Perdido</t>
        </is>
      </c>
      <c r="J2124" s="28" t="n">
        <v>45930</v>
      </c>
      <c r="K2124" s="28" t="n">
        <v>45936</v>
      </c>
      <c r="L2124" t="inlineStr">
        <is>
          <t>Sin respuesta tras 3 contactos</t>
        </is>
      </c>
    </row>
    <row r="2125">
      <c r="A2125" t="inlineStr">
        <is>
          <t>CLI-2123</t>
        </is>
      </c>
      <c r="B2125" t="inlineStr">
        <is>
          <t>Mónica Ramírez Agudelo</t>
        </is>
      </c>
      <c r="C2125" t="inlineStr">
        <is>
          <t>3139663066</t>
        </is>
      </c>
      <c r="D2125" t="inlineStr">
        <is>
          <t>monica.ramirez65@gmail.com</t>
        </is>
      </c>
      <c r="E2125" t="inlineStr">
        <is>
          <t>Bello</t>
        </is>
      </c>
      <c r="F2125" t="inlineStr">
        <is>
          <t>PRY-006</t>
        </is>
      </c>
      <c r="G2125" t="inlineStr">
        <is>
          <t>Facebook</t>
        </is>
      </c>
      <c r="H2125" t="inlineStr">
        <is>
          <t>Ana Quintero</t>
        </is>
      </c>
      <c r="I2125" t="inlineStr">
        <is>
          <t>Perdido</t>
        </is>
      </c>
      <c r="J2125" s="28" t="n">
        <v>45931</v>
      </c>
      <c r="K2125" s="28" t="n">
        <v>46014</v>
      </c>
      <c r="L2125" t="inlineStr">
        <is>
          <t>Eligió otro proyecto</t>
        </is>
      </c>
    </row>
    <row r="2126">
      <c r="A2126" t="inlineStr">
        <is>
          <t>CLI-2124</t>
        </is>
      </c>
      <c r="B2126" t="inlineStr">
        <is>
          <t>Verónica Quintero Toro</t>
        </is>
      </c>
      <c r="C2126" t="inlineStr">
        <is>
          <t>3157928757</t>
        </is>
      </c>
      <c r="D2126" t="inlineStr">
        <is>
          <t>veronica.quintero90@yahoo.com</t>
        </is>
      </c>
      <c r="E2126" t="inlineStr">
        <is>
          <t>Sabaneta</t>
        </is>
      </c>
      <c r="F2126" t="inlineStr">
        <is>
          <t>PRY-003</t>
        </is>
      </c>
      <c r="G2126" t="inlineStr">
        <is>
          <t>Llamada directa</t>
        </is>
      </c>
      <c r="H2126" t="inlineStr">
        <is>
          <t>Sofía Prada</t>
        </is>
      </c>
      <c r="I2126" t="inlineStr">
        <is>
          <t>Perdido</t>
        </is>
      </c>
      <c r="J2126" s="28" t="n">
        <v>45931</v>
      </c>
      <c r="K2126" s="28" t="n">
        <v>45944</v>
      </c>
      <c r="L2126" t="inlineStr">
        <is>
          <t>No calificó para crédito</t>
        </is>
      </c>
    </row>
    <row r="2127">
      <c r="A2127" t="inlineStr">
        <is>
          <t>CLI-2125</t>
        </is>
      </c>
      <c r="B2127" t="inlineStr">
        <is>
          <t>Fernando Echeverri López</t>
        </is>
      </c>
      <c r="C2127" t="inlineStr">
        <is>
          <t>3248951558</t>
        </is>
      </c>
      <c r="D2127" t="inlineStr">
        <is>
          <t>fernando.echeverri20@hotmail.com</t>
        </is>
      </c>
      <c r="E2127" t="inlineStr">
        <is>
          <t>La Estrella</t>
        </is>
      </c>
      <c r="F2127" t="inlineStr">
        <is>
          <t>PRY-006</t>
        </is>
      </c>
      <c r="G2127" t="inlineStr">
        <is>
          <t>Referido</t>
        </is>
      </c>
      <c r="H2127" t="inlineStr">
        <is>
          <t>Santiago Muñoz</t>
        </is>
      </c>
      <c r="I2127" t="inlineStr">
        <is>
          <t>Perdido</t>
        </is>
      </c>
      <c r="J2127" s="28" t="n">
        <v>45931</v>
      </c>
      <c r="K2127" s="28" t="n">
        <v>45949</v>
      </c>
      <c r="L2127" t="inlineStr">
        <is>
          <t>Sin respuesta tras 3 contactos</t>
        </is>
      </c>
    </row>
    <row r="2128">
      <c r="A2128" t="inlineStr">
        <is>
          <t>CLI-2126</t>
        </is>
      </c>
      <c r="B2128" t="inlineStr">
        <is>
          <t>Lorena Duque Uribe</t>
        </is>
      </c>
      <c r="C2128" t="inlineStr">
        <is>
          <t>3149017089</t>
        </is>
      </c>
      <c r="D2128" t="inlineStr">
        <is>
          <t>lorena.duque78@yahoo.com</t>
        </is>
      </c>
      <c r="E2128" t="inlineStr">
        <is>
          <t>Envigado</t>
        </is>
      </c>
      <c r="F2128" t="inlineStr">
        <is>
          <t>PRY-005</t>
        </is>
      </c>
      <c r="G2128" t="inlineStr">
        <is>
          <t>Instagram</t>
        </is>
      </c>
      <c r="H2128" t="inlineStr">
        <is>
          <t>Daniela Ríos</t>
        </is>
      </c>
      <c r="I2128" t="inlineStr">
        <is>
          <t>Perdido</t>
        </is>
      </c>
      <c r="J2128" s="28" t="n">
        <v>45932</v>
      </c>
      <c r="K2128" s="28" t="n">
        <v>45952</v>
      </c>
      <c r="L2128" t="inlineStr">
        <is>
          <t>Sin respuesta tras 3 contactos</t>
        </is>
      </c>
    </row>
    <row r="2129">
      <c r="A2129" t="inlineStr">
        <is>
          <t>CLI-2127</t>
        </is>
      </c>
      <c r="B2129" t="inlineStr">
        <is>
          <t>Iván Espinosa Valencia</t>
        </is>
      </c>
      <c r="C2129" t="inlineStr">
        <is>
          <t>3008855412</t>
        </is>
      </c>
      <c r="D2129" t="inlineStr">
        <is>
          <t>ivan.espinosa91@hotmail.com</t>
        </is>
      </c>
      <c r="E2129" t="inlineStr">
        <is>
          <t>Bello</t>
        </is>
      </c>
      <c r="F2129" t="inlineStr">
        <is>
          <t>PRY-008</t>
        </is>
      </c>
      <c r="G2129" t="inlineStr">
        <is>
          <t>Portal Web</t>
        </is>
      </c>
      <c r="H2129" t="inlineStr">
        <is>
          <t>Luis Bedoya</t>
        </is>
      </c>
      <c r="I2129" t="inlineStr">
        <is>
          <t>Perdido</t>
        </is>
      </c>
      <c r="J2129" s="28" t="n">
        <v>45932</v>
      </c>
      <c r="K2129" s="28" t="n">
        <v>45958</v>
      </c>
      <c r="L2129" t="inlineStr">
        <is>
          <t>Sin respuesta tras 3 contactos</t>
        </is>
      </c>
    </row>
    <row r="2130">
      <c r="A2130" t="inlineStr">
        <is>
          <t>CLI-2128</t>
        </is>
      </c>
      <c r="B2130" t="inlineStr">
        <is>
          <t>Valentina Duque Restrepo</t>
        </is>
      </c>
      <c r="C2130" t="inlineStr">
        <is>
          <t>3203593884</t>
        </is>
      </c>
      <c r="D2130" t="inlineStr">
        <is>
          <t>valentina.duque79@outlook.com</t>
        </is>
      </c>
      <c r="E2130" t="inlineStr">
        <is>
          <t>Envigado</t>
        </is>
      </c>
      <c r="F2130" t="inlineStr">
        <is>
          <t>PRY-007</t>
        </is>
      </c>
      <c r="G2130" t="inlineStr">
        <is>
          <t>Portal Web</t>
        </is>
      </c>
      <c r="H2130" t="inlineStr">
        <is>
          <t>Ana Quintero</t>
        </is>
      </c>
      <c r="I2130" t="inlineStr">
        <is>
          <t>Perdido</t>
        </is>
      </c>
      <c r="J2130" s="28" t="n">
        <v>45932</v>
      </c>
      <c r="K2130" s="28" t="n">
        <v>45952</v>
      </c>
      <c r="L2130" t="inlineStr">
        <is>
          <t>No calificó para crédito</t>
        </is>
      </c>
    </row>
    <row r="2131">
      <c r="A2131" t="inlineStr">
        <is>
          <t>CLI-2129</t>
        </is>
      </c>
      <c r="B2131" t="inlineStr">
        <is>
          <t>Paola Betancur Montes</t>
        </is>
      </c>
      <c r="C2131" t="inlineStr">
        <is>
          <t>3106279017</t>
        </is>
      </c>
      <c r="D2131" t="inlineStr">
        <is>
          <t>paola.betancur89@outlook.com</t>
        </is>
      </c>
      <c r="E2131" t="inlineStr">
        <is>
          <t>Medellín</t>
        </is>
      </c>
      <c r="F2131" t="inlineStr">
        <is>
          <t>PRY-001</t>
        </is>
      </c>
      <c r="G2131" t="inlineStr">
        <is>
          <t>Portal Web</t>
        </is>
      </c>
      <c r="H2131" t="inlineStr">
        <is>
          <t>Sofía Prada</t>
        </is>
      </c>
      <c r="I2131" t="inlineStr">
        <is>
          <t>Perdido</t>
        </is>
      </c>
      <c r="J2131" s="28" t="n">
        <v>45932</v>
      </c>
      <c r="K2131" s="28" t="n">
        <v>45945</v>
      </c>
      <c r="L2131" t="inlineStr">
        <is>
          <t>Presupuesto insuficiente</t>
        </is>
      </c>
    </row>
    <row r="2132">
      <c r="A2132" t="inlineStr">
        <is>
          <t>CLI-2130</t>
        </is>
      </c>
      <c r="B2132" t="inlineStr">
        <is>
          <t>Simón Valencia Higuita</t>
        </is>
      </c>
      <c r="C2132" t="inlineStr">
        <is>
          <t>3011389558</t>
        </is>
      </c>
      <c r="D2132" t="inlineStr">
        <is>
          <t>simon.valencia17@hotmail.com</t>
        </is>
      </c>
      <c r="E2132" t="inlineStr">
        <is>
          <t>Medellín</t>
        </is>
      </c>
      <c r="F2132" t="inlineStr">
        <is>
          <t>PRY-001</t>
        </is>
      </c>
      <c r="G2132" t="inlineStr">
        <is>
          <t>Facebook</t>
        </is>
      </c>
      <c r="H2132" t="inlineStr">
        <is>
          <t>Andrés Torres</t>
        </is>
      </c>
      <c r="I2132" t="inlineStr">
        <is>
          <t>Perdido</t>
        </is>
      </c>
      <c r="J2132" s="28" t="n">
        <v>45932</v>
      </c>
      <c r="K2132" s="28" t="n">
        <v>45939</v>
      </c>
      <c r="L2132" t="inlineStr">
        <is>
          <t>Presupuesto insuficiente</t>
        </is>
      </c>
    </row>
    <row r="2133">
      <c r="A2133" t="inlineStr">
        <is>
          <t>CLI-2131</t>
        </is>
      </c>
      <c r="B2133" t="inlineStr">
        <is>
          <t>Mónica Montoya Osorio</t>
        </is>
      </c>
      <c r="C2133" t="inlineStr">
        <is>
          <t>3001073499</t>
        </is>
      </c>
      <c r="D2133" t="inlineStr">
        <is>
          <t>monica.montoya10@outlook.com</t>
        </is>
      </c>
      <c r="E2133" t="inlineStr">
        <is>
          <t>Medellín</t>
        </is>
      </c>
      <c r="F2133" t="inlineStr">
        <is>
          <t>PRY-002</t>
        </is>
      </c>
      <c r="G2133" t="inlineStr">
        <is>
          <t>Referido</t>
        </is>
      </c>
      <c r="H2133" t="inlineStr">
        <is>
          <t>Luis Bedoya</t>
        </is>
      </c>
      <c r="I2133" t="inlineStr">
        <is>
          <t>Ganado</t>
        </is>
      </c>
      <c r="J2133" s="28" t="n">
        <v>45933</v>
      </c>
      <c r="K2133" s="28" t="n">
        <v>46100</v>
      </c>
      <c r="L2133" t="inlineStr">
        <is>
          <t>Compró Casa 9 en Reserva Santa Elena</t>
        </is>
      </c>
    </row>
    <row r="2134">
      <c r="A2134" t="inlineStr">
        <is>
          <t>CLI-2132</t>
        </is>
      </c>
      <c r="B2134" t="inlineStr">
        <is>
          <t>Daniela Giraldo Vélez</t>
        </is>
      </c>
      <c r="C2134" t="inlineStr">
        <is>
          <t>3156476708</t>
        </is>
      </c>
      <c r="D2134" t="inlineStr">
        <is>
          <t>daniela.giraldo43@hotmail.com</t>
        </is>
      </c>
      <c r="E2134" t="inlineStr">
        <is>
          <t>Envigado</t>
        </is>
      </c>
      <c r="F2134" t="inlineStr">
        <is>
          <t>PRY-003</t>
        </is>
      </c>
      <c r="G2134" t="inlineStr">
        <is>
          <t>Facebook</t>
        </is>
      </c>
      <c r="H2134" t="inlineStr">
        <is>
          <t>Paula Arenas</t>
        </is>
      </c>
      <c r="I2134" t="inlineStr">
        <is>
          <t>Perdido</t>
        </is>
      </c>
      <c r="J2134" s="28" t="n">
        <v>45933</v>
      </c>
      <c r="K2134" s="28" t="n">
        <v>46025</v>
      </c>
      <c r="L2134" t="inlineStr">
        <is>
          <t>No volvió a responder</t>
        </is>
      </c>
    </row>
    <row r="2135">
      <c r="A2135" t="inlineStr">
        <is>
          <t>CLI-2133</t>
        </is>
      </c>
      <c r="B2135" t="inlineStr">
        <is>
          <t>Sandra Pérez Espinosa</t>
        </is>
      </c>
      <c r="C2135" t="inlineStr">
        <is>
          <t>3141093016</t>
        </is>
      </c>
      <c r="D2135" t="inlineStr">
        <is>
          <t>sandra.perez19@yahoo.com</t>
        </is>
      </c>
      <c r="E2135" t="inlineStr">
        <is>
          <t>Medellín</t>
        </is>
      </c>
      <c r="F2135" t="inlineStr">
        <is>
          <t>PRY-001</t>
        </is>
      </c>
      <c r="G2135" t="inlineStr">
        <is>
          <t>Llamada directa</t>
        </is>
      </c>
      <c r="H2135" t="inlineStr">
        <is>
          <t>Juliana Vélez</t>
        </is>
      </c>
      <c r="I2135" t="inlineStr">
        <is>
          <t>Perdido</t>
        </is>
      </c>
      <c r="J2135" s="28" t="n">
        <v>45933</v>
      </c>
      <c r="K2135" s="28" t="n">
        <v>45949</v>
      </c>
      <c r="L2135" t="inlineStr">
        <is>
          <t>Datos de contacto errados</t>
        </is>
      </c>
    </row>
    <row r="2136">
      <c r="A2136" t="inlineStr">
        <is>
          <t>CLI-2134</t>
        </is>
      </c>
      <c r="B2136" t="inlineStr">
        <is>
          <t>Gloria Osorio Cano</t>
        </is>
      </c>
      <c r="C2136" t="inlineStr">
        <is>
          <t>3142923741</t>
        </is>
      </c>
      <c r="D2136" t="inlineStr">
        <is>
          <t>gloria.osorio38@outlook.com</t>
        </is>
      </c>
      <c r="E2136" t="inlineStr">
        <is>
          <t>Itagüí</t>
        </is>
      </c>
      <c r="F2136" t="inlineStr">
        <is>
          <t>PRY-003</t>
        </is>
      </c>
      <c r="G2136" t="inlineStr">
        <is>
          <t>Referido</t>
        </is>
      </c>
      <c r="H2136" t="inlineStr">
        <is>
          <t>Andrés Torres</t>
        </is>
      </c>
      <c r="I2136" t="inlineStr">
        <is>
          <t>Ganado</t>
        </is>
      </c>
      <c r="J2136" s="28" t="n">
        <v>45934</v>
      </c>
      <c r="K2136" s="28" t="n">
        <v>46012</v>
      </c>
      <c r="L2136" t="inlineStr">
        <is>
          <t>Compró Apto 1808 en Conecta Laureles</t>
        </is>
      </c>
    </row>
    <row r="2137">
      <c r="A2137" t="inlineStr">
        <is>
          <t>CLI-2135</t>
        </is>
      </c>
      <c r="B2137" t="inlineStr">
        <is>
          <t>Diana Muñoz Vargas</t>
        </is>
      </c>
      <c r="C2137" t="inlineStr">
        <is>
          <t>3155955427</t>
        </is>
      </c>
      <c r="D2137" t="inlineStr">
        <is>
          <t>diana.munoz61@yahoo.com</t>
        </is>
      </c>
      <c r="E2137" t="inlineStr">
        <is>
          <t>Medellín</t>
        </is>
      </c>
      <c r="F2137" t="inlineStr">
        <is>
          <t>PRY-003</t>
        </is>
      </c>
      <c r="G2137" t="inlineStr">
        <is>
          <t>Portal Web</t>
        </is>
      </c>
      <c r="H2137" t="inlineStr">
        <is>
          <t>Paula Arenas</t>
        </is>
      </c>
      <c r="I2137" t="inlineStr">
        <is>
          <t>Perdido</t>
        </is>
      </c>
      <c r="J2137" s="28" t="n">
        <v>45934</v>
      </c>
      <c r="K2137" s="28" t="n">
        <v>45961</v>
      </c>
      <c r="L2137" t="inlineStr">
        <is>
          <t>Buscaba arriendo, no compra</t>
        </is>
      </c>
    </row>
    <row r="2138">
      <c r="A2138" t="inlineStr">
        <is>
          <t>CLI-2136</t>
        </is>
      </c>
      <c r="B2138" t="inlineStr">
        <is>
          <t>Carolina Álvarez Cano</t>
        </is>
      </c>
      <c r="C2138" t="inlineStr">
        <is>
          <t>3103719097</t>
        </is>
      </c>
      <c r="D2138" t="inlineStr">
        <is>
          <t>carolina.alvarez37@hotmail.com</t>
        </is>
      </c>
      <c r="E2138" t="inlineStr">
        <is>
          <t>Sabaneta</t>
        </is>
      </c>
      <c r="F2138" t="inlineStr">
        <is>
          <t>PRY-005</t>
        </is>
      </c>
      <c r="G2138" t="inlineStr">
        <is>
          <t>Feria Inmobiliaria</t>
        </is>
      </c>
      <c r="H2138" t="inlineStr">
        <is>
          <t>Andrés Torres</t>
        </is>
      </c>
      <c r="I2138" t="inlineStr">
        <is>
          <t>Perdido</t>
        </is>
      </c>
      <c r="J2138" s="28" t="n">
        <v>45934</v>
      </c>
      <c r="K2138" s="28" t="n">
        <v>45964</v>
      </c>
      <c r="L2138" t="inlineStr">
        <is>
          <t>Sin respuesta tras 3 contactos</t>
        </is>
      </c>
    </row>
    <row r="2139">
      <c r="A2139" t="inlineStr">
        <is>
          <t>CLI-2137</t>
        </is>
      </c>
      <c r="B2139" t="inlineStr">
        <is>
          <t>Paola Salazar Restrepo</t>
        </is>
      </c>
      <c r="C2139" t="inlineStr">
        <is>
          <t>3173275164</t>
        </is>
      </c>
      <c r="D2139" t="inlineStr">
        <is>
          <t>paola.salazar56@hotmail.com</t>
        </is>
      </c>
      <c r="E2139" t="inlineStr">
        <is>
          <t>Bello</t>
        </is>
      </c>
      <c r="F2139" t="inlineStr">
        <is>
          <t>PRY-006</t>
        </is>
      </c>
      <c r="G2139" t="inlineStr">
        <is>
          <t>Referido</t>
        </is>
      </c>
      <c r="H2139" t="inlineStr">
        <is>
          <t>Sofía Prada</t>
        </is>
      </c>
      <c r="I2139" t="inlineStr">
        <is>
          <t>Ganado</t>
        </is>
      </c>
      <c r="J2139" s="28" t="n">
        <v>45935</v>
      </c>
      <c r="K2139" s="28" t="n">
        <v>46075</v>
      </c>
      <c r="L2139" t="inlineStr">
        <is>
          <t>Compró Local 27 en Plaza Bello</t>
        </is>
      </c>
    </row>
    <row r="2140">
      <c r="A2140" t="inlineStr">
        <is>
          <t>CLI-2138</t>
        </is>
      </c>
      <c r="B2140" t="inlineStr">
        <is>
          <t>Catalina Castaño Marín</t>
        </is>
      </c>
      <c r="C2140" t="inlineStr">
        <is>
          <t>3236103911</t>
        </is>
      </c>
      <c r="D2140" t="inlineStr">
        <is>
          <t>catalina.castano18@yahoo.com</t>
        </is>
      </c>
      <c r="E2140" t="inlineStr">
        <is>
          <t>Envigado</t>
        </is>
      </c>
      <c r="F2140" t="inlineStr">
        <is>
          <t>PRY-006</t>
        </is>
      </c>
      <c r="G2140" t="inlineStr">
        <is>
          <t>Portal Web</t>
        </is>
      </c>
      <c r="H2140" t="inlineStr">
        <is>
          <t>Miguel Salazar</t>
        </is>
      </c>
      <c r="I2140" t="inlineStr">
        <is>
          <t>Perdido</t>
        </is>
      </c>
      <c r="J2140" s="28" t="n">
        <v>45935</v>
      </c>
      <c r="K2140" s="28" t="n">
        <v>45958</v>
      </c>
      <c r="L2140" t="inlineStr">
        <is>
          <t>Datos de contacto errados</t>
        </is>
      </c>
    </row>
    <row r="2141">
      <c r="A2141" t="inlineStr">
        <is>
          <t>CLI-2139</t>
        </is>
      </c>
      <c r="B2141" t="inlineStr">
        <is>
          <t>Valeria Franco Vélez</t>
        </is>
      </c>
      <c r="C2141" t="inlineStr">
        <is>
          <t>3016743993</t>
        </is>
      </c>
      <c r="D2141" t="inlineStr">
        <is>
          <t>valeria.franco75@outlook.com</t>
        </is>
      </c>
      <c r="E2141" t="inlineStr">
        <is>
          <t>La Estrella</t>
        </is>
      </c>
      <c r="F2141" t="inlineStr">
        <is>
          <t>PRY-002</t>
        </is>
      </c>
      <c r="G2141" t="inlineStr">
        <is>
          <t>Instagram</t>
        </is>
      </c>
      <c r="H2141" t="inlineStr">
        <is>
          <t>Daniela Ríos</t>
        </is>
      </c>
      <c r="I2141" t="inlineStr">
        <is>
          <t>Perdido</t>
        </is>
      </c>
      <c r="J2141" s="28" t="n">
        <v>45936</v>
      </c>
      <c r="K2141" s="28" t="n">
        <v>45960</v>
      </c>
      <c r="L2141" t="inlineStr">
        <is>
          <t>Sin respuesta tras 3 contactos</t>
        </is>
      </c>
    </row>
    <row r="2142">
      <c r="A2142" t="inlineStr">
        <is>
          <t>CLI-2140</t>
        </is>
      </c>
      <c r="B2142" t="inlineStr">
        <is>
          <t>Daniela Zuluaga Castaño</t>
        </is>
      </c>
      <c r="C2142" t="inlineStr">
        <is>
          <t>3004379814</t>
        </is>
      </c>
      <c r="D2142" t="inlineStr">
        <is>
          <t>daniela.zuluaga78@outlook.com</t>
        </is>
      </c>
      <c r="E2142" t="inlineStr">
        <is>
          <t>La Estrella</t>
        </is>
      </c>
      <c r="F2142" t="inlineStr">
        <is>
          <t>PRY-001</t>
        </is>
      </c>
      <c r="G2142" t="inlineStr">
        <is>
          <t>Portal Web</t>
        </is>
      </c>
      <c r="H2142" t="inlineStr">
        <is>
          <t>Sofía Prada</t>
        </is>
      </c>
      <c r="I2142" t="inlineStr">
        <is>
          <t>Perdido</t>
        </is>
      </c>
      <c r="J2142" s="28" t="n">
        <v>45936</v>
      </c>
      <c r="K2142" s="28" t="n">
        <v>45943</v>
      </c>
      <c r="L2142" t="inlineStr">
        <is>
          <t>Sin respuesta tras 3 contactos</t>
        </is>
      </c>
    </row>
    <row r="2143">
      <c r="A2143" t="inlineStr">
        <is>
          <t>CLI-2141</t>
        </is>
      </c>
      <c r="B2143" t="inlineStr">
        <is>
          <t>Emilio Hernández Gómez</t>
        </is>
      </c>
      <c r="C2143" t="inlineStr">
        <is>
          <t>3231074389</t>
        </is>
      </c>
      <c r="D2143" t="inlineStr">
        <is>
          <t>emilio.hernandez14@gmail.com</t>
        </is>
      </c>
      <c r="E2143" t="inlineStr">
        <is>
          <t>Envigado</t>
        </is>
      </c>
      <c r="F2143" t="inlineStr">
        <is>
          <t>PRY-007</t>
        </is>
      </c>
      <c r="G2143" t="inlineStr">
        <is>
          <t>Facebook</t>
        </is>
      </c>
      <c r="H2143" t="inlineStr">
        <is>
          <t>Ana Quintero</t>
        </is>
      </c>
      <c r="I2143" t="inlineStr">
        <is>
          <t>Perdido</t>
        </is>
      </c>
      <c r="J2143" s="28" t="n">
        <v>45936</v>
      </c>
      <c r="K2143" s="28" t="n">
        <v>45947</v>
      </c>
      <c r="L2143" t="inlineStr">
        <is>
          <t>Presupuesto insuficiente</t>
        </is>
      </c>
    </row>
    <row r="2144">
      <c r="A2144" t="inlineStr">
        <is>
          <t>CLI-2142</t>
        </is>
      </c>
      <c r="B2144" t="inlineStr">
        <is>
          <t>David Londoño Castaño</t>
        </is>
      </c>
      <c r="C2144" t="inlineStr">
        <is>
          <t>3045440604</t>
        </is>
      </c>
      <c r="D2144" t="inlineStr">
        <is>
          <t>david.londono47@hotmail.com</t>
        </is>
      </c>
      <c r="E2144" t="inlineStr">
        <is>
          <t>Itagüí</t>
        </is>
      </c>
      <c r="F2144" t="inlineStr">
        <is>
          <t>PRY-002</t>
        </is>
      </c>
      <c r="G2144" t="inlineStr">
        <is>
          <t>Instagram</t>
        </is>
      </c>
      <c r="H2144" t="inlineStr">
        <is>
          <t>Paula Arenas</t>
        </is>
      </c>
      <c r="I2144" t="inlineStr">
        <is>
          <t>Perdido</t>
        </is>
      </c>
      <c r="J2144" s="28" t="n">
        <v>45936</v>
      </c>
      <c r="K2144" s="28" t="n">
        <v>45951</v>
      </c>
      <c r="L2144" t="inlineStr">
        <is>
          <t>No calificó para crédito</t>
        </is>
      </c>
    </row>
    <row r="2145">
      <c r="A2145" t="inlineStr">
        <is>
          <t>CLI-2143</t>
        </is>
      </c>
      <c r="B2145" t="inlineStr">
        <is>
          <t>Esteban Salazar Zapata</t>
        </is>
      </c>
      <c r="C2145" t="inlineStr">
        <is>
          <t>3203344530</t>
        </is>
      </c>
      <c r="D2145" t="inlineStr">
        <is>
          <t>esteban.salazar31@gmail.com</t>
        </is>
      </c>
      <c r="E2145" t="inlineStr">
        <is>
          <t>Rionegro</t>
        </is>
      </c>
      <c r="F2145" t="inlineStr">
        <is>
          <t>PRY-005</t>
        </is>
      </c>
      <c r="G2145" t="inlineStr">
        <is>
          <t>Llamada directa</t>
        </is>
      </c>
      <c r="H2145" t="inlineStr">
        <is>
          <t>Paula Arenas</t>
        </is>
      </c>
      <c r="I2145" t="inlineStr">
        <is>
          <t>Perdido</t>
        </is>
      </c>
      <c r="J2145" s="28" t="n">
        <v>45936</v>
      </c>
      <c r="K2145" s="28" t="n">
        <v>45962</v>
      </c>
      <c r="L2145" t="inlineStr">
        <is>
          <t>Buscaba arriendo, no compra</t>
        </is>
      </c>
    </row>
    <row r="2146">
      <c r="A2146" t="inlineStr">
        <is>
          <t>CLI-2144</t>
        </is>
      </c>
      <c r="B2146" t="inlineStr">
        <is>
          <t>Marcela Montes Giraldo</t>
        </is>
      </c>
      <c r="C2146" t="inlineStr">
        <is>
          <t>3009479281</t>
        </is>
      </c>
      <c r="D2146" t="inlineStr">
        <is>
          <t>marcela.montes84@hotmail.com</t>
        </is>
      </c>
      <c r="E2146" t="inlineStr">
        <is>
          <t>Itagüí</t>
        </is>
      </c>
      <c r="F2146" t="inlineStr">
        <is>
          <t>PRY-002</t>
        </is>
      </c>
      <c r="G2146" t="inlineStr">
        <is>
          <t>Portal Web</t>
        </is>
      </c>
      <c r="H2146" t="inlineStr">
        <is>
          <t>Juliana Vélez</t>
        </is>
      </c>
      <c r="I2146" t="inlineStr">
        <is>
          <t>Perdido</t>
        </is>
      </c>
      <c r="J2146" s="28" t="n">
        <v>45937</v>
      </c>
      <c r="K2146" s="28" t="n">
        <v>45961</v>
      </c>
      <c r="L2146" t="inlineStr">
        <is>
          <t>No calificó para crédito</t>
        </is>
      </c>
    </row>
    <row r="2147">
      <c r="A2147" t="inlineStr">
        <is>
          <t>CLI-2145</t>
        </is>
      </c>
      <c r="B2147" t="inlineStr">
        <is>
          <t>Rodrigo Betancur Vásquez</t>
        </is>
      </c>
      <c r="C2147" t="inlineStr">
        <is>
          <t>3137279732</t>
        </is>
      </c>
      <c r="D2147" t="inlineStr">
        <is>
          <t>rodrigo.betancur41@yahoo.com</t>
        </is>
      </c>
      <c r="E2147" t="inlineStr">
        <is>
          <t>Medellín</t>
        </is>
      </c>
      <c r="F2147" t="inlineStr">
        <is>
          <t>PRY-008</t>
        </is>
      </c>
      <c r="G2147" t="inlineStr">
        <is>
          <t>Llamada directa</t>
        </is>
      </c>
      <c r="H2147" t="inlineStr">
        <is>
          <t>Paula Arenas</t>
        </is>
      </c>
      <c r="I2147" t="inlineStr">
        <is>
          <t>Perdido</t>
        </is>
      </c>
      <c r="J2147" s="28" t="n">
        <v>45937</v>
      </c>
      <c r="K2147" s="28" t="n">
        <v>45964</v>
      </c>
      <c r="L2147" t="inlineStr">
        <is>
          <t>No calificó para crédito</t>
        </is>
      </c>
    </row>
    <row r="2148">
      <c r="A2148" t="inlineStr">
        <is>
          <t>CLI-2146</t>
        </is>
      </c>
      <c r="B2148" t="inlineStr">
        <is>
          <t>Daniela Agudelo Castaño</t>
        </is>
      </c>
      <c r="C2148" t="inlineStr">
        <is>
          <t>3171891658</t>
        </is>
      </c>
      <c r="D2148" t="inlineStr">
        <is>
          <t>daniela.agudelo9@outlook.com</t>
        </is>
      </c>
      <c r="E2148" t="inlineStr">
        <is>
          <t>Rionegro</t>
        </is>
      </c>
      <c r="F2148" t="inlineStr">
        <is>
          <t>PRY-007</t>
        </is>
      </c>
      <c r="G2148" t="inlineStr">
        <is>
          <t>Instagram</t>
        </is>
      </c>
      <c r="H2148" t="inlineStr">
        <is>
          <t>Sofía Prada</t>
        </is>
      </c>
      <c r="I2148" t="inlineStr">
        <is>
          <t>Perdido</t>
        </is>
      </c>
      <c r="J2148" s="28" t="n">
        <v>45938</v>
      </c>
      <c r="K2148" s="28" t="n">
        <v>45966</v>
      </c>
      <c r="L2148" t="inlineStr">
        <is>
          <t>Sin respuesta tras 3 contactos</t>
        </is>
      </c>
    </row>
    <row r="2149">
      <c r="A2149" t="inlineStr">
        <is>
          <t>CLI-2147</t>
        </is>
      </c>
      <c r="B2149" t="inlineStr">
        <is>
          <t>Verónica Pérez Echeverri</t>
        </is>
      </c>
      <c r="C2149" t="inlineStr">
        <is>
          <t>3238226499</t>
        </is>
      </c>
      <c r="D2149" t="inlineStr">
        <is>
          <t>veronica.perez36@outlook.com</t>
        </is>
      </c>
      <c r="E2149" t="inlineStr">
        <is>
          <t>Itagüí</t>
        </is>
      </c>
      <c r="F2149" t="inlineStr">
        <is>
          <t>PRY-008</t>
        </is>
      </c>
      <c r="G2149" t="inlineStr">
        <is>
          <t>Llamada directa</t>
        </is>
      </c>
      <c r="H2149" t="inlineStr">
        <is>
          <t>Miguel Salazar</t>
        </is>
      </c>
      <c r="I2149" t="inlineStr">
        <is>
          <t>Perdido</t>
        </is>
      </c>
      <c r="J2149" s="28" t="n">
        <v>45938</v>
      </c>
      <c r="K2149" s="28" t="n">
        <v>45967</v>
      </c>
      <c r="L2149" t="inlineStr">
        <is>
          <t>Sin respuesta tras 3 contactos</t>
        </is>
      </c>
    </row>
    <row r="2150">
      <c r="A2150" t="inlineStr">
        <is>
          <t>CLI-2148</t>
        </is>
      </c>
      <c r="B2150" t="inlineStr">
        <is>
          <t>Emilio Uribe Peláez</t>
        </is>
      </c>
      <c r="C2150" t="inlineStr">
        <is>
          <t>3044094088</t>
        </is>
      </c>
      <c r="D2150" t="inlineStr">
        <is>
          <t>emilio.uribe71@gmail.com</t>
        </is>
      </c>
      <c r="E2150" t="inlineStr">
        <is>
          <t>Envigado</t>
        </is>
      </c>
      <c r="F2150" t="inlineStr">
        <is>
          <t>PRY-005</t>
        </is>
      </c>
      <c r="G2150" t="inlineStr">
        <is>
          <t>Referido</t>
        </is>
      </c>
      <c r="H2150" t="inlineStr">
        <is>
          <t>Sofía Prada</t>
        </is>
      </c>
      <c r="I2150" t="inlineStr">
        <is>
          <t>Perdido</t>
        </is>
      </c>
      <c r="J2150" s="28" t="n">
        <v>45939</v>
      </c>
      <c r="K2150" s="28" t="n">
        <v>45954</v>
      </c>
      <c r="L2150" t="inlineStr">
        <is>
          <t>Presupuesto insuficiente</t>
        </is>
      </c>
    </row>
    <row r="2151">
      <c r="A2151" t="inlineStr">
        <is>
          <t>CLI-2149</t>
        </is>
      </c>
      <c r="B2151" t="inlineStr">
        <is>
          <t>Emilio Zuluaga Giraldo</t>
        </is>
      </c>
      <c r="C2151" t="inlineStr">
        <is>
          <t>3223127308</t>
        </is>
      </c>
      <c r="D2151" t="inlineStr">
        <is>
          <t>emilio.zuluaga64@yahoo.com</t>
        </is>
      </c>
      <c r="E2151" t="inlineStr">
        <is>
          <t>Medellín</t>
        </is>
      </c>
      <c r="F2151" t="inlineStr">
        <is>
          <t>PRY-002</t>
        </is>
      </c>
      <c r="G2151" t="inlineStr">
        <is>
          <t>Feria Inmobiliaria</t>
        </is>
      </c>
      <c r="H2151" t="inlineStr">
        <is>
          <t>Andrés Torres</t>
        </is>
      </c>
      <c r="I2151" t="inlineStr">
        <is>
          <t>Perdido</t>
        </is>
      </c>
      <c r="J2151" s="28" t="n">
        <v>45939</v>
      </c>
      <c r="K2151" s="28" t="n">
        <v>45967</v>
      </c>
      <c r="L2151" t="inlineStr">
        <is>
          <t>Sin respuesta tras 3 contactos</t>
        </is>
      </c>
    </row>
    <row r="2152">
      <c r="A2152" t="inlineStr">
        <is>
          <t>CLI-2150</t>
        </is>
      </c>
      <c r="B2152" t="inlineStr">
        <is>
          <t>Valeria Correa Salcedo</t>
        </is>
      </c>
      <c r="C2152" t="inlineStr">
        <is>
          <t>3103325827</t>
        </is>
      </c>
      <c r="D2152" t="inlineStr">
        <is>
          <t>valeria.correa56@yahoo.com</t>
        </is>
      </c>
      <c r="E2152" t="inlineStr">
        <is>
          <t>Bello</t>
        </is>
      </c>
      <c r="F2152" t="inlineStr">
        <is>
          <t>PRY-003</t>
        </is>
      </c>
      <c r="G2152" t="inlineStr">
        <is>
          <t>Portal Web</t>
        </is>
      </c>
      <c r="H2152" t="inlineStr">
        <is>
          <t>Sofía Prada</t>
        </is>
      </c>
      <c r="I2152" t="inlineStr">
        <is>
          <t>Perdido</t>
        </is>
      </c>
      <c r="J2152" s="28" t="n">
        <v>45939</v>
      </c>
      <c r="K2152" s="28" t="n">
        <v>45956</v>
      </c>
      <c r="L2152" t="inlineStr">
        <is>
          <t>Presupuesto insuficiente</t>
        </is>
      </c>
    </row>
    <row r="2153">
      <c r="A2153" t="inlineStr">
        <is>
          <t>CLI-2151</t>
        </is>
      </c>
      <c r="B2153" t="inlineStr">
        <is>
          <t>Gabriel Marín Higuita</t>
        </is>
      </c>
      <c r="C2153" t="inlineStr">
        <is>
          <t>3151055902</t>
        </is>
      </c>
      <c r="D2153" t="inlineStr">
        <is>
          <t>gabriel.marin68@yahoo.com</t>
        </is>
      </c>
      <c r="E2153" t="inlineStr">
        <is>
          <t>Medellín</t>
        </is>
      </c>
      <c r="F2153" t="inlineStr">
        <is>
          <t>PRY-001</t>
        </is>
      </c>
      <c r="G2153" t="inlineStr">
        <is>
          <t>Facebook</t>
        </is>
      </c>
      <c r="H2153" t="inlineStr">
        <is>
          <t>Ana Quintero</t>
        </is>
      </c>
      <c r="I2153" t="inlineStr">
        <is>
          <t>Perdido</t>
        </is>
      </c>
      <c r="J2153" s="28" t="n">
        <v>45939</v>
      </c>
      <c r="K2153" s="28" t="n">
        <v>45959</v>
      </c>
      <c r="L2153" t="inlineStr">
        <is>
          <t>No calificó para crédito</t>
        </is>
      </c>
    </row>
    <row r="2154">
      <c r="A2154" t="inlineStr">
        <is>
          <t>CLI-2152</t>
        </is>
      </c>
      <c r="B2154" t="inlineStr">
        <is>
          <t>Katherine Ríos Quintero</t>
        </is>
      </c>
      <c r="C2154" t="inlineStr">
        <is>
          <t>3202631921</t>
        </is>
      </c>
      <c r="D2154" t="inlineStr">
        <is>
          <t>katherine.rios26@gmail.com</t>
        </is>
      </c>
      <c r="E2154" t="inlineStr">
        <is>
          <t>Medellín</t>
        </is>
      </c>
      <c r="F2154" t="inlineStr">
        <is>
          <t>PRY-001</t>
        </is>
      </c>
      <c r="G2154" t="inlineStr">
        <is>
          <t>Facebook</t>
        </is>
      </c>
      <c r="H2154" t="inlineStr">
        <is>
          <t>Santiago Muñoz</t>
        </is>
      </c>
      <c r="I2154" t="inlineStr">
        <is>
          <t>Perdido</t>
        </is>
      </c>
      <c r="J2154" s="28" t="n">
        <v>45939</v>
      </c>
      <c r="K2154" s="28" t="n">
        <v>45961</v>
      </c>
      <c r="L2154" t="inlineStr">
        <is>
          <t>Buscaba arriendo, no compra</t>
        </is>
      </c>
    </row>
    <row r="2155">
      <c r="A2155" t="inlineStr">
        <is>
          <t>CLI-2153</t>
        </is>
      </c>
      <c r="B2155" t="inlineStr">
        <is>
          <t>David Gaviria Hernández</t>
        </is>
      </c>
      <c r="C2155" t="inlineStr">
        <is>
          <t>3131975823</t>
        </is>
      </c>
      <c r="D2155" t="inlineStr">
        <is>
          <t>david.gaviria64@yahoo.com</t>
        </is>
      </c>
      <c r="E2155" t="inlineStr">
        <is>
          <t>Itagüí</t>
        </is>
      </c>
      <c r="F2155" t="inlineStr">
        <is>
          <t>PRY-008</t>
        </is>
      </c>
      <c r="G2155" t="inlineStr">
        <is>
          <t>Feria Inmobiliaria</t>
        </is>
      </c>
      <c r="H2155" t="inlineStr">
        <is>
          <t>Paula Arenas</t>
        </is>
      </c>
      <c r="I2155" t="inlineStr">
        <is>
          <t>Perdido</t>
        </is>
      </c>
      <c r="J2155" s="28" t="n">
        <v>45940</v>
      </c>
      <c r="K2155" s="28" t="n">
        <v>45976</v>
      </c>
      <c r="L2155" t="inlineStr">
        <is>
          <t>Precio fuera de presupuesto</t>
        </is>
      </c>
    </row>
    <row r="2156">
      <c r="A2156" t="inlineStr">
        <is>
          <t>CLI-2154</t>
        </is>
      </c>
      <c r="B2156" t="inlineStr">
        <is>
          <t>Luisa Rojas Jaramillo</t>
        </is>
      </c>
      <c r="C2156" t="inlineStr">
        <is>
          <t>3042012928</t>
        </is>
      </c>
      <c r="D2156" t="inlineStr">
        <is>
          <t>luisa.rojas23@hotmail.com</t>
        </is>
      </c>
      <c r="E2156" t="inlineStr">
        <is>
          <t>Itagüí</t>
        </is>
      </c>
      <c r="F2156" t="inlineStr">
        <is>
          <t>PRY-008</t>
        </is>
      </c>
      <c r="G2156" t="inlineStr">
        <is>
          <t>Feria Inmobiliaria</t>
        </is>
      </c>
      <c r="H2156" t="inlineStr">
        <is>
          <t>Daniela Ríos</t>
        </is>
      </c>
      <c r="I2156" t="inlineStr">
        <is>
          <t>Ganado</t>
        </is>
      </c>
      <c r="J2156" s="28" t="n">
        <v>45940</v>
      </c>
      <c r="K2156" s="28" t="n">
        <v>46022</v>
      </c>
      <c r="L2156" t="inlineStr">
        <is>
          <t>Compró Casa 63 en Valle Verde Itagüí</t>
        </is>
      </c>
    </row>
    <row r="2157">
      <c r="A2157" t="inlineStr">
        <is>
          <t>CLI-2155</t>
        </is>
      </c>
      <c r="B2157" t="inlineStr">
        <is>
          <t>Nicolás Ochoa Hernández</t>
        </is>
      </c>
      <c r="C2157" t="inlineStr">
        <is>
          <t>3107193130</t>
        </is>
      </c>
      <c r="D2157" t="inlineStr">
        <is>
          <t>nicolas.ochoa41@yahoo.com</t>
        </is>
      </c>
      <c r="E2157" t="inlineStr">
        <is>
          <t>Bello</t>
        </is>
      </c>
      <c r="F2157" t="inlineStr">
        <is>
          <t>PRY-008</t>
        </is>
      </c>
      <c r="G2157" t="inlineStr">
        <is>
          <t>Llamada directa</t>
        </is>
      </c>
      <c r="H2157" t="inlineStr">
        <is>
          <t>Sofía Prada</t>
        </is>
      </c>
      <c r="I2157" t="inlineStr">
        <is>
          <t>Ganado</t>
        </is>
      </c>
      <c r="J2157" s="28" t="n">
        <v>45940</v>
      </c>
      <c r="K2157" s="28" t="n">
        <v>46016</v>
      </c>
      <c r="L2157" t="inlineStr">
        <is>
          <t>Compró Casa 44 en Valle Verde Itagüí</t>
        </is>
      </c>
    </row>
    <row r="2158">
      <c r="A2158" t="inlineStr">
        <is>
          <t>CLI-2156</t>
        </is>
      </c>
      <c r="B2158" t="inlineStr">
        <is>
          <t>Cristian Espinosa Hernández</t>
        </is>
      </c>
      <c r="C2158" t="inlineStr">
        <is>
          <t>3222529502</t>
        </is>
      </c>
      <c r="D2158" t="inlineStr">
        <is>
          <t>cristian.espinosa95@gmail.com</t>
        </is>
      </c>
      <c r="E2158" t="inlineStr">
        <is>
          <t>Rionegro</t>
        </is>
      </c>
      <c r="F2158" t="inlineStr">
        <is>
          <t>PRY-007</t>
        </is>
      </c>
      <c r="G2158" t="inlineStr">
        <is>
          <t>Facebook</t>
        </is>
      </c>
      <c r="H2158" t="inlineStr">
        <is>
          <t>Paula Arenas</t>
        </is>
      </c>
      <c r="I2158" t="inlineStr">
        <is>
          <t>Perdido</t>
        </is>
      </c>
      <c r="J2158" s="28" t="n">
        <v>45940</v>
      </c>
      <c r="K2158" s="28" t="n">
        <v>45948</v>
      </c>
      <c r="L2158" t="inlineStr">
        <is>
          <t>Datos de contacto errados</t>
        </is>
      </c>
    </row>
    <row r="2159">
      <c r="A2159" t="inlineStr">
        <is>
          <t>CLI-2157</t>
        </is>
      </c>
      <c r="B2159" t="inlineStr">
        <is>
          <t>Camila Montes Sánchez</t>
        </is>
      </c>
      <c r="C2159" t="inlineStr">
        <is>
          <t>3176351130</t>
        </is>
      </c>
      <c r="D2159" t="inlineStr">
        <is>
          <t>camila.montes94@outlook.com</t>
        </is>
      </c>
      <c r="E2159" t="inlineStr">
        <is>
          <t>Medellín</t>
        </is>
      </c>
      <c r="F2159" t="inlineStr">
        <is>
          <t>PRY-001</t>
        </is>
      </c>
      <c r="G2159" t="inlineStr">
        <is>
          <t>Facebook</t>
        </is>
      </c>
      <c r="H2159" t="inlineStr">
        <is>
          <t>Paula Arenas</t>
        </is>
      </c>
      <c r="I2159" t="inlineStr">
        <is>
          <t>Perdido</t>
        </is>
      </c>
      <c r="J2159" s="28" t="n">
        <v>45940</v>
      </c>
      <c r="K2159" s="28" t="n">
        <v>45965</v>
      </c>
      <c r="L2159" t="inlineStr">
        <is>
          <t>No calificó para crédito</t>
        </is>
      </c>
    </row>
    <row r="2160">
      <c r="A2160" t="inlineStr">
        <is>
          <t>CLI-2158</t>
        </is>
      </c>
      <c r="B2160" t="inlineStr">
        <is>
          <t>Diana López Hernández</t>
        </is>
      </c>
      <c r="C2160" t="inlineStr">
        <is>
          <t>3136565587</t>
        </is>
      </c>
      <c r="D2160" t="inlineStr">
        <is>
          <t>diana.lopez10@yahoo.com</t>
        </is>
      </c>
      <c r="E2160" t="inlineStr">
        <is>
          <t>Medellín</t>
        </is>
      </c>
      <c r="F2160" t="inlineStr">
        <is>
          <t>PRY-005</t>
        </is>
      </c>
      <c r="G2160" t="inlineStr">
        <is>
          <t>Llamada directa</t>
        </is>
      </c>
      <c r="H2160" t="inlineStr">
        <is>
          <t>Miguel Salazar</t>
        </is>
      </c>
      <c r="I2160" t="inlineStr">
        <is>
          <t>Perdido</t>
        </is>
      </c>
      <c r="J2160" s="28" t="n">
        <v>45940</v>
      </c>
      <c r="K2160" s="28" t="n">
        <v>45947</v>
      </c>
      <c r="L2160" t="inlineStr">
        <is>
          <t>No calificó para crédito</t>
        </is>
      </c>
    </row>
    <row r="2161">
      <c r="A2161" t="inlineStr">
        <is>
          <t>CLI-2159</t>
        </is>
      </c>
      <c r="B2161" t="inlineStr">
        <is>
          <t>Wilson Giraldo Quintero</t>
        </is>
      </c>
      <c r="C2161" t="inlineStr">
        <is>
          <t>3049012576</t>
        </is>
      </c>
      <c r="D2161" t="inlineStr">
        <is>
          <t>wilson.giraldo57@yahoo.com</t>
        </is>
      </c>
      <c r="E2161" t="inlineStr">
        <is>
          <t>Medellín</t>
        </is>
      </c>
      <c r="F2161" t="inlineStr">
        <is>
          <t>PRY-002</t>
        </is>
      </c>
      <c r="G2161" t="inlineStr">
        <is>
          <t>Llamada directa</t>
        </is>
      </c>
      <c r="H2161" t="inlineStr">
        <is>
          <t>Miguel Salazar</t>
        </is>
      </c>
      <c r="I2161" t="inlineStr">
        <is>
          <t>Perdido</t>
        </is>
      </c>
      <c r="J2161" s="28" t="n">
        <v>45940</v>
      </c>
      <c r="K2161" s="28" t="n">
        <v>45961</v>
      </c>
      <c r="L2161" t="inlineStr">
        <is>
          <t>Sin respuesta tras 3 contactos</t>
        </is>
      </c>
    </row>
    <row r="2162">
      <c r="A2162" t="inlineStr">
        <is>
          <t>CLI-2160</t>
        </is>
      </c>
      <c r="B2162" t="inlineStr">
        <is>
          <t>Cristian Quintero Sánchez</t>
        </is>
      </c>
      <c r="C2162" t="inlineStr">
        <is>
          <t>3045343432</t>
        </is>
      </c>
      <c r="D2162" t="inlineStr">
        <is>
          <t>cristian.quintero48@yahoo.com</t>
        </is>
      </c>
      <c r="E2162" t="inlineStr">
        <is>
          <t>Bello</t>
        </is>
      </c>
      <c r="F2162" t="inlineStr">
        <is>
          <t>PRY-005</t>
        </is>
      </c>
      <c r="G2162" t="inlineStr">
        <is>
          <t>Referido</t>
        </is>
      </c>
      <c r="H2162" t="inlineStr">
        <is>
          <t>Andrés Torres</t>
        </is>
      </c>
      <c r="I2162" t="inlineStr">
        <is>
          <t>Perdido</t>
        </is>
      </c>
      <c r="J2162" s="28" t="n">
        <v>45940</v>
      </c>
      <c r="K2162" s="28" t="n">
        <v>45953</v>
      </c>
      <c r="L2162" t="inlineStr">
        <is>
          <t>Sin respuesta tras 3 contactos</t>
        </is>
      </c>
    </row>
    <row r="2163">
      <c r="A2163" t="inlineStr">
        <is>
          <t>CLI-2161</t>
        </is>
      </c>
      <c r="B2163" t="inlineStr">
        <is>
          <t>Marcela Vélez Escobar</t>
        </is>
      </c>
      <c r="C2163" t="inlineStr">
        <is>
          <t>3001944339</t>
        </is>
      </c>
      <c r="D2163" t="inlineStr">
        <is>
          <t>marcela.velez72@yahoo.com</t>
        </is>
      </c>
      <c r="E2163" t="inlineStr">
        <is>
          <t>Medellín</t>
        </is>
      </c>
      <c r="F2163" t="inlineStr">
        <is>
          <t>PRY-003</t>
        </is>
      </c>
      <c r="G2163" t="inlineStr">
        <is>
          <t>Portal Web</t>
        </is>
      </c>
      <c r="H2163" t="inlineStr">
        <is>
          <t>Sofía Prada</t>
        </is>
      </c>
      <c r="I2163" t="inlineStr">
        <is>
          <t>Perdido</t>
        </is>
      </c>
      <c r="J2163" s="28" t="n">
        <v>45941</v>
      </c>
      <c r="K2163" s="28" t="n">
        <v>46002</v>
      </c>
      <c r="L2163" t="inlineStr">
        <is>
          <t>Eligió otro proyecto</t>
        </is>
      </c>
    </row>
    <row r="2164">
      <c r="A2164" t="inlineStr">
        <is>
          <t>CLI-2162</t>
        </is>
      </c>
      <c r="B2164" t="inlineStr">
        <is>
          <t>Mariana Hernández Restrepo</t>
        </is>
      </c>
      <c r="C2164" t="inlineStr">
        <is>
          <t>3005843098</t>
        </is>
      </c>
      <c r="D2164" t="inlineStr">
        <is>
          <t>mariana.hernandez98@hotmail.com</t>
        </is>
      </c>
      <c r="E2164" t="inlineStr">
        <is>
          <t>Medellín</t>
        </is>
      </c>
      <c r="F2164" t="inlineStr">
        <is>
          <t>PRY-002</t>
        </is>
      </c>
      <c r="G2164" t="inlineStr">
        <is>
          <t>Facebook</t>
        </is>
      </c>
      <c r="H2164" t="inlineStr">
        <is>
          <t>Luis Bedoya</t>
        </is>
      </c>
      <c r="I2164" t="inlineStr">
        <is>
          <t>Perdido</t>
        </is>
      </c>
      <c r="J2164" s="28" t="n">
        <v>45941</v>
      </c>
      <c r="K2164" s="28" t="n">
        <v>45959</v>
      </c>
      <c r="L2164" t="inlineStr">
        <is>
          <t>Sin respuesta tras 3 contactos</t>
        </is>
      </c>
    </row>
    <row r="2165">
      <c r="A2165" t="inlineStr">
        <is>
          <t>CLI-2163</t>
        </is>
      </c>
      <c r="B2165" t="inlineStr">
        <is>
          <t>Cristian Salcedo Ochoa</t>
        </is>
      </c>
      <c r="C2165" t="inlineStr">
        <is>
          <t>3132998135</t>
        </is>
      </c>
      <c r="D2165" t="inlineStr">
        <is>
          <t>cristian.salcedo83@outlook.com</t>
        </is>
      </c>
      <c r="E2165" t="inlineStr">
        <is>
          <t>Itagüí</t>
        </is>
      </c>
      <c r="F2165" t="inlineStr">
        <is>
          <t>PRY-008</t>
        </is>
      </c>
      <c r="G2165" t="inlineStr">
        <is>
          <t>Facebook</t>
        </is>
      </c>
      <c r="H2165" t="inlineStr">
        <is>
          <t>Juliana Vélez</t>
        </is>
      </c>
      <c r="I2165" t="inlineStr">
        <is>
          <t>Ganado</t>
        </is>
      </c>
      <c r="J2165" s="28" t="n">
        <v>45942</v>
      </c>
      <c r="K2165" s="28" t="n">
        <v>46002</v>
      </c>
      <c r="L2165" t="inlineStr">
        <is>
          <t>Compró Casa 108 en Valle Verde Itagüí</t>
        </is>
      </c>
    </row>
    <row r="2166">
      <c r="A2166" t="inlineStr">
        <is>
          <t>CLI-2164</t>
        </is>
      </c>
      <c r="B2166" t="inlineStr">
        <is>
          <t>Cristian Salazar Franco</t>
        </is>
      </c>
      <c r="C2166" t="inlineStr">
        <is>
          <t>3014890537</t>
        </is>
      </c>
      <c r="D2166" t="inlineStr">
        <is>
          <t>cristian.salazar34@gmail.com</t>
        </is>
      </c>
      <c r="E2166" t="inlineStr">
        <is>
          <t>Itagüí</t>
        </is>
      </c>
      <c r="F2166" t="inlineStr">
        <is>
          <t>PRY-008</t>
        </is>
      </c>
      <c r="G2166" t="inlineStr">
        <is>
          <t>Llamada directa</t>
        </is>
      </c>
      <c r="H2166" t="inlineStr">
        <is>
          <t>Ana Quintero</t>
        </is>
      </c>
      <c r="I2166" t="inlineStr">
        <is>
          <t>Ganado</t>
        </is>
      </c>
      <c r="J2166" s="28" t="n">
        <v>45942</v>
      </c>
      <c r="K2166" s="28" t="n">
        <v>46022</v>
      </c>
      <c r="L2166" t="inlineStr">
        <is>
          <t>Compró Casa 22 en Valle Verde Itagüí</t>
        </is>
      </c>
    </row>
    <row r="2167">
      <c r="A2167" t="inlineStr">
        <is>
          <t>CLI-2165</t>
        </is>
      </c>
      <c r="B2167" t="inlineStr">
        <is>
          <t>Nicolás Arango Muñoz</t>
        </is>
      </c>
      <c r="C2167" t="inlineStr">
        <is>
          <t>3009087625</t>
        </is>
      </c>
      <c r="D2167" t="inlineStr">
        <is>
          <t>nicolas.arango26@outlook.com</t>
        </is>
      </c>
      <c r="E2167" t="inlineStr">
        <is>
          <t>Sabaneta</t>
        </is>
      </c>
      <c r="F2167" t="inlineStr">
        <is>
          <t>PRY-001</t>
        </is>
      </c>
      <c r="G2167" t="inlineStr">
        <is>
          <t>Instagram</t>
        </is>
      </c>
      <c r="H2167" t="inlineStr">
        <is>
          <t>Sofía Prada</t>
        </is>
      </c>
      <c r="I2167" t="inlineStr">
        <is>
          <t>Perdido</t>
        </is>
      </c>
      <c r="J2167" s="28" t="n">
        <v>45942</v>
      </c>
      <c r="K2167" s="28" t="n">
        <v>45966</v>
      </c>
      <c r="L2167" t="inlineStr">
        <is>
          <t>Presupuesto insuficiente</t>
        </is>
      </c>
    </row>
    <row r="2168">
      <c r="A2168" t="inlineStr">
        <is>
          <t>CLI-2166</t>
        </is>
      </c>
      <c r="B2168" t="inlineStr">
        <is>
          <t>Juliana Gómez Sánchez</t>
        </is>
      </c>
      <c r="C2168" t="inlineStr">
        <is>
          <t>3157100495</t>
        </is>
      </c>
      <c r="D2168" t="inlineStr">
        <is>
          <t>juliana.gomez9@hotmail.com</t>
        </is>
      </c>
      <c r="E2168" t="inlineStr">
        <is>
          <t>Medellín</t>
        </is>
      </c>
      <c r="F2168" t="inlineStr">
        <is>
          <t>PRY-001</t>
        </is>
      </c>
      <c r="G2168" t="inlineStr">
        <is>
          <t>Portal Web</t>
        </is>
      </c>
      <c r="H2168" t="inlineStr">
        <is>
          <t>Santiago Muñoz</t>
        </is>
      </c>
      <c r="I2168" t="inlineStr">
        <is>
          <t>Perdido</t>
        </is>
      </c>
      <c r="J2168" s="28" t="n">
        <v>45942</v>
      </c>
      <c r="K2168" s="28" t="n">
        <v>45950</v>
      </c>
      <c r="L2168" t="inlineStr">
        <is>
          <t>Buscaba arriendo, no compra</t>
        </is>
      </c>
    </row>
    <row r="2169">
      <c r="A2169" t="inlineStr">
        <is>
          <t>CLI-2167</t>
        </is>
      </c>
      <c r="B2169" t="inlineStr">
        <is>
          <t>Sebastián Agudelo Cardona</t>
        </is>
      </c>
      <c r="C2169" t="inlineStr">
        <is>
          <t>3042459178</t>
        </is>
      </c>
      <c r="D2169" t="inlineStr">
        <is>
          <t>sebastian.agudelo98@gmail.com</t>
        </is>
      </c>
      <c r="E2169" t="inlineStr">
        <is>
          <t>Itagüí</t>
        </is>
      </c>
      <c r="F2169" t="inlineStr">
        <is>
          <t>PRY-008</t>
        </is>
      </c>
      <c r="G2169" t="inlineStr">
        <is>
          <t>Portal Web</t>
        </is>
      </c>
      <c r="H2169" t="inlineStr">
        <is>
          <t>Ana Quintero</t>
        </is>
      </c>
      <c r="I2169" t="inlineStr">
        <is>
          <t>Perdido</t>
        </is>
      </c>
      <c r="J2169" s="28" t="n">
        <v>45942</v>
      </c>
      <c r="K2169" s="28" t="n">
        <v>45971</v>
      </c>
      <c r="L2169" t="inlineStr">
        <is>
          <t>No calificó para crédito</t>
        </is>
      </c>
    </row>
    <row r="2170">
      <c r="A2170" t="inlineStr">
        <is>
          <t>CLI-2168</t>
        </is>
      </c>
      <c r="B2170" t="inlineStr">
        <is>
          <t>David Zapata Toro</t>
        </is>
      </c>
      <c r="C2170" t="inlineStr">
        <is>
          <t>3047474158</t>
        </is>
      </c>
      <c r="D2170" t="inlineStr">
        <is>
          <t>david.zapata92@yahoo.com</t>
        </is>
      </c>
      <c r="E2170" t="inlineStr">
        <is>
          <t>Itagüí</t>
        </is>
      </c>
      <c r="F2170" t="inlineStr">
        <is>
          <t>PRY-002</t>
        </is>
      </c>
      <c r="G2170" t="inlineStr">
        <is>
          <t>Llamada directa</t>
        </is>
      </c>
      <c r="H2170" t="inlineStr">
        <is>
          <t>Luis Bedoya</t>
        </is>
      </c>
      <c r="I2170" t="inlineStr">
        <is>
          <t>Perdido</t>
        </is>
      </c>
      <c r="J2170" s="28" t="n">
        <v>45942</v>
      </c>
      <c r="K2170" s="28" t="n">
        <v>45957</v>
      </c>
      <c r="L2170" t="inlineStr">
        <is>
          <t>Sin respuesta tras 3 contactos</t>
        </is>
      </c>
    </row>
    <row r="2171">
      <c r="A2171" t="inlineStr">
        <is>
          <t>CLI-2169</t>
        </is>
      </c>
      <c r="B2171" t="inlineStr">
        <is>
          <t>Liliana Palacio Sánchez</t>
        </is>
      </c>
      <c r="C2171" t="inlineStr">
        <is>
          <t>3202979308</t>
        </is>
      </c>
      <c r="D2171" t="inlineStr">
        <is>
          <t>liliana.palacio85@outlook.com</t>
        </is>
      </c>
      <c r="E2171" t="inlineStr">
        <is>
          <t>Bello</t>
        </is>
      </c>
      <c r="F2171" t="inlineStr">
        <is>
          <t>PRY-006</t>
        </is>
      </c>
      <c r="G2171" t="inlineStr">
        <is>
          <t>Instagram</t>
        </is>
      </c>
      <c r="H2171" t="inlineStr">
        <is>
          <t>Andrés Torres</t>
        </is>
      </c>
      <c r="I2171" t="inlineStr">
        <is>
          <t>Ganado</t>
        </is>
      </c>
      <c r="J2171" s="28" t="n">
        <v>45943</v>
      </c>
      <c r="K2171" s="28" t="n">
        <v>46094</v>
      </c>
      <c r="L2171" t="inlineStr">
        <is>
          <t>Compró Local 17 en Plaza Bello</t>
        </is>
      </c>
    </row>
    <row r="2172">
      <c r="A2172" t="inlineStr">
        <is>
          <t>CLI-2170</t>
        </is>
      </c>
      <c r="B2172" t="inlineStr">
        <is>
          <t>Mónica Ríos Peláez</t>
        </is>
      </c>
      <c r="C2172" t="inlineStr">
        <is>
          <t>3232893392</t>
        </is>
      </c>
      <c r="D2172" t="inlineStr">
        <is>
          <t>monica.rios47@outlook.com</t>
        </is>
      </c>
      <c r="E2172" t="inlineStr">
        <is>
          <t>Medellín</t>
        </is>
      </c>
      <c r="F2172" t="inlineStr">
        <is>
          <t>PRY-008</t>
        </is>
      </c>
      <c r="G2172" t="inlineStr">
        <is>
          <t>Feria Inmobiliaria</t>
        </is>
      </c>
      <c r="H2172" t="inlineStr">
        <is>
          <t>Andrés Torres</t>
        </is>
      </c>
      <c r="I2172" t="inlineStr">
        <is>
          <t>Perdido</t>
        </is>
      </c>
      <c r="J2172" s="28" t="n">
        <v>45943</v>
      </c>
      <c r="K2172" s="28" t="n">
        <v>45970</v>
      </c>
      <c r="L2172" t="inlineStr">
        <is>
          <t>Datos de contacto errados</t>
        </is>
      </c>
    </row>
    <row r="2173">
      <c r="A2173" t="inlineStr">
        <is>
          <t>CLI-2171</t>
        </is>
      </c>
      <c r="B2173" t="inlineStr">
        <is>
          <t>Paola Muñoz Henao</t>
        </is>
      </c>
      <c r="C2173" t="inlineStr">
        <is>
          <t>3017720145</t>
        </is>
      </c>
      <c r="D2173" t="inlineStr">
        <is>
          <t>paola.munoz60@outlook.com</t>
        </is>
      </c>
      <c r="E2173" t="inlineStr">
        <is>
          <t>Envigado</t>
        </is>
      </c>
      <c r="F2173" t="inlineStr">
        <is>
          <t>PRY-007</t>
        </is>
      </c>
      <c r="G2173" t="inlineStr">
        <is>
          <t>Instagram</t>
        </is>
      </c>
      <c r="H2173" t="inlineStr">
        <is>
          <t>Daniela Ríos</t>
        </is>
      </c>
      <c r="I2173" t="inlineStr">
        <is>
          <t>Perdido</t>
        </is>
      </c>
      <c r="J2173" s="28" t="n">
        <v>45943</v>
      </c>
      <c r="K2173" s="28" t="n">
        <v>45953</v>
      </c>
      <c r="L2173" t="inlineStr">
        <is>
          <t>No calificó para crédito</t>
        </is>
      </c>
    </row>
    <row r="2174">
      <c r="A2174" t="inlineStr">
        <is>
          <t>CLI-2172</t>
        </is>
      </c>
      <c r="B2174" t="inlineStr">
        <is>
          <t>Mónica Gaviria Franco</t>
        </is>
      </c>
      <c r="C2174" t="inlineStr">
        <is>
          <t>3013157011</t>
        </is>
      </c>
      <c r="D2174" t="inlineStr">
        <is>
          <t>monica.gaviria57@yahoo.com</t>
        </is>
      </c>
      <c r="E2174" t="inlineStr">
        <is>
          <t>Itagüí</t>
        </is>
      </c>
      <c r="F2174" t="inlineStr">
        <is>
          <t>PRY-008</t>
        </is>
      </c>
      <c r="G2174" t="inlineStr">
        <is>
          <t>Referido</t>
        </is>
      </c>
      <c r="H2174" t="inlineStr">
        <is>
          <t>Santiago Muñoz</t>
        </is>
      </c>
      <c r="I2174" t="inlineStr">
        <is>
          <t>Perdido</t>
        </is>
      </c>
      <c r="J2174" s="28" t="n">
        <v>45943</v>
      </c>
      <c r="K2174" s="28" t="n">
        <v>45972</v>
      </c>
      <c r="L2174" t="inlineStr">
        <is>
          <t>Sin respuesta tras 3 contactos</t>
        </is>
      </c>
    </row>
    <row r="2175">
      <c r="A2175" t="inlineStr">
        <is>
          <t>CLI-2173</t>
        </is>
      </c>
      <c r="B2175" t="inlineStr">
        <is>
          <t>Ximena Vásquez Restrepo</t>
        </is>
      </c>
      <c r="C2175" t="inlineStr">
        <is>
          <t>3232357319</t>
        </is>
      </c>
      <c r="D2175" t="inlineStr">
        <is>
          <t>ximena.vasquez97@hotmail.com</t>
        </is>
      </c>
      <c r="E2175" t="inlineStr">
        <is>
          <t>Rionegro</t>
        </is>
      </c>
      <c r="F2175" t="inlineStr">
        <is>
          <t>PRY-005</t>
        </is>
      </c>
      <c r="G2175" t="inlineStr">
        <is>
          <t>Portal Web</t>
        </is>
      </c>
      <c r="H2175" t="inlineStr">
        <is>
          <t>Andrés Torres</t>
        </is>
      </c>
      <c r="I2175" t="inlineStr">
        <is>
          <t>Perdido</t>
        </is>
      </c>
      <c r="J2175" s="28" t="n">
        <v>45944</v>
      </c>
      <c r="K2175" s="28" t="n">
        <v>45954</v>
      </c>
      <c r="L2175" t="inlineStr">
        <is>
          <t>Sin respuesta tras 3 contactos</t>
        </is>
      </c>
    </row>
    <row r="2176">
      <c r="A2176" t="inlineStr">
        <is>
          <t>CLI-2174</t>
        </is>
      </c>
      <c r="B2176" t="inlineStr">
        <is>
          <t>Catalina Betancur Zuluaga</t>
        </is>
      </c>
      <c r="C2176" t="inlineStr">
        <is>
          <t>3223254911</t>
        </is>
      </c>
      <c r="D2176" t="inlineStr">
        <is>
          <t>catalina.betancur46@yahoo.com</t>
        </is>
      </c>
      <c r="E2176" t="inlineStr">
        <is>
          <t>Itagüí</t>
        </is>
      </c>
      <c r="F2176" t="inlineStr">
        <is>
          <t>PRY-008</t>
        </is>
      </c>
      <c r="G2176" t="inlineStr">
        <is>
          <t>Referido</t>
        </is>
      </c>
      <c r="H2176" t="inlineStr">
        <is>
          <t>Mateo Herrera</t>
        </is>
      </c>
      <c r="I2176" t="inlineStr">
        <is>
          <t>Ganado</t>
        </is>
      </c>
      <c r="J2176" s="28" t="n">
        <v>45945</v>
      </c>
      <c r="K2176" s="28" t="n">
        <v>46020</v>
      </c>
      <c r="L2176" t="inlineStr">
        <is>
          <t>Compró Casa 66 en Valle Verde Itagüí</t>
        </is>
      </c>
    </row>
    <row r="2177">
      <c r="A2177" t="inlineStr">
        <is>
          <t>CLI-2175</t>
        </is>
      </c>
      <c r="B2177" t="inlineStr">
        <is>
          <t>Andrés Muñoz Gómez</t>
        </is>
      </c>
      <c r="C2177" t="inlineStr">
        <is>
          <t>3016375210</t>
        </is>
      </c>
      <c r="D2177" t="inlineStr">
        <is>
          <t>andres.munoz29@yahoo.com</t>
        </is>
      </c>
      <c r="E2177" t="inlineStr">
        <is>
          <t>Envigado</t>
        </is>
      </c>
      <c r="F2177" t="inlineStr">
        <is>
          <t>PRY-007</t>
        </is>
      </c>
      <c r="G2177" t="inlineStr">
        <is>
          <t>Portal Web</t>
        </is>
      </c>
      <c r="H2177" t="inlineStr">
        <is>
          <t>Luis Bedoya</t>
        </is>
      </c>
      <c r="I2177" t="inlineStr">
        <is>
          <t>Perdido</t>
        </is>
      </c>
      <c r="J2177" s="28" t="n">
        <v>45945</v>
      </c>
      <c r="K2177" s="28" t="n">
        <v>45972</v>
      </c>
      <c r="L2177" t="inlineStr">
        <is>
          <t>Buscaba arriendo, no compra</t>
        </is>
      </c>
    </row>
    <row r="2178">
      <c r="A2178" t="inlineStr">
        <is>
          <t>CLI-2176</t>
        </is>
      </c>
      <c r="B2178" t="inlineStr">
        <is>
          <t>Santiago Montes Vargas</t>
        </is>
      </c>
      <c r="C2178" t="inlineStr">
        <is>
          <t>3009997733</t>
        </is>
      </c>
      <c r="D2178" t="inlineStr">
        <is>
          <t>santiago.montes27@yahoo.com</t>
        </is>
      </c>
      <c r="E2178" t="inlineStr">
        <is>
          <t>Itagüí</t>
        </is>
      </c>
      <c r="F2178" t="inlineStr">
        <is>
          <t>PRY-005</t>
        </is>
      </c>
      <c r="G2178" t="inlineStr">
        <is>
          <t>Portal Web</t>
        </is>
      </c>
      <c r="H2178" t="inlineStr">
        <is>
          <t>Sofía Prada</t>
        </is>
      </c>
      <c r="I2178" t="inlineStr">
        <is>
          <t>Perdido</t>
        </is>
      </c>
      <c r="J2178" s="28" t="n">
        <v>45945</v>
      </c>
      <c r="K2178" s="28" t="n">
        <v>45950</v>
      </c>
      <c r="L2178" t="inlineStr">
        <is>
          <t>Presupuesto insuficiente</t>
        </is>
      </c>
    </row>
    <row r="2179">
      <c r="A2179" t="inlineStr">
        <is>
          <t>CLI-2177</t>
        </is>
      </c>
      <c r="B2179" t="inlineStr">
        <is>
          <t>Diego López Espinosa</t>
        </is>
      </c>
      <c r="C2179" t="inlineStr">
        <is>
          <t>3232458838</t>
        </is>
      </c>
      <c r="D2179" t="inlineStr">
        <is>
          <t>diego.lopez86@hotmail.com</t>
        </is>
      </c>
      <c r="E2179" t="inlineStr">
        <is>
          <t>Itagüí</t>
        </is>
      </c>
      <c r="F2179" t="inlineStr">
        <is>
          <t>PRY-008</t>
        </is>
      </c>
      <c r="G2179" t="inlineStr">
        <is>
          <t>Instagram</t>
        </is>
      </c>
      <c r="H2179" t="inlineStr">
        <is>
          <t>Andrés Torres</t>
        </is>
      </c>
      <c r="I2179" t="inlineStr">
        <is>
          <t>Perdido</t>
        </is>
      </c>
      <c r="J2179" s="28" t="n">
        <v>45946</v>
      </c>
      <c r="K2179" s="28" t="n">
        <v>46019</v>
      </c>
      <c r="L2179" t="inlineStr">
        <is>
          <t>Precio fuera de presupuesto</t>
        </is>
      </c>
    </row>
    <row r="2180">
      <c r="A2180" t="inlineStr">
        <is>
          <t>CLI-2178</t>
        </is>
      </c>
      <c r="B2180" t="inlineStr">
        <is>
          <t>Santiago Correa Vargas</t>
        </is>
      </c>
      <c r="C2180" t="inlineStr">
        <is>
          <t>3138649818</t>
        </is>
      </c>
      <c r="D2180" t="inlineStr">
        <is>
          <t>santiago.correa64@gmail.com</t>
        </is>
      </c>
      <c r="E2180" t="inlineStr">
        <is>
          <t>Medellín</t>
        </is>
      </c>
      <c r="F2180" t="inlineStr">
        <is>
          <t>PRY-003</t>
        </is>
      </c>
      <c r="G2180" t="inlineStr">
        <is>
          <t>Portal Web</t>
        </is>
      </c>
      <c r="H2180" t="inlineStr">
        <is>
          <t>Daniela Ríos</t>
        </is>
      </c>
      <c r="I2180" t="inlineStr">
        <is>
          <t>Ganado</t>
        </is>
      </c>
      <c r="J2180" s="28" t="n">
        <v>45946</v>
      </c>
      <c r="K2180" s="28" t="n">
        <v>46027</v>
      </c>
      <c r="L2180" t="inlineStr">
        <is>
          <t>Compró Apto 401 en Conecta Laureles</t>
        </is>
      </c>
    </row>
    <row r="2181">
      <c r="A2181" t="inlineStr">
        <is>
          <t>CLI-2179</t>
        </is>
      </c>
      <c r="B2181" t="inlineStr">
        <is>
          <t>Valeria Toro Londoño</t>
        </is>
      </c>
      <c r="C2181" t="inlineStr">
        <is>
          <t>3014602406</t>
        </is>
      </c>
      <c r="D2181" t="inlineStr">
        <is>
          <t>valeria.toro11@yahoo.com</t>
        </is>
      </c>
      <c r="E2181" t="inlineStr">
        <is>
          <t>Medellín</t>
        </is>
      </c>
      <c r="F2181" t="inlineStr">
        <is>
          <t>PRY-003</t>
        </is>
      </c>
      <c r="G2181" t="inlineStr">
        <is>
          <t>Feria Inmobiliaria</t>
        </is>
      </c>
      <c r="H2181" t="inlineStr">
        <is>
          <t>Sofía Prada</t>
        </is>
      </c>
      <c r="I2181" t="inlineStr">
        <is>
          <t>Ganado</t>
        </is>
      </c>
      <c r="J2181" s="28" t="n">
        <v>45946</v>
      </c>
      <c r="K2181" s="28" t="n">
        <v>46038</v>
      </c>
      <c r="L2181" t="inlineStr">
        <is>
          <t>Compró Apto 805 en Conecta Laureles</t>
        </is>
      </c>
    </row>
    <row r="2182">
      <c r="A2182" t="inlineStr">
        <is>
          <t>CLI-2180</t>
        </is>
      </c>
      <c r="B2182" t="inlineStr">
        <is>
          <t>Wilson Muñoz Gómez</t>
        </is>
      </c>
      <c r="C2182" t="inlineStr">
        <is>
          <t>3003575420</t>
        </is>
      </c>
      <c r="D2182" t="inlineStr">
        <is>
          <t>wilson.munoz60@yahoo.com</t>
        </is>
      </c>
      <c r="E2182" t="inlineStr">
        <is>
          <t>Envigado</t>
        </is>
      </c>
      <c r="F2182" t="inlineStr">
        <is>
          <t>PRY-007</t>
        </is>
      </c>
      <c r="G2182" t="inlineStr">
        <is>
          <t>Facebook</t>
        </is>
      </c>
      <c r="H2182" t="inlineStr">
        <is>
          <t>Luis Bedoya</t>
        </is>
      </c>
      <c r="I2182" t="inlineStr">
        <is>
          <t>Perdido</t>
        </is>
      </c>
      <c r="J2182" s="28" t="n">
        <v>45946</v>
      </c>
      <c r="K2182" s="28" t="n">
        <v>45970</v>
      </c>
      <c r="L2182" t="inlineStr">
        <is>
          <t>Datos de contacto errados</t>
        </is>
      </c>
    </row>
    <row r="2183">
      <c r="A2183" t="inlineStr">
        <is>
          <t>CLI-2181</t>
        </is>
      </c>
      <c r="B2183" t="inlineStr">
        <is>
          <t>Valeria Salazar Pérez</t>
        </is>
      </c>
      <c r="C2183" t="inlineStr">
        <is>
          <t>3149657427</t>
        </is>
      </c>
      <c r="D2183" t="inlineStr">
        <is>
          <t>valeria.salazar42@hotmail.com</t>
        </is>
      </c>
      <c r="E2183" t="inlineStr">
        <is>
          <t>La Estrella</t>
        </is>
      </c>
      <c r="F2183" t="inlineStr">
        <is>
          <t>PRY-002</t>
        </is>
      </c>
      <c r="G2183" t="inlineStr">
        <is>
          <t>Llamada directa</t>
        </is>
      </c>
      <c r="H2183" t="inlineStr">
        <is>
          <t>Luis Bedoya</t>
        </is>
      </c>
      <c r="I2183" t="inlineStr">
        <is>
          <t>Perdido</t>
        </is>
      </c>
      <c r="J2183" s="28" t="n">
        <v>45946</v>
      </c>
      <c r="K2183" s="28" t="n">
        <v>45973</v>
      </c>
      <c r="L2183" t="inlineStr">
        <is>
          <t>Sin respuesta tras 3 contactos</t>
        </is>
      </c>
    </row>
    <row r="2184">
      <c r="A2184" t="inlineStr">
        <is>
          <t>CLI-2182</t>
        </is>
      </c>
      <c r="B2184" t="inlineStr">
        <is>
          <t>Camila Salazar Zapata</t>
        </is>
      </c>
      <c r="C2184" t="inlineStr">
        <is>
          <t>3103698008</t>
        </is>
      </c>
      <c r="D2184" t="inlineStr">
        <is>
          <t>camila.salazar44@outlook.com</t>
        </is>
      </c>
      <c r="E2184" t="inlineStr">
        <is>
          <t>Itagüí</t>
        </is>
      </c>
      <c r="F2184" t="inlineStr">
        <is>
          <t>PRY-005</t>
        </is>
      </c>
      <c r="G2184" t="inlineStr">
        <is>
          <t>Portal Web</t>
        </is>
      </c>
      <c r="H2184" t="inlineStr">
        <is>
          <t>Andrés Torres</t>
        </is>
      </c>
      <c r="I2184" t="inlineStr">
        <is>
          <t>Perdido</t>
        </is>
      </c>
      <c r="J2184" s="28" t="n">
        <v>45946</v>
      </c>
      <c r="K2184" s="28" t="n">
        <v>45966</v>
      </c>
      <c r="L2184" t="inlineStr">
        <is>
          <t>Buscaba arriendo, no compra</t>
        </is>
      </c>
    </row>
    <row r="2185">
      <c r="A2185" t="inlineStr">
        <is>
          <t>CLI-2183</t>
        </is>
      </c>
      <c r="B2185" t="inlineStr">
        <is>
          <t>Katherine Gómez Betancur</t>
        </is>
      </c>
      <c r="C2185" t="inlineStr">
        <is>
          <t>3011286280</t>
        </is>
      </c>
      <c r="D2185" t="inlineStr">
        <is>
          <t>katherine.gomez62@gmail.com</t>
        </is>
      </c>
      <c r="E2185" t="inlineStr">
        <is>
          <t>Rionegro</t>
        </is>
      </c>
      <c r="F2185" t="inlineStr">
        <is>
          <t>PRY-005</t>
        </is>
      </c>
      <c r="G2185" t="inlineStr">
        <is>
          <t>Llamada directa</t>
        </is>
      </c>
      <c r="H2185" t="inlineStr">
        <is>
          <t>Daniela Ríos</t>
        </is>
      </c>
      <c r="I2185" t="inlineStr">
        <is>
          <t>Perdido</t>
        </is>
      </c>
      <c r="J2185" s="28" t="n">
        <v>45946</v>
      </c>
      <c r="K2185" s="28" t="n">
        <v>45956</v>
      </c>
      <c r="L2185" t="inlineStr">
        <is>
          <t>Sin respuesta tras 3 contactos</t>
        </is>
      </c>
    </row>
    <row r="2186">
      <c r="A2186" t="inlineStr">
        <is>
          <t>CLI-2184</t>
        </is>
      </c>
      <c r="B2186" t="inlineStr">
        <is>
          <t>Mauricio Vélez Salcedo</t>
        </is>
      </c>
      <c r="C2186" t="inlineStr">
        <is>
          <t>3015981605</t>
        </is>
      </c>
      <c r="D2186" t="inlineStr">
        <is>
          <t>mauricio.velez3@yahoo.com</t>
        </is>
      </c>
      <c r="E2186" t="inlineStr">
        <is>
          <t>Bello</t>
        </is>
      </c>
      <c r="F2186" t="inlineStr">
        <is>
          <t>PRY-006</t>
        </is>
      </c>
      <c r="G2186" t="inlineStr">
        <is>
          <t>Facebook</t>
        </is>
      </c>
      <c r="H2186" t="inlineStr">
        <is>
          <t>Santiago Muñoz</t>
        </is>
      </c>
      <c r="I2186" t="inlineStr">
        <is>
          <t>Perdido</t>
        </is>
      </c>
      <c r="J2186" s="28" t="n">
        <v>45946</v>
      </c>
      <c r="K2186" s="28" t="n">
        <v>45965</v>
      </c>
      <c r="L2186" t="inlineStr">
        <is>
          <t>Datos de contacto errados</t>
        </is>
      </c>
    </row>
    <row r="2187">
      <c r="A2187" t="inlineStr">
        <is>
          <t>CLI-2185</t>
        </is>
      </c>
      <c r="B2187" t="inlineStr">
        <is>
          <t>Juan Pablo Rojas Echeverri</t>
        </is>
      </c>
      <c r="C2187" t="inlineStr">
        <is>
          <t>3205231972</t>
        </is>
      </c>
      <c r="D2187" t="inlineStr">
        <is>
          <t>juan.rojas59@hotmail.com</t>
        </is>
      </c>
      <c r="E2187" t="inlineStr">
        <is>
          <t>La Estrella</t>
        </is>
      </c>
      <c r="F2187" t="inlineStr">
        <is>
          <t>PRY-005</t>
        </is>
      </c>
      <c r="G2187" t="inlineStr">
        <is>
          <t>Portal Web</t>
        </is>
      </c>
      <c r="H2187" t="inlineStr">
        <is>
          <t>Sofía Prada</t>
        </is>
      </c>
      <c r="I2187" t="inlineStr">
        <is>
          <t>Perdido</t>
        </is>
      </c>
      <c r="J2187" s="28" t="n">
        <v>45946</v>
      </c>
      <c r="K2187" s="28" t="n">
        <v>45960</v>
      </c>
      <c r="L2187" t="inlineStr">
        <is>
          <t>No calificó para crédito</t>
        </is>
      </c>
    </row>
    <row r="2188">
      <c r="A2188" t="inlineStr">
        <is>
          <t>CLI-2186</t>
        </is>
      </c>
      <c r="B2188" t="inlineStr">
        <is>
          <t>Daniel Osorio Salcedo</t>
        </is>
      </c>
      <c r="C2188" t="inlineStr">
        <is>
          <t>3172661461</t>
        </is>
      </c>
      <c r="D2188" t="inlineStr">
        <is>
          <t>daniel.osorio59@outlook.com</t>
        </is>
      </c>
      <c r="E2188" t="inlineStr">
        <is>
          <t>Rionegro</t>
        </is>
      </c>
      <c r="F2188" t="inlineStr">
        <is>
          <t>PRY-005</t>
        </is>
      </c>
      <c r="G2188" t="inlineStr">
        <is>
          <t>Portal Web</t>
        </is>
      </c>
      <c r="H2188" t="inlineStr">
        <is>
          <t>Santiago Muñoz</t>
        </is>
      </c>
      <c r="I2188" t="inlineStr">
        <is>
          <t>Perdido</t>
        </is>
      </c>
      <c r="J2188" s="28" t="n">
        <v>45946</v>
      </c>
      <c r="K2188" s="28" t="n">
        <v>45966</v>
      </c>
      <c r="L2188" t="inlineStr">
        <is>
          <t>Sin respuesta tras 3 contactos</t>
        </is>
      </c>
    </row>
    <row r="2189">
      <c r="A2189" t="inlineStr">
        <is>
          <t>CLI-2187</t>
        </is>
      </c>
      <c r="B2189" t="inlineStr">
        <is>
          <t>Ricardo Álvarez Henao</t>
        </is>
      </c>
      <c r="C2189" t="inlineStr">
        <is>
          <t>3045304004</t>
        </is>
      </c>
      <c r="D2189" t="inlineStr">
        <is>
          <t>ricardo.alvarez92@gmail.com</t>
        </is>
      </c>
      <c r="E2189" t="inlineStr">
        <is>
          <t>Rionegro</t>
        </is>
      </c>
      <c r="F2189" t="inlineStr">
        <is>
          <t>PRY-001</t>
        </is>
      </c>
      <c r="G2189" t="inlineStr">
        <is>
          <t>Instagram</t>
        </is>
      </c>
      <c r="H2189" t="inlineStr">
        <is>
          <t>Sofía Prada</t>
        </is>
      </c>
      <c r="I2189" t="inlineStr">
        <is>
          <t>Ganado</t>
        </is>
      </c>
      <c r="J2189" s="28" t="n">
        <v>45947</v>
      </c>
      <c r="K2189" s="28" t="n">
        <v>46110</v>
      </c>
      <c r="L2189" t="inlineStr">
        <is>
          <t>Compró Apto 1005 en Torres del Poblado</t>
        </is>
      </c>
    </row>
    <row r="2190">
      <c r="A2190" t="inlineStr">
        <is>
          <t>CLI-2188</t>
        </is>
      </c>
      <c r="B2190" t="inlineStr">
        <is>
          <t>Tomás Betancur Arango</t>
        </is>
      </c>
      <c r="C2190" t="inlineStr">
        <is>
          <t>3147350857</t>
        </is>
      </c>
      <c r="D2190" t="inlineStr">
        <is>
          <t>tomas.betancur50@yahoo.com</t>
        </is>
      </c>
      <c r="E2190" t="inlineStr">
        <is>
          <t>Medellín</t>
        </is>
      </c>
      <c r="F2190" t="inlineStr">
        <is>
          <t>PRY-002</t>
        </is>
      </c>
      <c r="G2190" t="inlineStr">
        <is>
          <t>Portal Web</t>
        </is>
      </c>
      <c r="H2190" t="inlineStr">
        <is>
          <t>Luis Bedoya</t>
        </is>
      </c>
      <c r="I2190" t="inlineStr">
        <is>
          <t>Perdido</t>
        </is>
      </c>
      <c r="J2190" s="28" t="n">
        <v>45947</v>
      </c>
      <c r="K2190" s="28" t="n">
        <v>45959</v>
      </c>
      <c r="L2190" t="inlineStr">
        <is>
          <t>No calificó para crédito</t>
        </is>
      </c>
    </row>
    <row r="2191">
      <c r="A2191" t="inlineStr">
        <is>
          <t>CLI-2189</t>
        </is>
      </c>
      <c r="B2191" t="inlineStr">
        <is>
          <t>Laura Palacio Giraldo</t>
        </is>
      </c>
      <c r="C2191" t="inlineStr">
        <is>
          <t>3152394282</t>
        </is>
      </c>
      <c r="D2191" t="inlineStr">
        <is>
          <t>laura.palacio91@hotmail.com</t>
        </is>
      </c>
      <c r="E2191" t="inlineStr">
        <is>
          <t>Envigado</t>
        </is>
      </c>
      <c r="F2191" t="inlineStr">
        <is>
          <t>PRY-007</t>
        </is>
      </c>
      <c r="G2191" t="inlineStr">
        <is>
          <t>Referido</t>
        </is>
      </c>
      <c r="H2191" t="inlineStr">
        <is>
          <t>Sofía Prada</t>
        </is>
      </c>
      <c r="I2191" t="inlineStr">
        <is>
          <t>Perdido</t>
        </is>
      </c>
      <c r="J2191" s="28" t="n">
        <v>45947</v>
      </c>
      <c r="K2191" s="28" t="n">
        <v>45970</v>
      </c>
      <c r="L2191" t="inlineStr">
        <is>
          <t>No calificó para crédito</t>
        </is>
      </c>
    </row>
    <row r="2192">
      <c r="A2192" t="inlineStr">
        <is>
          <t>CLI-2190</t>
        </is>
      </c>
      <c r="B2192" t="inlineStr">
        <is>
          <t>Juan Pablo Espinosa Cardona</t>
        </is>
      </c>
      <c r="C2192" t="inlineStr">
        <is>
          <t>3202938404</t>
        </is>
      </c>
      <c r="D2192" t="inlineStr">
        <is>
          <t>juan.espinosa47@gmail.com</t>
        </is>
      </c>
      <c r="E2192" t="inlineStr">
        <is>
          <t>Envigado</t>
        </is>
      </c>
      <c r="F2192" t="inlineStr">
        <is>
          <t>PRY-007</t>
        </is>
      </c>
      <c r="G2192" t="inlineStr">
        <is>
          <t>Portal Web</t>
        </is>
      </c>
      <c r="H2192" t="inlineStr">
        <is>
          <t>Ana Quintero</t>
        </is>
      </c>
      <c r="I2192" t="inlineStr">
        <is>
          <t>Perdido</t>
        </is>
      </c>
      <c r="J2192" s="28" t="n">
        <v>45947</v>
      </c>
      <c r="K2192" s="28" t="n">
        <v>45975</v>
      </c>
      <c r="L2192" t="inlineStr">
        <is>
          <t>Buscaba arriendo, no compra</t>
        </is>
      </c>
    </row>
    <row r="2193">
      <c r="A2193" t="inlineStr">
        <is>
          <t>CLI-2191</t>
        </is>
      </c>
      <c r="B2193" t="inlineStr">
        <is>
          <t>Diego Ríos Duque</t>
        </is>
      </c>
      <c r="C2193" t="inlineStr">
        <is>
          <t>3235355131</t>
        </is>
      </c>
      <c r="D2193" t="inlineStr">
        <is>
          <t>diego.rios78@yahoo.com</t>
        </is>
      </c>
      <c r="E2193" t="inlineStr">
        <is>
          <t>Bello</t>
        </is>
      </c>
      <c r="F2193" t="inlineStr">
        <is>
          <t>PRY-007</t>
        </is>
      </c>
      <c r="G2193" t="inlineStr">
        <is>
          <t>Llamada directa</t>
        </is>
      </c>
      <c r="H2193" t="inlineStr">
        <is>
          <t>Paula Arenas</t>
        </is>
      </c>
      <c r="I2193" t="inlineStr">
        <is>
          <t>Perdido</t>
        </is>
      </c>
      <c r="J2193" s="28" t="n">
        <v>45947</v>
      </c>
      <c r="K2193" s="28" t="n">
        <v>45965</v>
      </c>
      <c r="L2193" t="inlineStr">
        <is>
          <t>Presupuesto insuficiente</t>
        </is>
      </c>
    </row>
    <row r="2194">
      <c r="A2194" t="inlineStr">
        <is>
          <t>CLI-2192</t>
        </is>
      </c>
      <c r="B2194" t="inlineStr">
        <is>
          <t>Simón Vásquez López</t>
        </is>
      </c>
      <c r="C2194" t="inlineStr">
        <is>
          <t>3015169888</t>
        </is>
      </c>
      <c r="D2194" t="inlineStr">
        <is>
          <t>simon.vasquez51@gmail.com</t>
        </is>
      </c>
      <c r="E2194" t="inlineStr">
        <is>
          <t>Bello</t>
        </is>
      </c>
      <c r="F2194" t="inlineStr">
        <is>
          <t>PRY-006</t>
        </is>
      </c>
      <c r="G2194" t="inlineStr">
        <is>
          <t>Llamada directa</t>
        </is>
      </c>
      <c r="H2194" t="inlineStr">
        <is>
          <t>Mateo Herrera</t>
        </is>
      </c>
      <c r="I2194" t="inlineStr">
        <is>
          <t>Perdido</t>
        </is>
      </c>
      <c r="J2194" s="28" t="n">
        <v>45947</v>
      </c>
      <c r="K2194" s="28" t="n">
        <v>45969</v>
      </c>
      <c r="L2194" t="inlineStr">
        <is>
          <t>Sin respuesta tras 3 contactos</t>
        </is>
      </c>
    </row>
    <row r="2195">
      <c r="A2195" t="inlineStr">
        <is>
          <t>CLI-2193</t>
        </is>
      </c>
      <c r="B2195" t="inlineStr">
        <is>
          <t>Mónica Agudelo Restrepo</t>
        </is>
      </c>
      <c r="C2195" t="inlineStr">
        <is>
          <t>3174893155</t>
        </is>
      </c>
      <c r="D2195" t="inlineStr">
        <is>
          <t>monica.agudelo26@outlook.com</t>
        </is>
      </c>
      <c r="E2195" t="inlineStr">
        <is>
          <t>Rionegro</t>
        </is>
      </c>
      <c r="F2195" t="inlineStr">
        <is>
          <t>PRY-002</t>
        </is>
      </c>
      <c r="G2195" t="inlineStr">
        <is>
          <t>Portal Web</t>
        </is>
      </c>
      <c r="H2195" t="inlineStr">
        <is>
          <t>Sofía Prada</t>
        </is>
      </c>
      <c r="I2195" t="inlineStr">
        <is>
          <t>Perdido</t>
        </is>
      </c>
      <c r="J2195" s="28" t="n">
        <v>45947</v>
      </c>
      <c r="K2195" s="28" t="n">
        <v>45973</v>
      </c>
      <c r="L2195" t="inlineStr">
        <is>
          <t>No calificó para crédito</t>
        </is>
      </c>
    </row>
    <row r="2196">
      <c r="A2196" t="inlineStr">
        <is>
          <t>CLI-2194</t>
        </is>
      </c>
      <c r="B2196" t="inlineStr">
        <is>
          <t>Simón Muñoz Arango</t>
        </is>
      </c>
      <c r="C2196" t="inlineStr">
        <is>
          <t>3138214303</t>
        </is>
      </c>
      <c r="D2196" t="inlineStr">
        <is>
          <t>simon.munoz60@yahoo.com</t>
        </is>
      </c>
      <c r="E2196" t="inlineStr">
        <is>
          <t>Medellín</t>
        </is>
      </c>
      <c r="F2196" t="inlineStr">
        <is>
          <t>PRY-002</t>
        </is>
      </c>
      <c r="G2196" t="inlineStr">
        <is>
          <t>Portal Web</t>
        </is>
      </c>
      <c r="H2196" t="inlineStr">
        <is>
          <t>Juliana Vélez</t>
        </is>
      </c>
      <c r="I2196" t="inlineStr">
        <is>
          <t>Perdido</t>
        </is>
      </c>
      <c r="J2196" s="28" t="n">
        <v>45948</v>
      </c>
      <c r="K2196" s="28" t="n">
        <v>45966</v>
      </c>
      <c r="L2196" t="inlineStr">
        <is>
          <t>Sin respuesta tras 3 contactos</t>
        </is>
      </c>
    </row>
    <row r="2197">
      <c r="A2197" t="inlineStr">
        <is>
          <t>CLI-2195</t>
        </is>
      </c>
      <c r="B2197" t="inlineStr">
        <is>
          <t>Diana Henao Ríos</t>
        </is>
      </c>
      <c r="C2197" t="inlineStr">
        <is>
          <t>3243591880</t>
        </is>
      </c>
      <c r="D2197" t="inlineStr">
        <is>
          <t>diana.henao91@yahoo.com</t>
        </is>
      </c>
      <c r="E2197" t="inlineStr">
        <is>
          <t>Medellín</t>
        </is>
      </c>
      <c r="F2197" t="inlineStr">
        <is>
          <t>PRY-001</t>
        </is>
      </c>
      <c r="G2197" t="inlineStr">
        <is>
          <t>Facebook</t>
        </is>
      </c>
      <c r="H2197" t="inlineStr">
        <is>
          <t>Santiago Muñoz</t>
        </is>
      </c>
      <c r="I2197" t="inlineStr">
        <is>
          <t>Perdido</t>
        </is>
      </c>
      <c r="J2197" s="28" t="n">
        <v>45948</v>
      </c>
      <c r="K2197" s="28" t="n">
        <v>45969</v>
      </c>
      <c r="L2197" t="inlineStr">
        <is>
          <t>Datos de contacto errados</t>
        </is>
      </c>
    </row>
    <row r="2198">
      <c r="A2198" t="inlineStr">
        <is>
          <t>CLI-2196</t>
        </is>
      </c>
      <c r="B2198" t="inlineStr">
        <is>
          <t>Carlos Rojas Duque</t>
        </is>
      </c>
      <c r="C2198" t="inlineStr">
        <is>
          <t>3141053449</t>
        </is>
      </c>
      <c r="D2198" t="inlineStr">
        <is>
          <t>carlos.rojas59@yahoo.com</t>
        </is>
      </c>
      <c r="E2198" t="inlineStr">
        <is>
          <t>Medellín</t>
        </is>
      </c>
      <c r="F2198" t="inlineStr">
        <is>
          <t>PRY-003</t>
        </is>
      </c>
      <c r="G2198" t="inlineStr">
        <is>
          <t>Portal Web</t>
        </is>
      </c>
      <c r="H2198" t="inlineStr">
        <is>
          <t>Sofía Prada</t>
        </is>
      </c>
      <c r="I2198" t="inlineStr">
        <is>
          <t>Perdido</t>
        </is>
      </c>
      <c r="J2198" s="28" t="n">
        <v>45948</v>
      </c>
      <c r="K2198" s="28" t="n">
        <v>45976</v>
      </c>
      <c r="L2198" t="inlineStr">
        <is>
          <t>Sin respuesta tras 3 contactos</t>
        </is>
      </c>
    </row>
    <row r="2199">
      <c r="A2199" t="inlineStr">
        <is>
          <t>CLI-2197</t>
        </is>
      </c>
      <c r="B2199" t="inlineStr">
        <is>
          <t>María Salazar Henao</t>
        </is>
      </c>
      <c r="C2199" t="inlineStr">
        <is>
          <t>3224847711</t>
        </is>
      </c>
      <c r="D2199" t="inlineStr">
        <is>
          <t>maria.salazar77@yahoo.com</t>
        </is>
      </c>
      <c r="E2199" t="inlineStr">
        <is>
          <t>Envigado</t>
        </is>
      </c>
      <c r="F2199" t="inlineStr">
        <is>
          <t>PRY-002</t>
        </is>
      </c>
      <c r="G2199" t="inlineStr">
        <is>
          <t>Facebook</t>
        </is>
      </c>
      <c r="H2199" t="inlineStr">
        <is>
          <t>Santiago Muñoz</t>
        </is>
      </c>
      <c r="I2199" t="inlineStr">
        <is>
          <t>Perdido</t>
        </is>
      </c>
      <c r="J2199" s="28" t="n">
        <v>45948</v>
      </c>
      <c r="K2199" s="28" t="n">
        <v>45976</v>
      </c>
      <c r="L2199" t="inlineStr">
        <is>
          <t>No calificó para crédito</t>
        </is>
      </c>
    </row>
    <row r="2200">
      <c r="A2200" t="inlineStr">
        <is>
          <t>CLI-2198</t>
        </is>
      </c>
      <c r="B2200" t="inlineStr">
        <is>
          <t>Rodrigo Uribe Restrepo</t>
        </is>
      </c>
      <c r="C2200" t="inlineStr">
        <is>
          <t>3173592941</t>
        </is>
      </c>
      <c r="D2200" t="inlineStr">
        <is>
          <t>rodrigo.uribe3@gmail.com</t>
        </is>
      </c>
      <c r="E2200" t="inlineStr">
        <is>
          <t>Itagüí</t>
        </is>
      </c>
      <c r="F2200" t="inlineStr">
        <is>
          <t>PRY-008</t>
        </is>
      </c>
      <c r="G2200" t="inlineStr">
        <is>
          <t>Portal Web</t>
        </is>
      </c>
      <c r="H2200" t="inlineStr">
        <is>
          <t>Juliana Vélez</t>
        </is>
      </c>
      <c r="I2200" t="inlineStr">
        <is>
          <t>Perdido</t>
        </is>
      </c>
      <c r="J2200" s="28" t="n">
        <v>45949</v>
      </c>
      <c r="K2200" s="28" t="n">
        <v>45991</v>
      </c>
      <c r="L2200" t="inlineStr">
        <is>
          <t>Crédito no aprobado</t>
        </is>
      </c>
    </row>
    <row r="2201">
      <c r="A2201" t="inlineStr">
        <is>
          <t>CLI-2199</t>
        </is>
      </c>
      <c r="B2201" t="inlineStr">
        <is>
          <t>Felipe Montes Vélez</t>
        </is>
      </c>
      <c r="C2201" t="inlineStr">
        <is>
          <t>3048126603</t>
        </is>
      </c>
      <c r="D2201" t="inlineStr">
        <is>
          <t>felipe.montes19@hotmail.com</t>
        </is>
      </c>
      <c r="E2201" t="inlineStr">
        <is>
          <t>Medellín</t>
        </is>
      </c>
      <c r="F2201" t="inlineStr">
        <is>
          <t>PRY-001</t>
        </is>
      </c>
      <c r="G2201" t="inlineStr">
        <is>
          <t>Facebook</t>
        </is>
      </c>
      <c r="H2201" t="inlineStr">
        <is>
          <t>Ana Quintero</t>
        </is>
      </c>
      <c r="I2201" t="inlineStr">
        <is>
          <t>Perdido</t>
        </is>
      </c>
      <c r="J2201" s="28" t="n">
        <v>45949</v>
      </c>
      <c r="K2201" s="28" t="n">
        <v>45965</v>
      </c>
      <c r="L2201" t="inlineStr">
        <is>
          <t>Sin respuesta tras 3 contactos</t>
        </is>
      </c>
    </row>
    <row r="2202">
      <c r="A2202" t="inlineStr">
        <is>
          <t>CLI-2200</t>
        </is>
      </c>
      <c r="B2202" t="inlineStr">
        <is>
          <t>Óscar Rojas Ramírez</t>
        </is>
      </c>
      <c r="C2202" t="inlineStr">
        <is>
          <t>3233668635</t>
        </is>
      </c>
      <c r="D2202" t="inlineStr">
        <is>
          <t>oscar.rojas16@gmail.com</t>
        </is>
      </c>
      <c r="E2202" t="inlineStr">
        <is>
          <t>Medellín</t>
        </is>
      </c>
      <c r="F2202" t="inlineStr">
        <is>
          <t>PRY-002</t>
        </is>
      </c>
      <c r="G2202" t="inlineStr">
        <is>
          <t>Facebook</t>
        </is>
      </c>
      <c r="H2202" t="inlineStr">
        <is>
          <t>Luis Bedoya</t>
        </is>
      </c>
      <c r="I2202" t="inlineStr">
        <is>
          <t>Perdido</t>
        </is>
      </c>
      <c r="J2202" s="28" t="n">
        <v>45949</v>
      </c>
      <c r="K2202" s="28" t="n">
        <v>45962</v>
      </c>
      <c r="L2202" t="inlineStr">
        <is>
          <t>Sin respuesta tras 3 contactos</t>
        </is>
      </c>
    </row>
    <row r="2203">
      <c r="A2203" t="inlineStr">
        <is>
          <t>CLI-2201</t>
        </is>
      </c>
      <c r="B2203" t="inlineStr">
        <is>
          <t>Cristian Toro Franco</t>
        </is>
      </c>
      <c r="C2203" t="inlineStr">
        <is>
          <t>3049695501</t>
        </is>
      </c>
      <c r="D2203" t="inlineStr">
        <is>
          <t>cristian.toro36@hotmail.com</t>
        </is>
      </c>
      <c r="E2203" t="inlineStr">
        <is>
          <t>Rionegro</t>
        </is>
      </c>
      <c r="F2203" t="inlineStr">
        <is>
          <t>PRY-005</t>
        </is>
      </c>
      <c r="G2203" t="inlineStr">
        <is>
          <t>Portal Web</t>
        </is>
      </c>
      <c r="H2203" t="inlineStr">
        <is>
          <t>Sofía Prada</t>
        </is>
      </c>
      <c r="I2203" t="inlineStr">
        <is>
          <t>Perdido</t>
        </is>
      </c>
      <c r="J2203" s="28" t="n">
        <v>45949</v>
      </c>
      <c r="K2203" s="28" t="n">
        <v>45969</v>
      </c>
      <c r="L2203" t="inlineStr">
        <is>
          <t>Presupuesto insuficiente</t>
        </is>
      </c>
    </row>
    <row r="2204">
      <c r="A2204" t="inlineStr">
        <is>
          <t>CLI-2202</t>
        </is>
      </c>
      <c r="B2204" t="inlineStr">
        <is>
          <t>Natalia Henao Echeverri</t>
        </is>
      </c>
      <c r="C2204" t="inlineStr">
        <is>
          <t>3013300345</t>
        </is>
      </c>
      <c r="D2204" t="inlineStr">
        <is>
          <t>natalia.henao63@gmail.com</t>
        </is>
      </c>
      <c r="E2204" t="inlineStr">
        <is>
          <t>Medellín</t>
        </is>
      </c>
      <c r="F2204" t="inlineStr">
        <is>
          <t>PRY-003</t>
        </is>
      </c>
      <c r="G2204" t="inlineStr">
        <is>
          <t>Facebook</t>
        </is>
      </c>
      <c r="H2204" t="inlineStr">
        <is>
          <t>Luis Bedoya</t>
        </is>
      </c>
      <c r="I2204" t="inlineStr">
        <is>
          <t>Perdido</t>
        </is>
      </c>
      <c r="J2204" s="28" t="n">
        <v>45950</v>
      </c>
      <c r="K2204" s="28" t="n">
        <v>45993</v>
      </c>
      <c r="L2204" t="inlineStr">
        <is>
          <t>No volvió a responder</t>
        </is>
      </c>
    </row>
    <row r="2205">
      <c r="A2205" t="inlineStr">
        <is>
          <t>CLI-2203</t>
        </is>
      </c>
      <c r="B2205" t="inlineStr">
        <is>
          <t>Verónica Henao Arango</t>
        </is>
      </c>
      <c r="C2205" t="inlineStr">
        <is>
          <t>3234131475</t>
        </is>
      </c>
      <c r="D2205" t="inlineStr">
        <is>
          <t>veronica.henao79@gmail.com</t>
        </is>
      </c>
      <c r="E2205" t="inlineStr">
        <is>
          <t>Medellín</t>
        </is>
      </c>
      <c r="F2205" t="inlineStr">
        <is>
          <t>PRY-002</t>
        </is>
      </c>
      <c r="G2205" t="inlineStr">
        <is>
          <t>Feria Inmobiliaria</t>
        </is>
      </c>
      <c r="H2205" t="inlineStr">
        <is>
          <t>Ana Quintero</t>
        </is>
      </c>
      <c r="I2205" t="inlineStr">
        <is>
          <t>Perdido</t>
        </is>
      </c>
      <c r="J2205" s="28" t="n">
        <v>45950</v>
      </c>
      <c r="K2205" s="28" t="n">
        <v>45965</v>
      </c>
      <c r="L2205" t="inlineStr">
        <is>
          <t>Datos de contacto errados</t>
        </is>
      </c>
    </row>
    <row r="2206">
      <c r="A2206" t="inlineStr">
        <is>
          <t>CLI-2204</t>
        </is>
      </c>
      <c r="B2206" t="inlineStr">
        <is>
          <t>Paula Cifuentes Vargas</t>
        </is>
      </c>
      <c r="C2206" t="inlineStr">
        <is>
          <t>3048251489</t>
        </is>
      </c>
      <c r="D2206" t="inlineStr">
        <is>
          <t>paula.cifuentes22@yahoo.com</t>
        </is>
      </c>
      <c r="E2206" t="inlineStr">
        <is>
          <t>Envigado</t>
        </is>
      </c>
      <c r="F2206" t="inlineStr">
        <is>
          <t>PRY-007</t>
        </is>
      </c>
      <c r="G2206" t="inlineStr">
        <is>
          <t>Referido</t>
        </is>
      </c>
      <c r="H2206" t="inlineStr">
        <is>
          <t>Luis Bedoya</t>
        </is>
      </c>
      <c r="I2206" t="inlineStr">
        <is>
          <t>Perdido</t>
        </is>
      </c>
      <c r="J2206" s="28" t="n">
        <v>45950</v>
      </c>
      <c r="K2206" s="28" t="n">
        <v>45980</v>
      </c>
      <c r="L2206" t="inlineStr">
        <is>
          <t>Presupuesto insuficiente</t>
        </is>
      </c>
    </row>
    <row r="2207">
      <c r="A2207" t="inlineStr">
        <is>
          <t>CLI-2205</t>
        </is>
      </c>
      <c r="B2207" t="inlineStr">
        <is>
          <t>Carolina Vélez Echeverri</t>
        </is>
      </c>
      <c r="C2207" t="inlineStr">
        <is>
          <t>3104421614</t>
        </is>
      </c>
      <c r="D2207" t="inlineStr">
        <is>
          <t>carolina.velez43@outlook.com</t>
        </is>
      </c>
      <c r="E2207" t="inlineStr">
        <is>
          <t>La Estrella</t>
        </is>
      </c>
      <c r="F2207" t="inlineStr">
        <is>
          <t>PRY-003</t>
        </is>
      </c>
      <c r="G2207" t="inlineStr">
        <is>
          <t>Feria Inmobiliaria</t>
        </is>
      </c>
      <c r="H2207" t="inlineStr">
        <is>
          <t>Andrés Torres</t>
        </is>
      </c>
      <c r="I2207" t="inlineStr">
        <is>
          <t>Ganado</t>
        </is>
      </c>
      <c r="J2207" s="28" t="n">
        <v>45951</v>
      </c>
      <c r="K2207" s="28" t="n">
        <v>46059</v>
      </c>
      <c r="L2207" t="inlineStr">
        <is>
          <t>Compró Apto 2606 en Conecta Laureles</t>
        </is>
      </c>
    </row>
    <row r="2208">
      <c r="A2208" t="inlineStr">
        <is>
          <t>CLI-2206</t>
        </is>
      </c>
      <c r="B2208" t="inlineStr">
        <is>
          <t>Rodrigo Gaviria Ríos</t>
        </is>
      </c>
      <c r="C2208" t="inlineStr">
        <is>
          <t>3155591763</t>
        </is>
      </c>
      <c r="D2208" t="inlineStr">
        <is>
          <t>rodrigo.gaviria18@gmail.com</t>
        </is>
      </c>
      <c r="E2208" t="inlineStr">
        <is>
          <t>Medellín</t>
        </is>
      </c>
      <c r="F2208" t="inlineStr">
        <is>
          <t>PRY-003</t>
        </is>
      </c>
      <c r="G2208" t="inlineStr">
        <is>
          <t>Instagram</t>
        </is>
      </c>
      <c r="H2208" t="inlineStr">
        <is>
          <t>Miguel Salazar</t>
        </is>
      </c>
      <c r="I2208" t="inlineStr">
        <is>
          <t>Ganado</t>
        </is>
      </c>
      <c r="J2208" s="28" t="n">
        <v>45951</v>
      </c>
      <c r="K2208" s="28" t="n">
        <v>46031</v>
      </c>
      <c r="L2208" t="inlineStr">
        <is>
          <t>Compró Apto 505 en Conecta Laureles</t>
        </is>
      </c>
    </row>
    <row r="2209">
      <c r="A2209" t="inlineStr">
        <is>
          <t>CLI-2207</t>
        </is>
      </c>
      <c r="B2209" t="inlineStr">
        <is>
          <t>Gloria Ríos Echeverri</t>
        </is>
      </c>
      <c r="C2209" t="inlineStr">
        <is>
          <t>3247089953</t>
        </is>
      </c>
      <c r="D2209" t="inlineStr">
        <is>
          <t>gloria.rios93@yahoo.com</t>
        </is>
      </c>
      <c r="E2209" t="inlineStr">
        <is>
          <t>Envigado</t>
        </is>
      </c>
      <c r="F2209" t="inlineStr">
        <is>
          <t>PRY-007</t>
        </is>
      </c>
      <c r="G2209" t="inlineStr">
        <is>
          <t>Portal Web</t>
        </is>
      </c>
      <c r="H2209" t="inlineStr">
        <is>
          <t>Sofía Prada</t>
        </is>
      </c>
      <c r="I2209" t="inlineStr">
        <is>
          <t>Perdido</t>
        </is>
      </c>
      <c r="J2209" s="28" t="n">
        <v>45951</v>
      </c>
      <c r="K2209" s="28" t="n">
        <v>45979</v>
      </c>
      <c r="L2209" t="inlineStr">
        <is>
          <t>Sin respuesta tras 3 contactos</t>
        </is>
      </c>
    </row>
    <row r="2210">
      <c r="A2210" t="inlineStr">
        <is>
          <t>CLI-2208</t>
        </is>
      </c>
      <c r="B2210" t="inlineStr">
        <is>
          <t>Gloria Vélez Quintero</t>
        </is>
      </c>
      <c r="C2210" t="inlineStr">
        <is>
          <t>3209710791</t>
        </is>
      </c>
      <c r="D2210" t="inlineStr">
        <is>
          <t>gloria.velez27@outlook.com</t>
        </is>
      </c>
      <c r="E2210" t="inlineStr">
        <is>
          <t>Rionegro</t>
        </is>
      </c>
      <c r="F2210" t="inlineStr">
        <is>
          <t>PRY-005</t>
        </is>
      </c>
      <c r="G2210" t="inlineStr">
        <is>
          <t>Portal Web</t>
        </is>
      </c>
      <c r="H2210" t="inlineStr">
        <is>
          <t>Santiago Muñoz</t>
        </is>
      </c>
      <c r="I2210" t="inlineStr">
        <is>
          <t>Perdido</t>
        </is>
      </c>
      <c r="J2210" s="28" t="n">
        <v>45951</v>
      </c>
      <c r="K2210" s="28" t="n">
        <v>45977</v>
      </c>
      <c r="L2210" t="inlineStr">
        <is>
          <t>Buscaba arriendo, no compra</t>
        </is>
      </c>
    </row>
    <row r="2211">
      <c r="A2211" t="inlineStr">
        <is>
          <t>CLI-2209</t>
        </is>
      </c>
      <c r="B2211" t="inlineStr">
        <is>
          <t>Alejandra Betancur Pérez</t>
        </is>
      </c>
      <c r="C2211" t="inlineStr">
        <is>
          <t>3249687636</t>
        </is>
      </c>
      <c r="D2211" t="inlineStr">
        <is>
          <t>alejandra.betancur79@outlook.com</t>
        </is>
      </c>
      <c r="E2211" t="inlineStr">
        <is>
          <t>Envigado</t>
        </is>
      </c>
      <c r="F2211" t="inlineStr">
        <is>
          <t>PRY-007</t>
        </is>
      </c>
      <c r="G2211" t="inlineStr">
        <is>
          <t>Referido</t>
        </is>
      </c>
      <c r="H2211" t="inlineStr">
        <is>
          <t>Sofía Prada</t>
        </is>
      </c>
      <c r="I2211" t="inlineStr">
        <is>
          <t>Ganado</t>
        </is>
      </c>
      <c r="J2211" s="28" t="n">
        <v>45952</v>
      </c>
      <c r="K2211" s="28" t="n">
        <v>46091</v>
      </c>
      <c r="L2211" t="inlineStr">
        <is>
          <t>Compró Apto 1506 en Mirador de Envigado</t>
        </is>
      </c>
    </row>
    <row r="2212">
      <c r="A2212" t="inlineStr">
        <is>
          <t>CLI-2210</t>
        </is>
      </c>
      <c r="B2212" t="inlineStr">
        <is>
          <t>Nicolás Cano Uribe</t>
        </is>
      </c>
      <c r="C2212" t="inlineStr">
        <is>
          <t>3223017548</t>
        </is>
      </c>
      <c r="D2212" t="inlineStr">
        <is>
          <t>nicolas.cano81@hotmail.com</t>
        </is>
      </c>
      <c r="E2212" t="inlineStr">
        <is>
          <t>Bello</t>
        </is>
      </c>
      <c r="F2212" t="inlineStr">
        <is>
          <t>PRY-005</t>
        </is>
      </c>
      <c r="G2212" t="inlineStr">
        <is>
          <t>Referido</t>
        </is>
      </c>
      <c r="H2212" t="inlineStr">
        <is>
          <t>Luis Bedoya</t>
        </is>
      </c>
      <c r="I2212" t="inlineStr">
        <is>
          <t>Perdido</t>
        </is>
      </c>
      <c r="J2212" s="28" t="n">
        <v>45952</v>
      </c>
      <c r="K2212" s="28" t="n">
        <v>46073</v>
      </c>
      <c r="L2212" t="inlineStr">
        <is>
          <t>Precio fuera de presupuesto</t>
        </is>
      </c>
    </row>
    <row r="2213">
      <c r="A2213" t="inlineStr">
        <is>
          <t>CLI-2211</t>
        </is>
      </c>
      <c r="B2213" t="inlineStr">
        <is>
          <t>Alejandro Zapata Betancur</t>
        </is>
      </c>
      <c r="C2213" t="inlineStr">
        <is>
          <t>3154241972</t>
        </is>
      </c>
      <c r="D2213" t="inlineStr">
        <is>
          <t>alejandro.zapata83@outlook.com</t>
        </is>
      </c>
      <c r="E2213" t="inlineStr">
        <is>
          <t>Itagüí</t>
        </is>
      </c>
      <c r="F2213" t="inlineStr">
        <is>
          <t>PRY-003</t>
        </is>
      </c>
      <c r="G2213" t="inlineStr">
        <is>
          <t>Llamada directa</t>
        </is>
      </c>
      <c r="H2213" t="inlineStr">
        <is>
          <t>Luis Bedoya</t>
        </is>
      </c>
      <c r="I2213" t="inlineStr">
        <is>
          <t>Perdido</t>
        </is>
      </c>
      <c r="J2213" s="28" t="n">
        <v>45952</v>
      </c>
      <c r="K2213" s="28" t="n">
        <v>45976</v>
      </c>
      <c r="L2213" t="inlineStr">
        <is>
          <t>Datos de contacto errados</t>
        </is>
      </c>
    </row>
    <row r="2214">
      <c r="A2214" t="inlineStr">
        <is>
          <t>CLI-2212</t>
        </is>
      </c>
      <c r="B2214" t="inlineStr">
        <is>
          <t>Luisa Pérez Ramírez</t>
        </is>
      </c>
      <c r="C2214" t="inlineStr">
        <is>
          <t>3105251317</t>
        </is>
      </c>
      <c r="D2214" t="inlineStr">
        <is>
          <t>luisa.perez31@hotmail.com</t>
        </is>
      </c>
      <c r="E2214" t="inlineStr">
        <is>
          <t>Medellín</t>
        </is>
      </c>
      <c r="F2214" t="inlineStr">
        <is>
          <t>PRY-003</t>
        </is>
      </c>
      <c r="G2214" t="inlineStr">
        <is>
          <t>Facebook</t>
        </is>
      </c>
      <c r="H2214" t="inlineStr">
        <is>
          <t>Luis Bedoya</t>
        </is>
      </c>
      <c r="I2214" t="inlineStr">
        <is>
          <t>Perdido</t>
        </is>
      </c>
      <c r="J2214" s="28" t="n">
        <v>45952</v>
      </c>
      <c r="K2214" s="28" t="n">
        <v>45960</v>
      </c>
      <c r="L2214" t="inlineStr">
        <is>
          <t>Buscaba arriendo, no compra</t>
        </is>
      </c>
    </row>
    <row r="2215">
      <c r="A2215" t="inlineStr">
        <is>
          <t>CLI-2213</t>
        </is>
      </c>
      <c r="B2215" t="inlineStr">
        <is>
          <t>Emilio Montes Echeverri</t>
        </is>
      </c>
      <c r="C2215" t="inlineStr">
        <is>
          <t>3227844604</t>
        </is>
      </c>
      <c r="D2215" t="inlineStr">
        <is>
          <t>emilio.montes61@gmail.com</t>
        </is>
      </c>
      <c r="E2215" t="inlineStr">
        <is>
          <t>Rionegro</t>
        </is>
      </c>
      <c r="F2215" t="inlineStr">
        <is>
          <t>PRY-002</t>
        </is>
      </c>
      <c r="G2215" t="inlineStr">
        <is>
          <t>Feria Inmobiliaria</t>
        </is>
      </c>
      <c r="H2215" t="inlineStr">
        <is>
          <t>Miguel Salazar</t>
        </is>
      </c>
      <c r="I2215" t="inlineStr">
        <is>
          <t>Perdido</t>
        </is>
      </c>
      <c r="J2215" s="28" t="n">
        <v>45952</v>
      </c>
      <c r="K2215" s="28" t="n">
        <v>45962</v>
      </c>
      <c r="L2215" t="inlineStr">
        <is>
          <t>Sin respuesta tras 3 contactos</t>
        </is>
      </c>
    </row>
    <row r="2216">
      <c r="A2216" t="inlineStr">
        <is>
          <t>CLI-2214</t>
        </is>
      </c>
      <c r="B2216" t="inlineStr">
        <is>
          <t>Paola Castaño Marín</t>
        </is>
      </c>
      <c r="C2216" t="inlineStr">
        <is>
          <t>3017067851</t>
        </is>
      </c>
      <c r="D2216" t="inlineStr">
        <is>
          <t>paola.castano82@hotmail.com</t>
        </is>
      </c>
      <c r="E2216" t="inlineStr">
        <is>
          <t>Envigado</t>
        </is>
      </c>
      <c r="F2216" t="inlineStr">
        <is>
          <t>PRY-006</t>
        </is>
      </c>
      <c r="G2216" t="inlineStr">
        <is>
          <t>Portal Web</t>
        </is>
      </c>
      <c r="H2216" t="inlineStr">
        <is>
          <t>Miguel Salazar</t>
        </is>
      </c>
      <c r="I2216" t="inlineStr">
        <is>
          <t>Perdido</t>
        </is>
      </c>
      <c r="J2216" s="28" t="n">
        <v>45952</v>
      </c>
      <c r="K2216" s="28" t="n">
        <v>45970</v>
      </c>
      <c r="L2216" t="inlineStr">
        <is>
          <t>Presupuesto insuficiente</t>
        </is>
      </c>
    </row>
    <row r="2217">
      <c r="A2217" t="inlineStr">
        <is>
          <t>CLI-2215</t>
        </is>
      </c>
      <c r="B2217" t="inlineStr">
        <is>
          <t>Natalia Palacio Ríos</t>
        </is>
      </c>
      <c r="C2217" t="inlineStr">
        <is>
          <t>3246354531</t>
        </is>
      </c>
      <c r="D2217" t="inlineStr">
        <is>
          <t>natalia.palacio80@outlook.com</t>
        </is>
      </c>
      <c r="E2217" t="inlineStr">
        <is>
          <t>Envigado</t>
        </is>
      </c>
      <c r="F2217" t="inlineStr">
        <is>
          <t>PRY-007</t>
        </is>
      </c>
      <c r="G2217" t="inlineStr">
        <is>
          <t>Portal Web</t>
        </is>
      </c>
      <c r="H2217" t="inlineStr">
        <is>
          <t>Ana Quintero</t>
        </is>
      </c>
      <c r="I2217" t="inlineStr">
        <is>
          <t>Perdido</t>
        </is>
      </c>
      <c r="J2217" s="28" t="n">
        <v>45953</v>
      </c>
      <c r="K2217" s="28" t="n">
        <v>45967</v>
      </c>
      <c r="L2217" t="inlineStr">
        <is>
          <t>No calificó para crédito</t>
        </is>
      </c>
    </row>
    <row r="2218">
      <c r="A2218" t="inlineStr">
        <is>
          <t>CLI-2216</t>
        </is>
      </c>
      <c r="B2218" t="inlineStr">
        <is>
          <t>Luisa Londoño Echeverri</t>
        </is>
      </c>
      <c r="C2218" t="inlineStr">
        <is>
          <t>3011900129</t>
        </is>
      </c>
      <c r="D2218" t="inlineStr">
        <is>
          <t>luisa.londono42@hotmail.com</t>
        </is>
      </c>
      <c r="E2218" t="inlineStr">
        <is>
          <t>La Estrella</t>
        </is>
      </c>
      <c r="F2218" t="inlineStr">
        <is>
          <t>PRY-007</t>
        </is>
      </c>
      <c r="G2218" t="inlineStr">
        <is>
          <t>Instagram</t>
        </is>
      </c>
      <c r="H2218" t="inlineStr">
        <is>
          <t>Santiago Muñoz</t>
        </is>
      </c>
      <c r="I2218" t="inlineStr">
        <is>
          <t>Perdido</t>
        </is>
      </c>
      <c r="J2218" s="28" t="n">
        <v>45953</v>
      </c>
      <c r="K2218" s="28" t="n">
        <v>45960</v>
      </c>
      <c r="L2218" t="inlineStr">
        <is>
          <t>Sin respuesta tras 3 contactos</t>
        </is>
      </c>
    </row>
    <row r="2219">
      <c r="A2219" t="inlineStr">
        <is>
          <t>CLI-2217</t>
        </is>
      </c>
      <c r="B2219" t="inlineStr">
        <is>
          <t>Sebastián Álvarez Palacio</t>
        </is>
      </c>
      <c r="C2219" t="inlineStr">
        <is>
          <t>3223711985</t>
        </is>
      </c>
      <c r="D2219" t="inlineStr">
        <is>
          <t>sebastian.alvarez6@outlook.com</t>
        </is>
      </c>
      <c r="E2219" t="inlineStr">
        <is>
          <t>La Estrella</t>
        </is>
      </c>
      <c r="F2219" t="inlineStr">
        <is>
          <t>PRY-002</t>
        </is>
      </c>
      <c r="G2219" t="inlineStr">
        <is>
          <t>Feria Inmobiliaria</t>
        </is>
      </c>
      <c r="H2219" t="inlineStr">
        <is>
          <t>Santiago Muñoz</t>
        </is>
      </c>
      <c r="I2219" t="inlineStr">
        <is>
          <t>Perdido</t>
        </is>
      </c>
      <c r="J2219" s="28" t="n">
        <v>45954</v>
      </c>
      <c r="K2219" s="28" t="n">
        <v>46101</v>
      </c>
      <c r="L2219" t="inlineStr">
        <is>
          <t>Eligió otro proyecto</t>
        </is>
      </c>
    </row>
    <row r="2220">
      <c r="A2220" t="inlineStr">
        <is>
          <t>CLI-2218</t>
        </is>
      </c>
      <c r="B2220" t="inlineStr">
        <is>
          <t>Ximena Restrepo Higuita</t>
        </is>
      </c>
      <c r="C2220" t="inlineStr">
        <is>
          <t>3044758749</t>
        </is>
      </c>
      <c r="D2220" t="inlineStr">
        <is>
          <t>ximena.restrepo20@yahoo.com</t>
        </is>
      </c>
      <c r="E2220" t="inlineStr">
        <is>
          <t>Bello</t>
        </is>
      </c>
      <c r="F2220" t="inlineStr">
        <is>
          <t>PRY-005</t>
        </is>
      </c>
      <c r="G2220" t="inlineStr">
        <is>
          <t>Instagram</t>
        </is>
      </c>
      <c r="H2220" t="inlineStr">
        <is>
          <t>Andrés Torres</t>
        </is>
      </c>
      <c r="I2220" t="inlineStr">
        <is>
          <t>Ganado</t>
        </is>
      </c>
      <c r="J2220" s="28" t="n">
        <v>45954</v>
      </c>
      <c r="K2220" s="28" t="n">
        <v>46045</v>
      </c>
      <c r="L2220" t="inlineStr">
        <is>
          <t>Compró Casa 3 en Ciudadela Rionegro</t>
        </is>
      </c>
    </row>
    <row r="2221">
      <c r="A2221" t="inlineStr">
        <is>
          <t>CLI-2219</t>
        </is>
      </c>
      <c r="B2221" t="inlineStr">
        <is>
          <t>Alejandra Londoño Cano</t>
        </is>
      </c>
      <c r="C2221" t="inlineStr">
        <is>
          <t>3157150494</t>
        </is>
      </c>
      <c r="D2221" t="inlineStr">
        <is>
          <t>alejandra.londono73@outlook.com</t>
        </is>
      </c>
      <c r="E2221" t="inlineStr">
        <is>
          <t>Medellín</t>
        </is>
      </c>
      <c r="F2221" t="inlineStr">
        <is>
          <t>PRY-001</t>
        </is>
      </c>
      <c r="G2221" t="inlineStr">
        <is>
          <t>Referido</t>
        </is>
      </c>
      <c r="H2221" t="inlineStr">
        <is>
          <t>Ana Quintero</t>
        </is>
      </c>
      <c r="I2221" t="inlineStr">
        <is>
          <t>Perdido</t>
        </is>
      </c>
      <c r="J2221" s="28" t="n">
        <v>45954</v>
      </c>
      <c r="K2221" s="28" t="n">
        <v>45981</v>
      </c>
      <c r="L2221" t="inlineStr">
        <is>
          <t>No calificó para crédito</t>
        </is>
      </c>
    </row>
    <row r="2222">
      <c r="A2222" t="inlineStr">
        <is>
          <t>CLI-2220</t>
        </is>
      </c>
      <c r="B2222" t="inlineStr">
        <is>
          <t>Juan Pablo Ramírez Ríos</t>
        </is>
      </c>
      <c r="C2222" t="inlineStr">
        <is>
          <t>3153840866</t>
        </is>
      </c>
      <c r="D2222" t="inlineStr">
        <is>
          <t>juan.ramirez70@hotmail.com</t>
        </is>
      </c>
      <c r="E2222" t="inlineStr">
        <is>
          <t>Sabaneta</t>
        </is>
      </c>
      <c r="F2222" t="inlineStr">
        <is>
          <t>PRY-008</t>
        </is>
      </c>
      <c r="G2222" t="inlineStr">
        <is>
          <t>Portal Web</t>
        </is>
      </c>
      <c r="H2222" t="inlineStr">
        <is>
          <t>Sofía Prada</t>
        </is>
      </c>
      <c r="I2222" t="inlineStr">
        <is>
          <t>Perdido</t>
        </is>
      </c>
      <c r="J2222" s="28" t="n">
        <v>45954</v>
      </c>
      <c r="K2222" s="28" t="n">
        <v>45982</v>
      </c>
      <c r="L2222" t="inlineStr">
        <is>
          <t>Datos de contacto errados</t>
        </is>
      </c>
    </row>
    <row r="2223">
      <c r="A2223" t="inlineStr">
        <is>
          <t>CLI-2221</t>
        </is>
      </c>
      <c r="B2223" t="inlineStr">
        <is>
          <t>Carolina Escobar Echeverri</t>
        </is>
      </c>
      <c r="C2223" t="inlineStr">
        <is>
          <t>3234093435</t>
        </is>
      </c>
      <c r="D2223" t="inlineStr">
        <is>
          <t>carolina.escobar96@hotmail.com</t>
        </is>
      </c>
      <c r="E2223" t="inlineStr">
        <is>
          <t>Envigado</t>
        </is>
      </c>
      <c r="F2223" t="inlineStr">
        <is>
          <t>PRY-007</t>
        </is>
      </c>
      <c r="G2223" t="inlineStr">
        <is>
          <t>Feria Inmobiliaria</t>
        </is>
      </c>
      <c r="H2223" t="inlineStr">
        <is>
          <t>Luis Bedoya</t>
        </is>
      </c>
      <c r="I2223" t="inlineStr">
        <is>
          <t>Perdido</t>
        </is>
      </c>
      <c r="J2223" s="28" t="n">
        <v>45954</v>
      </c>
      <c r="K2223" s="28" t="n">
        <v>45971</v>
      </c>
      <c r="L2223" t="inlineStr">
        <is>
          <t>Sin respuesta tras 3 contactos</t>
        </is>
      </c>
    </row>
    <row r="2224">
      <c r="A2224" t="inlineStr">
        <is>
          <t>CLI-2222</t>
        </is>
      </c>
      <c r="B2224" t="inlineStr">
        <is>
          <t>Felipe Duque López</t>
        </is>
      </c>
      <c r="C2224" t="inlineStr">
        <is>
          <t>3203910219</t>
        </is>
      </c>
      <c r="D2224" t="inlineStr">
        <is>
          <t>felipe.duque70@gmail.com</t>
        </is>
      </c>
      <c r="E2224" t="inlineStr">
        <is>
          <t>Envigado</t>
        </is>
      </c>
      <c r="F2224" t="inlineStr">
        <is>
          <t>PRY-008</t>
        </is>
      </c>
      <c r="G2224" t="inlineStr">
        <is>
          <t>Llamada directa</t>
        </is>
      </c>
      <c r="H2224" t="inlineStr">
        <is>
          <t>Ana Quintero</t>
        </is>
      </c>
      <c r="I2224" t="inlineStr">
        <is>
          <t>Perdido</t>
        </is>
      </c>
      <c r="J2224" s="28" t="n">
        <v>45955</v>
      </c>
      <c r="K2224" s="28" t="n">
        <v>45973</v>
      </c>
      <c r="L2224" t="inlineStr">
        <is>
          <t>Sin respuesta tras 3 contactos</t>
        </is>
      </c>
    </row>
    <row r="2225">
      <c r="A2225" t="inlineStr">
        <is>
          <t>CLI-2223</t>
        </is>
      </c>
      <c r="B2225" t="inlineStr">
        <is>
          <t>Carlos Ríos Restrepo</t>
        </is>
      </c>
      <c r="C2225" t="inlineStr">
        <is>
          <t>3204411560</t>
        </is>
      </c>
      <c r="D2225" t="inlineStr">
        <is>
          <t>carlos.rios16@yahoo.com</t>
        </is>
      </c>
      <c r="E2225" t="inlineStr">
        <is>
          <t>Itagüí</t>
        </is>
      </c>
      <c r="F2225" t="inlineStr">
        <is>
          <t>PRY-008</t>
        </is>
      </c>
      <c r="G2225" t="inlineStr">
        <is>
          <t>Instagram</t>
        </is>
      </c>
      <c r="H2225" t="inlineStr">
        <is>
          <t>Sofía Prada</t>
        </is>
      </c>
      <c r="I2225" t="inlineStr">
        <is>
          <t>Perdido</t>
        </is>
      </c>
      <c r="J2225" s="28" t="n">
        <v>45955</v>
      </c>
      <c r="K2225" s="28" t="n">
        <v>45966</v>
      </c>
      <c r="L2225" t="inlineStr">
        <is>
          <t>Datos de contacto errados</t>
        </is>
      </c>
    </row>
    <row r="2226">
      <c r="A2226" t="inlineStr">
        <is>
          <t>CLI-2224</t>
        </is>
      </c>
      <c r="B2226" t="inlineStr">
        <is>
          <t>Daniela Arango Muñoz</t>
        </is>
      </c>
      <c r="C2226" t="inlineStr">
        <is>
          <t>3045272096</t>
        </is>
      </c>
      <c r="D2226" t="inlineStr">
        <is>
          <t>daniela.arango26@outlook.com</t>
        </is>
      </c>
      <c r="E2226" t="inlineStr">
        <is>
          <t>Bello</t>
        </is>
      </c>
      <c r="F2226" t="inlineStr">
        <is>
          <t>PRY-003</t>
        </is>
      </c>
      <c r="G2226" t="inlineStr">
        <is>
          <t>Instagram</t>
        </is>
      </c>
      <c r="H2226" t="inlineStr">
        <is>
          <t>Ana Quintero</t>
        </is>
      </c>
      <c r="I2226" t="inlineStr">
        <is>
          <t>Perdido</t>
        </is>
      </c>
      <c r="J2226" s="28" t="n">
        <v>45955</v>
      </c>
      <c r="K2226" s="28" t="n">
        <v>45982</v>
      </c>
      <c r="L2226" t="inlineStr">
        <is>
          <t>Sin respuesta tras 3 contactos</t>
        </is>
      </c>
    </row>
    <row r="2227">
      <c r="A2227" t="inlineStr">
        <is>
          <t>CLI-2225</t>
        </is>
      </c>
      <c r="B2227" t="inlineStr">
        <is>
          <t>Nicolás Hernández Bedoya</t>
        </is>
      </c>
      <c r="C2227" t="inlineStr">
        <is>
          <t>3008855707</t>
        </is>
      </c>
      <c r="D2227" t="inlineStr">
        <is>
          <t>nicolas.hernandez11@outlook.com</t>
        </is>
      </c>
      <c r="E2227" t="inlineStr">
        <is>
          <t>Medellín</t>
        </is>
      </c>
      <c r="F2227" t="inlineStr">
        <is>
          <t>PRY-001</t>
        </is>
      </c>
      <c r="G2227" t="inlineStr">
        <is>
          <t>Portal Web</t>
        </is>
      </c>
      <c r="H2227" t="inlineStr">
        <is>
          <t>Sofía Prada</t>
        </is>
      </c>
      <c r="I2227" t="inlineStr">
        <is>
          <t>Perdido</t>
        </is>
      </c>
      <c r="J2227" s="28" t="n">
        <v>45955</v>
      </c>
      <c r="K2227" s="28" t="n">
        <v>45970</v>
      </c>
      <c r="L2227" t="inlineStr">
        <is>
          <t>Sin respuesta tras 3 contactos</t>
        </is>
      </c>
    </row>
    <row r="2228">
      <c r="A2228" t="inlineStr">
        <is>
          <t>CLI-2226</t>
        </is>
      </c>
      <c r="B2228" t="inlineStr">
        <is>
          <t>José Ríos Echeverri</t>
        </is>
      </c>
      <c r="C2228" t="inlineStr">
        <is>
          <t>3244959089</t>
        </is>
      </c>
      <c r="D2228" t="inlineStr">
        <is>
          <t>jose.rios77@outlook.com</t>
        </is>
      </c>
      <c r="E2228" t="inlineStr">
        <is>
          <t>Itagüí</t>
        </is>
      </c>
      <c r="F2228" t="inlineStr">
        <is>
          <t>PRY-008</t>
        </is>
      </c>
      <c r="G2228" t="inlineStr">
        <is>
          <t>Facebook</t>
        </is>
      </c>
      <c r="H2228" t="inlineStr">
        <is>
          <t>Daniela Ríos</t>
        </is>
      </c>
      <c r="I2228" t="inlineStr">
        <is>
          <t>Perdido</t>
        </is>
      </c>
      <c r="J2228" s="28" t="n">
        <v>45955</v>
      </c>
      <c r="K2228" s="28" t="n">
        <v>45982</v>
      </c>
      <c r="L2228" t="inlineStr">
        <is>
          <t>Presupuesto insuficiente</t>
        </is>
      </c>
    </row>
    <row r="2229">
      <c r="A2229" t="inlineStr">
        <is>
          <t>CLI-2227</t>
        </is>
      </c>
      <c r="B2229" t="inlineStr">
        <is>
          <t>Jorge Zapata Salazar</t>
        </is>
      </c>
      <c r="C2229" t="inlineStr">
        <is>
          <t>3131338348</t>
        </is>
      </c>
      <c r="D2229" t="inlineStr">
        <is>
          <t>jorge.zapata20@yahoo.com</t>
        </is>
      </c>
      <c r="E2229" t="inlineStr">
        <is>
          <t>Medellín</t>
        </is>
      </c>
      <c r="F2229" t="inlineStr">
        <is>
          <t>PRY-001</t>
        </is>
      </c>
      <c r="G2229" t="inlineStr">
        <is>
          <t>Facebook</t>
        </is>
      </c>
      <c r="H2229" t="inlineStr">
        <is>
          <t>Miguel Salazar</t>
        </is>
      </c>
      <c r="I2229" t="inlineStr">
        <is>
          <t>Perdido</t>
        </is>
      </c>
      <c r="J2229" s="28" t="n">
        <v>45956</v>
      </c>
      <c r="K2229" s="28" t="n">
        <v>45980</v>
      </c>
      <c r="L2229" t="inlineStr">
        <is>
          <t>Sin respuesta tras 3 contactos</t>
        </is>
      </c>
    </row>
    <row r="2230">
      <c r="A2230" t="inlineStr">
        <is>
          <t>CLI-2228</t>
        </is>
      </c>
      <c r="B2230" t="inlineStr">
        <is>
          <t>Diego Zuluaga Cifuentes</t>
        </is>
      </c>
      <c r="C2230" t="inlineStr">
        <is>
          <t>3173572350</t>
        </is>
      </c>
      <c r="D2230" t="inlineStr">
        <is>
          <t>diego.zuluaga72@gmail.com</t>
        </is>
      </c>
      <c r="E2230" t="inlineStr">
        <is>
          <t>Rionegro</t>
        </is>
      </c>
      <c r="F2230" t="inlineStr">
        <is>
          <t>PRY-005</t>
        </is>
      </c>
      <c r="G2230" t="inlineStr">
        <is>
          <t>Portal Web</t>
        </is>
      </c>
      <c r="H2230" t="inlineStr">
        <is>
          <t>Luis Bedoya</t>
        </is>
      </c>
      <c r="I2230" t="inlineStr">
        <is>
          <t>Ganado</t>
        </is>
      </c>
      <c r="J2230" s="28" t="n">
        <v>45957</v>
      </c>
      <c r="K2230" s="28" t="n">
        <v>46107</v>
      </c>
      <c r="L2230" t="inlineStr">
        <is>
          <t>Compró Casa 47 en Ciudadela Rionegro</t>
        </is>
      </c>
    </row>
    <row r="2231">
      <c r="A2231" t="inlineStr">
        <is>
          <t>CLI-2229</t>
        </is>
      </c>
      <c r="B2231" t="inlineStr">
        <is>
          <t>Laura Álvarez Zapata</t>
        </is>
      </c>
      <c r="C2231" t="inlineStr">
        <is>
          <t>3016404514</t>
        </is>
      </c>
      <c r="D2231" t="inlineStr">
        <is>
          <t>laura.alvarez85@outlook.com</t>
        </is>
      </c>
      <c r="E2231" t="inlineStr">
        <is>
          <t>Sabaneta</t>
        </is>
      </c>
      <c r="F2231" t="inlineStr">
        <is>
          <t>PRY-002</t>
        </is>
      </c>
      <c r="G2231" t="inlineStr">
        <is>
          <t>Feria Inmobiliaria</t>
        </is>
      </c>
      <c r="H2231" t="inlineStr">
        <is>
          <t>Paula Arenas</t>
        </is>
      </c>
      <c r="I2231" t="inlineStr">
        <is>
          <t>Perdido</t>
        </is>
      </c>
      <c r="J2231" s="28" t="n">
        <v>45957</v>
      </c>
      <c r="K2231" s="28" t="n">
        <v>45986</v>
      </c>
      <c r="L2231" t="inlineStr">
        <is>
          <t>No calificó para crédito</t>
        </is>
      </c>
    </row>
    <row r="2232">
      <c r="A2232" t="inlineStr">
        <is>
          <t>CLI-2230</t>
        </is>
      </c>
      <c r="B2232" t="inlineStr">
        <is>
          <t>Jorge Zuluaga Cano</t>
        </is>
      </c>
      <c r="C2232" t="inlineStr">
        <is>
          <t>3017836890</t>
        </is>
      </c>
      <c r="D2232" t="inlineStr">
        <is>
          <t>jorge.zuluaga42@outlook.com</t>
        </is>
      </c>
      <c r="E2232" t="inlineStr">
        <is>
          <t>Itagüí</t>
        </is>
      </c>
      <c r="F2232" t="inlineStr">
        <is>
          <t>PRY-001</t>
        </is>
      </c>
      <c r="G2232" t="inlineStr">
        <is>
          <t>Portal Web</t>
        </is>
      </c>
      <c r="H2232" t="inlineStr">
        <is>
          <t>Sofía Prada</t>
        </is>
      </c>
      <c r="I2232" t="inlineStr">
        <is>
          <t>Perdido</t>
        </is>
      </c>
      <c r="J2232" s="28" t="n">
        <v>45958</v>
      </c>
      <c r="K2232" s="28" t="n">
        <v>45987</v>
      </c>
      <c r="L2232" t="inlineStr">
        <is>
          <t>No calificó para crédito</t>
        </is>
      </c>
    </row>
    <row r="2233">
      <c r="A2233" t="inlineStr">
        <is>
          <t>CLI-2231</t>
        </is>
      </c>
      <c r="B2233" t="inlineStr">
        <is>
          <t>Valeria Hernández Echeverri</t>
        </is>
      </c>
      <c r="C2233" t="inlineStr">
        <is>
          <t>3041592768</t>
        </is>
      </c>
      <c r="D2233" t="inlineStr">
        <is>
          <t>valeria.hernandez47@outlook.com</t>
        </is>
      </c>
      <c r="E2233" t="inlineStr">
        <is>
          <t>Medellín</t>
        </is>
      </c>
      <c r="F2233" t="inlineStr">
        <is>
          <t>PRY-006</t>
        </is>
      </c>
      <c r="G2233" t="inlineStr">
        <is>
          <t>Facebook</t>
        </is>
      </c>
      <c r="H2233" t="inlineStr">
        <is>
          <t>Luis Bedoya</t>
        </is>
      </c>
      <c r="I2233" t="inlineStr">
        <is>
          <t>Perdido</t>
        </is>
      </c>
      <c r="J2233" s="28" t="n">
        <v>45958</v>
      </c>
      <c r="K2233" s="28" t="n">
        <v>45969</v>
      </c>
      <c r="L2233" t="inlineStr">
        <is>
          <t>Datos de contacto errados</t>
        </is>
      </c>
    </row>
    <row r="2234">
      <c r="A2234" t="inlineStr">
        <is>
          <t>CLI-2232</t>
        </is>
      </c>
      <c r="B2234" t="inlineStr">
        <is>
          <t>Gloria Osorio Montes</t>
        </is>
      </c>
      <c r="C2234" t="inlineStr">
        <is>
          <t>3234347729</t>
        </is>
      </c>
      <c r="D2234" t="inlineStr">
        <is>
          <t>gloria.osorio74@yahoo.com</t>
        </is>
      </c>
      <c r="E2234" t="inlineStr">
        <is>
          <t>Itagüí</t>
        </is>
      </c>
      <c r="F2234" t="inlineStr">
        <is>
          <t>PRY-005</t>
        </is>
      </c>
      <c r="G2234" t="inlineStr">
        <is>
          <t>Llamada directa</t>
        </is>
      </c>
      <c r="H2234" t="inlineStr">
        <is>
          <t>Daniela Ríos</t>
        </is>
      </c>
      <c r="I2234" t="inlineStr">
        <is>
          <t>Perdido</t>
        </is>
      </c>
      <c r="J2234" s="28" t="n">
        <v>45958</v>
      </c>
      <c r="K2234" s="28" t="n">
        <v>45985</v>
      </c>
      <c r="L2234" t="inlineStr">
        <is>
          <t>Sin respuesta tras 3 contactos</t>
        </is>
      </c>
    </row>
    <row r="2235">
      <c r="A2235" t="inlineStr">
        <is>
          <t>CLI-2233</t>
        </is>
      </c>
      <c r="B2235" t="inlineStr">
        <is>
          <t>Sebastián López Ramírez</t>
        </is>
      </c>
      <c r="C2235" t="inlineStr">
        <is>
          <t>3001260055</t>
        </is>
      </c>
      <c r="D2235" t="inlineStr">
        <is>
          <t>sebastian.lopez47@yahoo.com</t>
        </is>
      </c>
      <c r="E2235" t="inlineStr">
        <is>
          <t>Bello</t>
        </is>
      </c>
      <c r="F2235" t="inlineStr">
        <is>
          <t>PRY-005</t>
        </is>
      </c>
      <c r="G2235" t="inlineStr">
        <is>
          <t>Feria Inmobiliaria</t>
        </is>
      </c>
      <c r="H2235" t="inlineStr">
        <is>
          <t>Luis Bedoya</t>
        </is>
      </c>
      <c r="I2235" t="inlineStr">
        <is>
          <t>Perdido</t>
        </is>
      </c>
      <c r="J2235" s="28" t="n">
        <v>45959</v>
      </c>
      <c r="K2235" s="28" t="n">
        <v>45984</v>
      </c>
      <c r="L2235" t="inlineStr">
        <is>
          <t>No calificó para crédito</t>
        </is>
      </c>
    </row>
    <row r="2236">
      <c r="A2236" t="inlineStr">
        <is>
          <t>CLI-2234</t>
        </is>
      </c>
      <c r="B2236" t="inlineStr">
        <is>
          <t>Gabriel Valencia Toro</t>
        </is>
      </c>
      <c r="C2236" t="inlineStr">
        <is>
          <t>3223937658</t>
        </is>
      </c>
      <c r="D2236" t="inlineStr">
        <is>
          <t>gabriel.valencia32@gmail.com</t>
        </is>
      </c>
      <c r="E2236" t="inlineStr">
        <is>
          <t>Itagüí</t>
        </is>
      </c>
      <c r="F2236" t="inlineStr">
        <is>
          <t>PRY-001</t>
        </is>
      </c>
      <c r="G2236" t="inlineStr">
        <is>
          <t>Llamada directa</t>
        </is>
      </c>
      <c r="H2236" t="inlineStr">
        <is>
          <t>Luis Bedoya</t>
        </is>
      </c>
      <c r="I2236" t="inlineStr">
        <is>
          <t>Ganado</t>
        </is>
      </c>
      <c r="J2236" s="28" t="n">
        <v>45960</v>
      </c>
      <c r="K2236" s="28" t="n">
        <v>46046</v>
      </c>
      <c r="L2236" t="inlineStr">
        <is>
          <t>Compró Apto 206 en Torres del Poblado</t>
        </is>
      </c>
    </row>
    <row r="2237">
      <c r="A2237" t="inlineStr">
        <is>
          <t>CLI-2235</t>
        </is>
      </c>
      <c r="B2237" t="inlineStr">
        <is>
          <t>Daniela Gaviria Vélez</t>
        </is>
      </c>
      <c r="C2237" t="inlineStr">
        <is>
          <t>3138659175</t>
        </is>
      </c>
      <c r="D2237" t="inlineStr">
        <is>
          <t>daniela.gaviria20@yahoo.com</t>
        </is>
      </c>
      <c r="E2237" t="inlineStr">
        <is>
          <t>Sabaneta</t>
        </is>
      </c>
      <c r="F2237" t="inlineStr">
        <is>
          <t>PRY-001</t>
        </is>
      </c>
      <c r="G2237" t="inlineStr">
        <is>
          <t>Referido</t>
        </is>
      </c>
      <c r="H2237" t="inlineStr">
        <is>
          <t>Mateo Herrera</t>
        </is>
      </c>
      <c r="I2237" t="inlineStr">
        <is>
          <t>Perdido</t>
        </is>
      </c>
      <c r="J2237" s="28" t="n">
        <v>45960</v>
      </c>
      <c r="K2237" s="28" t="n">
        <v>45975</v>
      </c>
      <c r="L2237" t="inlineStr">
        <is>
          <t>Sin respuesta tras 3 contactos</t>
        </is>
      </c>
    </row>
    <row r="2238">
      <c r="A2238" t="inlineStr">
        <is>
          <t>CLI-2236</t>
        </is>
      </c>
      <c r="B2238" t="inlineStr">
        <is>
          <t>Óscar Salazar Vélez</t>
        </is>
      </c>
      <c r="C2238" t="inlineStr">
        <is>
          <t>3047808057</t>
        </is>
      </c>
      <c r="D2238" t="inlineStr">
        <is>
          <t>oscar.salazar4@gmail.com</t>
        </is>
      </c>
      <c r="E2238" t="inlineStr">
        <is>
          <t>Envigado</t>
        </is>
      </c>
      <c r="F2238" t="inlineStr">
        <is>
          <t>PRY-007</t>
        </is>
      </c>
      <c r="G2238" t="inlineStr">
        <is>
          <t>Instagram</t>
        </is>
      </c>
      <c r="H2238" t="inlineStr">
        <is>
          <t>Andrés Torres</t>
        </is>
      </c>
      <c r="I2238" t="inlineStr">
        <is>
          <t>Perdido</t>
        </is>
      </c>
      <c r="J2238" s="28" t="n">
        <v>45960</v>
      </c>
      <c r="K2238" s="28" t="n">
        <v>45971</v>
      </c>
      <c r="L2238" t="inlineStr">
        <is>
          <t>Datos de contacto errados</t>
        </is>
      </c>
    </row>
    <row r="2239">
      <c r="A2239" t="inlineStr">
        <is>
          <t>CLI-2237</t>
        </is>
      </c>
      <c r="B2239" t="inlineStr">
        <is>
          <t>Paula Cano Montoya</t>
        </is>
      </c>
      <c r="C2239" t="inlineStr">
        <is>
          <t>3151838548</t>
        </is>
      </c>
      <c r="D2239" t="inlineStr">
        <is>
          <t>paula.cano18@hotmail.com</t>
        </is>
      </c>
      <c r="E2239" t="inlineStr">
        <is>
          <t>Itagüí</t>
        </is>
      </c>
      <c r="F2239" t="inlineStr">
        <is>
          <t>PRY-001</t>
        </is>
      </c>
      <c r="G2239" t="inlineStr">
        <is>
          <t>Portal Web</t>
        </is>
      </c>
      <c r="H2239" t="inlineStr">
        <is>
          <t>Juliana Vélez</t>
        </is>
      </c>
      <c r="I2239" t="inlineStr">
        <is>
          <t>Perdido</t>
        </is>
      </c>
      <c r="J2239" s="28" t="n">
        <v>45961</v>
      </c>
      <c r="K2239" s="28" t="n">
        <v>45976</v>
      </c>
      <c r="L2239" t="inlineStr">
        <is>
          <t>Sin respuesta tras 3 contactos</t>
        </is>
      </c>
    </row>
    <row r="2240">
      <c r="A2240" t="inlineStr">
        <is>
          <t>CLI-2238</t>
        </is>
      </c>
      <c r="B2240" t="inlineStr">
        <is>
          <t>Nicolás Sánchez Palacio</t>
        </is>
      </c>
      <c r="C2240" t="inlineStr">
        <is>
          <t>3171728258</t>
        </is>
      </c>
      <c r="D2240" t="inlineStr">
        <is>
          <t>nicolas.sanchez96@hotmail.com</t>
        </is>
      </c>
      <c r="E2240" t="inlineStr">
        <is>
          <t>Rionegro</t>
        </is>
      </c>
      <c r="F2240" t="inlineStr">
        <is>
          <t>PRY-007</t>
        </is>
      </c>
      <c r="G2240" t="inlineStr">
        <is>
          <t>Facebook</t>
        </is>
      </c>
      <c r="H2240" t="inlineStr">
        <is>
          <t>Andrés Torres</t>
        </is>
      </c>
      <c r="I2240" t="inlineStr">
        <is>
          <t>Perdido</t>
        </is>
      </c>
      <c r="J2240" s="28" t="n">
        <v>45961</v>
      </c>
      <c r="K2240" s="28" t="n">
        <v>45989</v>
      </c>
      <c r="L2240" t="inlineStr">
        <is>
          <t>Sin respuesta tras 3 contactos</t>
        </is>
      </c>
    </row>
    <row r="2241">
      <c r="A2241" t="inlineStr">
        <is>
          <t>CLI-2239</t>
        </is>
      </c>
      <c r="B2241" t="inlineStr">
        <is>
          <t>Óscar Hernández Mejía</t>
        </is>
      </c>
      <c r="C2241" t="inlineStr">
        <is>
          <t>3202585384</t>
        </is>
      </c>
      <c r="D2241" t="inlineStr">
        <is>
          <t>oscar.hernandez62@outlook.com</t>
        </is>
      </c>
      <c r="E2241" t="inlineStr">
        <is>
          <t>Itagüí</t>
        </is>
      </c>
      <c r="F2241" t="inlineStr">
        <is>
          <t>PRY-008</t>
        </is>
      </c>
      <c r="G2241" t="inlineStr">
        <is>
          <t>Portal Web</t>
        </is>
      </c>
      <c r="H2241" t="inlineStr">
        <is>
          <t>Sofía Prada</t>
        </is>
      </c>
      <c r="I2241" t="inlineStr">
        <is>
          <t>Ganado</t>
        </is>
      </c>
      <c r="J2241" s="28" t="n">
        <v>45962</v>
      </c>
      <c r="K2241" s="28" t="n">
        <v>46044</v>
      </c>
      <c r="L2241" t="inlineStr">
        <is>
          <t>Compró Casa 73 en Valle Verde Itagüí</t>
        </is>
      </c>
    </row>
    <row r="2242">
      <c r="A2242" t="inlineStr">
        <is>
          <t>CLI-2240</t>
        </is>
      </c>
      <c r="B2242" t="inlineStr">
        <is>
          <t>Andrés Toro Quintero</t>
        </is>
      </c>
      <c r="C2242" t="inlineStr">
        <is>
          <t>3245053283</t>
        </is>
      </c>
      <c r="D2242" t="inlineStr">
        <is>
          <t>andres.toro70@yahoo.com</t>
        </is>
      </c>
      <c r="E2242" t="inlineStr">
        <is>
          <t>Envigado</t>
        </is>
      </c>
      <c r="F2242" t="inlineStr">
        <is>
          <t>PRY-005</t>
        </is>
      </c>
      <c r="G2242" t="inlineStr">
        <is>
          <t>Instagram</t>
        </is>
      </c>
      <c r="H2242" t="inlineStr">
        <is>
          <t>Ana Quintero</t>
        </is>
      </c>
      <c r="I2242" t="inlineStr">
        <is>
          <t>Ganado</t>
        </is>
      </c>
      <c r="J2242" s="28" t="n">
        <v>45962</v>
      </c>
      <c r="K2242" s="28" t="n">
        <v>46080</v>
      </c>
      <c r="L2242" t="inlineStr">
        <is>
          <t>Compró Apto 1006 en Ciudadela Rionegro</t>
        </is>
      </c>
    </row>
    <row r="2243">
      <c r="A2243" t="inlineStr">
        <is>
          <t>CLI-2241</t>
        </is>
      </c>
      <c r="B2243" t="inlineStr">
        <is>
          <t>Katherine Ríos Peláez</t>
        </is>
      </c>
      <c r="C2243" t="inlineStr">
        <is>
          <t>3201344298</t>
        </is>
      </c>
      <c r="D2243" t="inlineStr">
        <is>
          <t>katherine.rios76@yahoo.com</t>
        </is>
      </c>
      <c r="E2243" t="inlineStr">
        <is>
          <t>Envigado</t>
        </is>
      </c>
      <c r="F2243" t="inlineStr">
        <is>
          <t>PRY-006</t>
        </is>
      </c>
      <c r="G2243" t="inlineStr">
        <is>
          <t>Facebook</t>
        </is>
      </c>
      <c r="H2243" t="inlineStr">
        <is>
          <t>Mateo Herrera</t>
        </is>
      </c>
      <c r="I2243" t="inlineStr">
        <is>
          <t>Perdido</t>
        </is>
      </c>
      <c r="J2243" s="28" t="n">
        <v>45962</v>
      </c>
      <c r="K2243" s="28" t="n">
        <v>45976</v>
      </c>
      <c r="L2243" t="inlineStr">
        <is>
          <t>Presupuesto insuficiente</t>
        </is>
      </c>
    </row>
    <row r="2244">
      <c r="A2244" t="inlineStr">
        <is>
          <t>CLI-2242</t>
        </is>
      </c>
      <c r="B2244" t="inlineStr">
        <is>
          <t>Lorena Espinosa Valencia</t>
        </is>
      </c>
      <c r="C2244" t="inlineStr">
        <is>
          <t>3014256678</t>
        </is>
      </c>
      <c r="D2244" t="inlineStr">
        <is>
          <t>lorena.espinosa34@gmail.com</t>
        </is>
      </c>
      <c r="E2244" t="inlineStr">
        <is>
          <t>Itagüí</t>
        </is>
      </c>
      <c r="F2244" t="inlineStr">
        <is>
          <t>PRY-006</t>
        </is>
      </c>
      <c r="G2244" t="inlineStr">
        <is>
          <t>Portal Web</t>
        </is>
      </c>
      <c r="H2244" t="inlineStr">
        <is>
          <t>Juliana Vélez</t>
        </is>
      </c>
      <c r="I2244" t="inlineStr">
        <is>
          <t>Perdido</t>
        </is>
      </c>
      <c r="J2244" s="28" t="n">
        <v>45962</v>
      </c>
      <c r="K2244" s="28" t="n">
        <v>45974</v>
      </c>
      <c r="L2244" t="inlineStr">
        <is>
          <t>Buscaba arriendo, no compra</t>
        </is>
      </c>
    </row>
    <row r="2245">
      <c r="A2245" t="inlineStr">
        <is>
          <t>CLI-2243</t>
        </is>
      </c>
      <c r="B2245" t="inlineStr">
        <is>
          <t>Juan Pablo Jaramillo Jaramillo</t>
        </is>
      </c>
      <c r="C2245" t="inlineStr">
        <is>
          <t>3012038498</t>
        </is>
      </c>
      <c r="D2245" t="inlineStr">
        <is>
          <t>juan.jaramillo66@gmail.com</t>
        </is>
      </c>
      <c r="E2245" t="inlineStr">
        <is>
          <t>Medellín</t>
        </is>
      </c>
      <c r="F2245" t="inlineStr">
        <is>
          <t>PRY-001</t>
        </is>
      </c>
      <c r="G2245" t="inlineStr">
        <is>
          <t>Llamada directa</t>
        </is>
      </c>
      <c r="H2245" t="inlineStr">
        <is>
          <t>Mateo Herrera</t>
        </is>
      </c>
      <c r="I2245" t="inlineStr">
        <is>
          <t>Perdido</t>
        </is>
      </c>
      <c r="J2245" s="28" t="n">
        <v>45962</v>
      </c>
      <c r="K2245" s="28" t="n">
        <v>45992</v>
      </c>
      <c r="L2245" t="inlineStr">
        <is>
          <t>Presupuesto insuficiente</t>
        </is>
      </c>
    </row>
    <row r="2246">
      <c r="A2246" t="inlineStr">
        <is>
          <t>CLI-2244</t>
        </is>
      </c>
      <c r="B2246" t="inlineStr">
        <is>
          <t>Carolina Salcedo Hernández</t>
        </is>
      </c>
      <c r="C2246" t="inlineStr">
        <is>
          <t>3179585485</t>
        </is>
      </c>
      <c r="D2246" t="inlineStr">
        <is>
          <t>carolina.salcedo44@yahoo.com</t>
        </is>
      </c>
      <c r="E2246" t="inlineStr">
        <is>
          <t>Sabaneta</t>
        </is>
      </c>
      <c r="F2246" t="inlineStr">
        <is>
          <t>PRY-008</t>
        </is>
      </c>
      <c r="G2246" t="inlineStr">
        <is>
          <t>Facebook</t>
        </is>
      </c>
      <c r="H2246" t="inlineStr">
        <is>
          <t>Juliana Vélez</t>
        </is>
      </c>
      <c r="I2246" t="inlineStr">
        <is>
          <t>Perdido</t>
        </is>
      </c>
      <c r="J2246" s="28" t="n">
        <v>45962</v>
      </c>
      <c r="K2246" s="28" t="n">
        <v>45992</v>
      </c>
      <c r="L2246" t="inlineStr">
        <is>
          <t>Datos de contacto errados</t>
        </is>
      </c>
    </row>
    <row r="2247">
      <c r="A2247" t="inlineStr">
        <is>
          <t>CLI-2245</t>
        </is>
      </c>
      <c r="B2247" t="inlineStr">
        <is>
          <t>Katherine Castaño Uribe</t>
        </is>
      </c>
      <c r="C2247" t="inlineStr">
        <is>
          <t>3178406485</t>
        </is>
      </c>
      <c r="D2247" t="inlineStr">
        <is>
          <t>katherine.castano60@yahoo.com</t>
        </is>
      </c>
      <c r="E2247" t="inlineStr">
        <is>
          <t>Itagüí</t>
        </is>
      </c>
      <c r="F2247" t="inlineStr">
        <is>
          <t>PRY-005</t>
        </is>
      </c>
      <c r="G2247" t="inlineStr">
        <is>
          <t>Facebook</t>
        </is>
      </c>
      <c r="H2247" t="inlineStr">
        <is>
          <t>Ana Quintero</t>
        </is>
      </c>
      <c r="I2247" t="inlineStr">
        <is>
          <t>Perdido</t>
        </is>
      </c>
      <c r="J2247" s="28" t="n">
        <v>45962</v>
      </c>
      <c r="K2247" s="28" t="n">
        <v>45974</v>
      </c>
      <c r="L2247" t="inlineStr">
        <is>
          <t>No calificó para crédito</t>
        </is>
      </c>
    </row>
    <row r="2248">
      <c r="A2248" t="inlineStr">
        <is>
          <t>CLI-2246</t>
        </is>
      </c>
      <c r="B2248" t="inlineStr">
        <is>
          <t>Laura Uribe Rojas</t>
        </is>
      </c>
      <c r="C2248" t="inlineStr">
        <is>
          <t>3048188292</t>
        </is>
      </c>
      <c r="D2248" t="inlineStr">
        <is>
          <t>laura.uribe73@hotmail.com</t>
        </is>
      </c>
      <c r="E2248" t="inlineStr">
        <is>
          <t>Rionegro</t>
        </is>
      </c>
      <c r="F2248" t="inlineStr">
        <is>
          <t>PRY-001</t>
        </is>
      </c>
      <c r="G2248" t="inlineStr">
        <is>
          <t>Facebook</t>
        </is>
      </c>
      <c r="H2248" t="inlineStr">
        <is>
          <t>Sofía Prada</t>
        </is>
      </c>
      <c r="I2248" t="inlineStr">
        <is>
          <t>Perdido</t>
        </is>
      </c>
      <c r="J2248" s="28" t="n">
        <v>45962</v>
      </c>
      <c r="K2248" s="28" t="n">
        <v>45990</v>
      </c>
      <c r="L2248" t="inlineStr">
        <is>
          <t>Sin respuesta tras 3 contactos</t>
        </is>
      </c>
    </row>
    <row r="2249">
      <c r="A2249" t="inlineStr">
        <is>
          <t>CLI-2247</t>
        </is>
      </c>
      <c r="B2249" t="inlineStr">
        <is>
          <t>Marcela Zuluaga Higuita</t>
        </is>
      </c>
      <c r="C2249" t="inlineStr">
        <is>
          <t>3104254541</t>
        </is>
      </c>
      <c r="D2249" t="inlineStr">
        <is>
          <t>marcela.zuluaga73@outlook.com</t>
        </is>
      </c>
      <c r="E2249" t="inlineStr">
        <is>
          <t>Medellín</t>
        </is>
      </c>
      <c r="F2249" t="inlineStr">
        <is>
          <t>PRY-003</t>
        </is>
      </c>
      <c r="G2249" t="inlineStr">
        <is>
          <t>Portal Web</t>
        </is>
      </c>
      <c r="H2249" t="inlineStr">
        <is>
          <t>Miguel Salazar</t>
        </is>
      </c>
      <c r="I2249" t="inlineStr">
        <is>
          <t>Ganado</t>
        </is>
      </c>
      <c r="J2249" s="28" t="n">
        <v>45963</v>
      </c>
      <c r="K2249" s="28" t="n">
        <v>46055</v>
      </c>
      <c r="L2249" t="inlineStr">
        <is>
          <t>Compró Apto 1404 en Conecta Laureles</t>
        </is>
      </c>
    </row>
    <row r="2250">
      <c r="A2250" t="inlineStr">
        <is>
          <t>CLI-2248</t>
        </is>
      </c>
      <c r="B2250" t="inlineStr">
        <is>
          <t>Hernán Rojas Muñoz</t>
        </is>
      </c>
      <c r="C2250" t="inlineStr">
        <is>
          <t>3042815149</t>
        </is>
      </c>
      <c r="D2250" t="inlineStr">
        <is>
          <t>hernan.rojas88@hotmail.com</t>
        </is>
      </c>
      <c r="E2250" t="inlineStr">
        <is>
          <t>Bello</t>
        </is>
      </c>
      <c r="F2250" t="inlineStr">
        <is>
          <t>PRY-001</t>
        </is>
      </c>
      <c r="G2250" t="inlineStr">
        <is>
          <t>Facebook</t>
        </is>
      </c>
      <c r="H2250" t="inlineStr">
        <is>
          <t>Luis Bedoya</t>
        </is>
      </c>
      <c r="I2250" t="inlineStr">
        <is>
          <t>Ganado</t>
        </is>
      </c>
      <c r="J2250" s="28" t="n">
        <v>45963</v>
      </c>
      <c r="K2250" s="28" t="n">
        <v>46104</v>
      </c>
      <c r="L2250" t="inlineStr">
        <is>
          <t>Compró Apto 604 en Torres del Poblado</t>
        </is>
      </c>
    </row>
    <row r="2251">
      <c r="A2251" t="inlineStr">
        <is>
          <t>CLI-2249</t>
        </is>
      </c>
      <c r="B2251" t="inlineStr">
        <is>
          <t>Felipe Cifuentes Vargas</t>
        </is>
      </c>
      <c r="C2251" t="inlineStr">
        <is>
          <t>3006781210</t>
        </is>
      </c>
      <c r="D2251" t="inlineStr">
        <is>
          <t>felipe.cifuentes48@hotmail.com</t>
        </is>
      </c>
      <c r="E2251" t="inlineStr">
        <is>
          <t>Itagüí</t>
        </is>
      </c>
      <c r="F2251" t="inlineStr">
        <is>
          <t>PRY-008</t>
        </is>
      </c>
      <c r="G2251" t="inlineStr">
        <is>
          <t>Portal Web</t>
        </is>
      </c>
      <c r="H2251" t="inlineStr">
        <is>
          <t>Daniela Ríos</t>
        </is>
      </c>
      <c r="I2251" t="inlineStr">
        <is>
          <t>Perdido</t>
        </is>
      </c>
      <c r="J2251" s="28" t="n">
        <v>45963</v>
      </c>
      <c r="K2251" s="28" t="n">
        <v>45989</v>
      </c>
      <c r="L2251" t="inlineStr">
        <is>
          <t>Presupuesto insuficiente</t>
        </is>
      </c>
    </row>
    <row r="2252">
      <c r="A2252" t="inlineStr">
        <is>
          <t>CLI-2250</t>
        </is>
      </c>
      <c r="B2252" t="inlineStr">
        <is>
          <t>José Bedoya Correa</t>
        </is>
      </c>
      <c r="C2252" t="inlineStr">
        <is>
          <t>3019194368</t>
        </is>
      </c>
      <c r="D2252" t="inlineStr">
        <is>
          <t>jose.bedoya54@yahoo.com</t>
        </is>
      </c>
      <c r="E2252" t="inlineStr">
        <is>
          <t>La Estrella</t>
        </is>
      </c>
      <c r="F2252" t="inlineStr">
        <is>
          <t>PRY-002</t>
        </is>
      </c>
      <c r="G2252" t="inlineStr">
        <is>
          <t>Referido</t>
        </is>
      </c>
      <c r="H2252" t="inlineStr">
        <is>
          <t>Mateo Herrera</t>
        </is>
      </c>
      <c r="I2252" t="inlineStr">
        <is>
          <t>Ganado</t>
        </is>
      </c>
      <c r="J2252" s="28" t="n">
        <v>45964</v>
      </c>
      <c r="K2252" s="28" t="n">
        <v>46117</v>
      </c>
      <c r="L2252" t="inlineStr">
        <is>
          <t>Compró Casa 52 en Reserva Santa Elena</t>
        </is>
      </c>
    </row>
    <row r="2253">
      <c r="A2253" t="inlineStr">
        <is>
          <t>CLI-2251</t>
        </is>
      </c>
      <c r="B2253" t="inlineStr">
        <is>
          <t>Wilson Correa Agudelo</t>
        </is>
      </c>
      <c r="C2253" t="inlineStr">
        <is>
          <t>3105709492</t>
        </is>
      </c>
      <c r="D2253" t="inlineStr">
        <is>
          <t>wilson.correa97@gmail.com</t>
        </is>
      </c>
      <c r="E2253" t="inlineStr">
        <is>
          <t>Medellín</t>
        </is>
      </c>
      <c r="F2253" t="inlineStr">
        <is>
          <t>PRY-003</t>
        </is>
      </c>
      <c r="G2253" t="inlineStr">
        <is>
          <t>Llamada directa</t>
        </is>
      </c>
      <c r="H2253" t="inlineStr">
        <is>
          <t>Santiago Muñoz</t>
        </is>
      </c>
      <c r="I2253" t="inlineStr">
        <is>
          <t>Perdido</t>
        </is>
      </c>
      <c r="J2253" s="28" t="n">
        <v>45964</v>
      </c>
      <c r="K2253" s="28" t="n">
        <v>45987</v>
      </c>
      <c r="L2253" t="inlineStr">
        <is>
          <t>Presupuesto insuficiente</t>
        </is>
      </c>
    </row>
    <row r="2254">
      <c r="A2254" t="inlineStr">
        <is>
          <t>CLI-2252</t>
        </is>
      </c>
      <c r="B2254" t="inlineStr">
        <is>
          <t>Daniela Londoño Ochoa</t>
        </is>
      </c>
      <c r="C2254" t="inlineStr">
        <is>
          <t>3246415095</t>
        </is>
      </c>
      <c r="D2254" t="inlineStr">
        <is>
          <t>daniela.londono37@outlook.com</t>
        </is>
      </c>
      <c r="E2254" t="inlineStr">
        <is>
          <t>Bello</t>
        </is>
      </c>
      <c r="F2254" t="inlineStr">
        <is>
          <t>PRY-005</t>
        </is>
      </c>
      <c r="G2254" t="inlineStr">
        <is>
          <t>Portal Web</t>
        </is>
      </c>
      <c r="H2254" t="inlineStr">
        <is>
          <t>Daniela Ríos</t>
        </is>
      </c>
      <c r="I2254" t="inlineStr">
        <is>
          <t>Perdido</t>
        </is>
      </c>
      <c r="J2254" s="28" t="n">
        <v>45964</v>
      </c>
      <c r="K2254" s="28" t="n">
        <v>45992</v>
      </c>
      <c r="L2254" t="inlineStr">
        <is>
          <t>Sin respuesta tras 3 contactos</t>
        </is>
      </c>
    </row>
    <row r="2255">
      <c r="A2255" t="inlineStr">
        <is>
          <t>CLI-2253</t>
        </is>
      </c>
      <c r="B2255" t="inlineStr">
        <is>
          <t>Daniel Castaño Peláez</t>
        </is>
      </c>
      <c r="C2255" t="inlineStr">
        <is>
          <t>3178142596</t>
        </is>
      </c>
      <c r="D2255" t="inlineStr">
        <is>
          <t>daniel.castano28@gmail.com</t>
        </is>
      </c>
      <c r="E2255" t="inlineStr">
        <is>
          <t>Rionegro</t>
        </is>
      </c>
      <c r="F2255" t="inlineStr">
        <is>
          <t>PRY-005</t>
        </is>
      </c>
      <c r="G2255" t="inlineStr">
        <is>
          <t>Feria Inmobiliaria</t>
        </is>
      </c>
      <c r="H2255" t="inlineStr">
        <is>
          <t>Luis Bedoya</t>
        </is>
      </c>
      <c r="I2255" t="inlineStr">
        <is>
          <t>Perdido</t>
        </is>
      </c>
      <c r="J2255" s="28" t="n">
        <v>45965</v>
      </c>
      <c r="K2255" s="28" t="n">
        <v>45974</v>
      </c>
      <c r="L2255" t="inlineStr">
        <is>
          <t>Datos de contacto errados</t>
        </is>
      </c>
    </row>
    <row r="2256">
      <c r="A2256" t="inlineStr">
        <is>
          <t>CLI-2254</t>
        </is>
      </c>
      <c r="B2256" t="inlineStr">
        <is>
          <t>Jorge Rojas Álvarez</t>
        </is>
      </c>
      <c r="C2256" t="inlineStr">
        <is>
          <t>3241830978</t>
        </is>
      </c>
      <c r="D2256" t="inlineStr">
        <is>
          <t>jorge.rojas90@outlook.com</t>
        </is>
      </c>
      <c r="E2256" t="inlineStr">
        <is>
          <t>Medellín</t>
        </is>
      </c>
      <c r="F2256" t="inlineStr">
        <is>
          <t>PRY-001</t>
        </is>
      </c>
      <c r="G2256" t="inlineStr">
        <is>
          <t>Facebook</t>
        </is>
      </c>
      <c r="H2256" t="inlineStr">
        <is>
          <t>Paula Arenas</t>
        </is>
      </c>
      <c r="I2256" t="inlineStr">
        <is>
          <t>Perdido</t>
        </is>
      </c>
      <c r="J2256" s="28" t="n">
        <v>45965</v>
      </c>
      <c r="K2256" s="28" t="n">
        <v>45973</v>
      </c>
      <c r="L2256" t="inlineStr">
        <is>
          <t>Datos de contacto errados</t>
        </is>
      </c>
    </row>
    <row r="2257">
      <c r="A2257" t="inlineStr">
        <is>
          <t>CLI-2255</t>
        </is>
      </c>
      <c r="B2257" t="inlineStr">
        <is>
          <t>Katherine Salcedo Peláez</t>
        </is>
      </c>
      <c r="C2257" t="inlineStr">
        <is>
          <t>3205507654</t>
        </is>
      </c>
      <c r="D2257" t="inlineStr">
        <is>
          <t>katherine.salcedo61@outlook.com</t>
        </is>
      </c>
      <c r="E2257" t="inlineStr">
        <is>
          <t>Bello</t>
        </is>
      </c>
      <c r="F2257" t="inlineStr">
        <is>
          <t>PRY-006</t>
        </is>
      </c>
      <c r="G2257" t="inlineStr">
        <is>
          <t>Portal Web</t>
        </is>
      </c>
      <c r="H2257" t="inlineStr">
        <is>
          <t>Santiago Muñoz</t>
        </is>
      </c>
      <c r="I2257" t="inlineStr">
        <is>
          <t>Perdido</t>
        </is>
      </c>
      <c r="J2257" s="28" t="n">
        <v>45966</v>
      </c>
      <c r="K2257" s="28" t="n">
        <v>45973</v>
      </c>
      <c r="L2257" t="inlineStr">
        <is>
          <t>Sin respuesta tras 3 contactos</t>
        </is>
      </c>
    </row>
    <row r="2258">
      <c r="A2258" t="inlineStr">
        <is>
          <t>CLI-2256</t>
        </is>
      </c>
      <c r="B2258" t="inlineStr">
        <is>
          <t>Emilio Cano Ríos</t>
        </is>
      </c>
      <c r="C2258" t="inlineStr">
        <is>
          <t>3242038949</t>
        </is>
      </c>
      <c r="D2258" t="inlineStr">
        <is>
          <t>emilio.cano9@yahoo.com</t>
        </is>
      </c>
      <c r="E2258" t="inlineStr">
        <is>
          <t>Medellín</t>
        </is>
      </c>
      <c r="F2258" t="inlineStr">
        <is>
          <t>PRY-008</t>
        </is>
      </c>
      <c r="G2258" t="inlineStr">
        <is>
          <t>Portal Web</t>
        </is>
      </c>
      <c r="H2258" t="inlineStr">
        <is>
          <t>Sofía Prada</t>
        </is>
      </c>
      <c r="I2258" t="inlineStr">
        <is>
          <t>Perdido</t>
        </is>
      </c>
      <c r="J2258" s="28" t="n">
        <v>45966</v>
      </c>
      <c r="K2258" s="28" t="n">
        <v>45994</v>
      </c>
      <c r="L2258" t="inlineStr">
        <is>
          <t>Datos de contacto errados</t>
        </is>
      </c>
    </row>
    <row r="2259">
      <c r="A2259" t="inlineStr">
        <is>
          <t>CLI-2257</t>
        </is>
      </c>
      <c r="B2259" t="inlineStr">
        <is>
          <t>Iván Escobar Vásquez</t>
        </is>
      </c>
      <c r="C2259" t="inlineStr">
        <is>
          <t>3138062126</t>
        </is>
      </c>
      <c r="D2259" t="inlineStr">
        <is>
          <t>ivan.escobar67@outlook.com</t>
        </is>
      </c>
      <c r="E2259" t="inlineStr">
        <is>
          <t>Medellín</t>
        </is>
      </c>
      <c r="F2259" t="inlineStr">
        <is>
          <t>PRY-002</t>
        </is>
      </c>
      <c r="G2259" t="inlineStr">
        <is>
          <t>Instagram</t>
        </is>
      </c>
      <c r="H2259" t="inlineStr">
        <is>
          <t>Andrés Torres</t>
        </is>
      </c>
      <c r="I2259" t="inlineStr">
        <is>
          <t>Perdido</t>
        </is>
      </c>
      <c r="J2259" s="28" t="n">
        <v>45966</v>
      </c>
      <c r="K2259" s="28" t="n">
        <v>45981</v>
      </c>
      <c r="L2259" t="inlineStr">
        <is>
          <t>Sin respuesta tras 3 contactos</t>
        </is>
      </c>
    </row>
    <row r="2260">
      <c r="A2260" t="inlineStr">
        <is>
          <t>CLI-2258</t>
        </is>
      </c>
      <c r="B2260" t="inlineStr">
        <is>
          <t>Paola Álvarez Palacio</t>
        </is>
      </c>
      <c r="C2260" t="inlineStr">
        <is>
          <t>3016125688</t>
        </is>
      </c>
      <c r="D2260" t="inlineStr">
        <is>
          <t>paola.alvarez8@hotmail.com</t>
        </is>
      </c>
      <c r="E2260" t="inlineStr">
        <is>
          <t>Medellín</t>
        </is>
      </c>
      <c r="F2260" t="inlineStr">
        <is>
          <t>PRY-006</t>
        </is>
      </c>
      <c r="G2260" t="inlineStr">
        <is>
          <t>Llamada directa</t>
        </is>
      </c>
      <c r="H2260" t="inlineStr">
        <is>
          <t>Santiago Muñoz</t>
        </is>
      </c>
      <c r="I2260" t="inlineStr">
        <is>
          <t>Perdido</t>
        </is>
      </c>
      <c r="J2260" s="28" t="n">
        <v>45966</v>
      </c>
      <c r="K2260" s="28" t="n">
        <v>45981</v>
      </c>
      <c r="L2260" t="inlineStr">
        <is>
          <t>No calificó para crédito</t>
        </is>
      </c>
    </row>
    <row r="2261">
      <c r="A2261" t="inlineStr">
        <is>
          <t>CLI-2259</t>
        </is>
      </c>
      <c r="B2261" t="inlineStr">
        <is>
          <t>José Zuluaga Franco</t>
        </is>
      </c>
      <c r="C2261" t="inlineStr">
        <is>
          <t>3018413631</t>
        </is>
      </c>
      <c r="D2261" t="inlineStr">
        <is>
          <t>jose.zuluaga2@hotmail.com</t>
        </is>
      </c>
      <c r="E2261" t="inlineStr">
        <is>
          <t>Sabaneta</t>
        </is>
      </c>
      <c r="F2261" t="inlineStr">
        <is>
          <t>PRY-005</t>
        </is>
      </c>
      <c r="G2261" t="inlineStr">
        <is>
          <t>Llamada directa</t>
        </is>
      </c>
      <c r="H2261" t="inlineStr">
        <is>
          <t>Luis Bedoya</t>
        </is>
      </c>
      <c r="I2261" t="inlineStr">
        <is>
          <t>Perdido</t>
        </is>
      </c>
      <c r="J2261" s="28" t="n">
        <v>45966</v>
      </c>
      <c r="K2261" s="28" t="n">
        <v>45981</v>
      </c>
      <c r="L2261" t="inlineStr">
        <is>
          <t>Sin respuesta tras 3 contactos</t>
        </is>
      </c>
    </row>
    <row r="2262">
      <c r="A2262" t="inlineStr">
        <is>
          <t>CLI-2260</t>
        </is>
      </c>
      <c r="B2262" t="inlineStr">
        <is>
          <t>Esteban Jaramillo Quintero</t>
        </is>
      </c>
      <c r="C2262" t="inlineStr">
        <is>
          <t>3133844711</t>
        </is>
      </c>
      <c r="D2262" t="inlineStr">
        <is>
          <t>esteban.jaramillo47@yahoo.com</t>
        </is>
      </c>
      <c r="E2262" t="inlineStr">
        <is>
          <t>Medellín</t>
        </is>
      </c>
      <c r="F2262" t="inlineStr">
        <is>
          <t>PRY-003</t>
        </is>
      </c>
      <c r="G2262" t="inlineStr">
        <is>
          <t>Llamada directa</t>
        </is>
      </c>
      <c r="H2262" t="inlineStr">
        <is>
          <t>Miguel Salazar</t>
        </is>
      </c>
      <c r="I2262" t="inlineStr">
        <is>
          <t>Ganado</t>
        </is>
      </c>
      <c r="J2262" s="28" t="n">
        <v>45967</v>
      </c>
      <c r="K2262" s="28" t="n">
        <v>46040</v>
      </c>
      <c r="L2262" t="inlineStr">
        <is>
          <t>Compró Apto 1701 en Conecta Laureles</t>
        </is>
      </c>
    </row>
    <row r="2263">
      <c r="A2263" t="inlineStr">
        <is>
          <t>CLI-2261</t>
        </is>
      </c>
      <c r="B2263" t="inlineStr">
        <is>
          <t>David Cano Zuluaga</t>
        </is>
      </c>
      <c r="C2263" t="inlineStr">
        <is>
          <t>3138098010</t>
        </is>
      </c>
      <c r="D2263" t="inlineStr">
        <is>
          <t>david.cano88@hotmail.com</t>
        </is>
      </c>
      <c r="E2263" t="inlineStr">
        <is>
          <t>Itagüí</t>
        </is>
      </c>
      <c r="F2263" t="inlineStr">
        <is>
          <t>PRY-008</t>
        </is>
      </c>
      <c r="G2263" t="inlineStr">
        <is>
          <t>Referido</t>
        </is>
      </c>
      <c r="H2263" t="inlineStr">
        <is>
          <t>Luis Bedoya</t>
        </is>
      </c>
      <c r="I2263" t="inlineStr">
        <is>
          <t>Ganado</t>
        </is>
      </c>
      <c r="J2263" s="28" t="n">
        <v>45967</v>
      </c>
      <c r="K2263" s="28" t="n">
        <v>46082</v>
      </c>
      <c r="L2263" t="inlineStr">
        <is>
          <t>Compró Casa 50 en Valle Verde Itagüí</t>
        </is>
      </c>
    </row>
    <row r="2264">
      <c r="A2264" t="inlineStr">
        <is>
          <t>CLI-2262</t>
        </is>
      </c>
      <c r="B2264" t="inlineStr">
        <is>
          <t>Patricia Zuluaga Zapata</t>
        </is>
      </c>
      <c r="C2264" t="inlineStr">
        <is>
          <t>3232099272</t>
        </is>
      </c>
      <c r="D2264" t="inlineStr">
        <is>
          <t>patricia.zuluaga90@yahoo.com</t>
        </is>
      </c>
      <c r="E2264" t="inlineStr">
        <is>
          <t>Medellín</t>
        </is>
      </c>
      <c r="F2264" t="inlineStr">
        <is>
          <t>PRY-001</t>
        </is>
      </c>
      <c r="G2264" t="inlineStr">
        <is>
          <t>Referido</t>
        </is>
      </c>
      <c r="H2264" t="inlineStr">
        <is>
          <t>Miguel Salazar</t>
        </is>
      </c>
      <c r="I2264" t="inlineStr">
        <is>
          <t>Perdido</t>
        </is>
      </c>
      <c r="J2264" s="28" t="n">
        <v>45967</v>
      </c>
      <c r="K2264" s="28" t="n">
        <v>45979</v>
      </c>
      <c r="L2264" t="inlineStr">
        <is>
          <t>No calificó para crédito</t>
        </is>
      </c>
    </row>
    <row r="2265">
      <c r="A2265" t="inlineStr">
        <is>
          <t>CLI-2263</t>
        </is>
      </c>
      <c r="B2265" t="inlineStr">
        <is>
          <t>Valentina Jaramillo Escobar</t>
        </is>
      </c>
      <c r="C2265" t="inlineStr">
        <is>
          <t>3147912760</t>
        </is>
      </c>
      <c r="D2265" t="inlineStr">
        <is>
          <t>valentina.jaramillo95@gmail.com</t>
        </is>
      </c>
      <c r="E2265" t="inlineStr">
        <is>
          <t>Envigado</t>
        </is>
      </c>
      <c r="F2265" t="inlineStr">
        <is>
          <t>PRY-003</t>
        </is>
      </c>
      <c r="G2265" t="inlineStr">
        <is>
          <t>Instagram</t>
        </is>
      </c>
      <c r="H2265" t="inlineStr">
        <is>
          <t>Andrés Torres</t>
        </is>
      </c>
      <c r="I2265" t="inlineStr">
        <is>
          <t>Perdido</t>
        </is>
      </c>
      <c r="J2265" s="28" t="n">
        <v>45967</v>
      </c>
      <c r="K2265" s="28" t="n">
        <v>45975</v>
      </c>
      <c r="L2265" t="inlineStr">
        <is>
          <t>Presupuesto insuficiente</t>
        </is>
      </c>
    </row>
    <row r="2266">
      <c r="A2266" t="inlineStr">
        <is>
          <t>CLI-2264</t>
        </is>
      </c>
      <c r="B2266" t="inlineStr">
        <is>
          <t>Simón Arango Ríos</t>
        </is>
      </c>
      <c r="C2266" t="inlineStr">
        <is>
          <t>3249592273</t>
        </is>
      </c>
      <c r="D2266" t="inlineStr">
        <is>
          <t>simon.arango65@outlook.com</t>
        </is>
      </c>
      <c r="E2266" t="inlineStr">
        <is>
          <t>Medellín</t>
        </is>
      </c>
      <c r="F2266" t="inlineStr">
        <is>
          <t>PRY-002</t>
        </is>
      </c>
      <c r="G2266" t="inlineStr">
        <is>
          <t>Portal Web</t>
        </is>
      </c>
      <c r="H2266" t="inlineStr">
        <is>
          <t>Daniela Ríos</t>
        </is>
      </c>
      <c r="I2266" t="inlineStr">
        <is>
          <t>Perdido</t>
        </is>
      </c>
      <c r="J2266" s="28" t="n">
        <v>45968</v>
      </c>
      <c r="K2266" s="28" t="n">
        <v>45992</v>
      </c>
      <c r="L2266" t="inlineStr">
        <is>
          <t>Datos de contacto errados</t>
        </is>
      </c>
    </row>
    <row r="2267">
      <c r="A2267" t="inlineStr">
        <is>
          <t>CLI-2265</t>
        </is>
      </c>
      <c r="B2267" t="inlineStr">
        <is>
          <t>Hernán Álvarez Toro</t>
        </is>
      </c>
      <c r="C2267" t="inlineStr">
        <is>
          <t>3221785846</t>
        </is>
      </c>
      <c r="D2267" t="inlineStr">
        <is>
          <t>hernan.alvarez50@hotmail.com</t>
        </is>
      </c>
      <c r="E2267" t="inlineStr">
        <is>
          <t>Itagüí</t>
        </is>
      </c>
      <c r="F2267" t="inlineStr">
        <is>
          <t>PRY-008</t>
        </is>
      </c>
      <c r="G2267" t="inlineStr">
        <is>
          <t>Instagram</t>
        </is>
      </c>
      <c r="H2267" t="inlineStr">
        <is>
          <t>Santiago Muñoz</t>
        </is>
      </c>
      <c r="I2267" t="inlineStr">
        <is>
          <t>Perdido</t>
        </is>
      </c>
      <c r="J2267" s="28" t="n">
        <v>45968</v>
      </c>
      <c r="K2267" s="28" t="n">
        <v>45988</v>
      </c>
      <c r="L2267" t="inlineStr">
        <is>
          <t>No calificó para crédito</t>
        </is>
      </c>
    </row>
    <row r="2268">
      <c r="A2268" t="inlineStr">
        <is>
          <t>CLI-2266</t>
        </is>
      </c>
      <c r="B2268" t="inlineStr">
        <is>
          <t>José López Quintero</t>
        </is>
      </c>
      <c r="C2268" t="inlineStr">
        <is>
          <t>3157330890</t>
        </is>
      </c>
      <c r="D2268" t="inlineStr">
        <is>
          <t>jose.lopez39@outlook.com</t>
        </is>
      </c>
      <c r="E2268" t="inlineStr">
        <is>
          <t>Envigado</t>
        </is>
      </c>
      <c r="F2268" t="inlineStr">
        <is>
          <t>PRY-007</t>
        </is>
      </c>
      <c r="G2268" t="inlineStr">
        <is>
          <t>Portal Web</t>
        </is>
      </c>
      <c r="H2268" t="inlineStr">
        <is>
          <t>Luis Bedoya</t>
        </is>
      </c>
      <c r="I2268" t="inlineStr">
        <is>
          <t>Perdido</t>
        </is>
      </c>
      <c r="J2268" s="28" t="n">
        <v>45968</v>
      </c>
      <c r="K2268" s="28" t="n">
        <v>45979</v>
      </c>
      <c r="L2268" t="inlineStr">
        <is>
          <t>No calificó para crédito</t>
        </is>
      </c>
    </row>
    <row r="2269">
      <c r="A2269" t="inlineStr">
        <is>
          <t>CLI-2267</t>
        </is>
      </c>
      <c r="B2269" t="inlineStr">
        <is>
          <t>Natalia Gómez Ramírez</t>
        </is>
      </c>
      <c r="C2269" t="inlineStr">
        <is>
          <t>3227354429</t>
        </is>
      </c>
      <c r="D2269" t="inlineStr">
        <is>
          <t>natalia.gomez57@outlook.com</t>
        </is>
      </c>
      <c r="E2269" t="inlineStr">
        <is>
          <t>Rionegro</t>
        </is>
      </c>
      <c r="F2269" t="inlineStr">
        <is>
          <t>PRY-005</t>
        </is>
      </c>
      <c r="G2269" t="inlineStr">
        <is>
          <t>Referido</t>
        </is>
      </c>
      <c r="H2269" t="inlineStr">
        <is>
          <t>Andrés Torres</t>
        </is>
      </c>
      <c r="I2269" t="inlineStr">
        <is>
          <t>Ganado</t>
        </is>
      </c>
      <c r="J2269" s="28" t="n">
        <v>45969</v>
      </c>
      <c r="K2269" s="28" t="n">
        <v>46121</v>
      </c>
      <c r="L2269" t="inlineStr">
        <is>
          <t>Compró Apto 905 en Ciudadela Rionegro</t>
        </is>
      </c>
    </row>
    <row r="2270">
      <c r="A2270" t="inlineStr">
        <is>
          <t>CLI-2268</t>
        </is>
      </c>
      <c r="B2270" t="inlineStr">
        <is>
          <t>María Mejía Echeverri</t>
        </is>
      </c>
      <c r="C2270" t="inlineStr">
        <is>
          <t>3223098263</t>
        </is>
      </c>
      <c r="D2270" t="inlineStr">
        <is>
          <t>maria.mejia82@hotmail.com</t>
        </is>
      </c>
      <c r="E2270" t="inlineStr">
        <is>
          <t>Envigado</t>
        </is>
      </c>
      <c r="F2270" t="inlineStr">
        <is>
          <t>PRY-007</t>
        </is>
      </c>
      <c r="G2270" t="inlineStr">
        <is>
          <t>Portal Web</t>
        </is>
      </c>
      <c r="H2270" t="inlineStr">
        <is>
          <t>Paula Arenas</t>
        </is>
      </c>
      <c r="I2270" t="inlineStr">
        <is>
          <t>Perdido</t>
        </is>
      </c>
      <c r="J2270" s="28" t="n">
        <v>45969</v>
      </c>
      <c r="K2270" s="28" t="n">
        <v>45980</v>
      </c>
      <c r="L2270" t="inlineStr">
        <is>
          <t>Sin respuesta tras 3 contactos</t>
        </is>
      </c>
    </row>
    <row r="2271">
      <c r="A2271" t="inlineStr">
        <is>
          <t>CLI-2269</t>
        </is>
      </c>
      <c r="B2271" t="inlineStr">
        <is>
          <t>Ximena Arango Cano</t>
        </is>
      </c>
      <c r="C2271" t="inlineStr">
        <is>
          <t>3041066251</t>
        </is>
      </c>
      <c r="D2271" t="inlineStr">
        <is>
          <t>ximena.arango13@outlook.com</t>
        </is>
      </c>
      <c r="E2271" t="inlineStr">
        <is>
          <t>Medellín</t>
        </is>
      </c>
      <c r="F2271" t="inlineStr">
        <is>
          <t>PRY-001</t>
        </is>
      </c>
      <c r="G2271" t="inlineStr">
        <is>
          <t>Facebook</t>
        </is>
      </c>
      <c r="H2271" t="inlineStr">
        <is>
          <t>Juliana Vélez</t>
        </is>
      </c>
      <c r="I2271" t="inlineStr">
        <is>
          <t>Perdido</t>
        </is>
      </c>
      <c r="J2271" s="28" t="n">
        <v>45969</v>
      </c>
      <c r="K2271" s="28" t="n">
        <v>45976</v>
      </c>
      <c r="L2271" t="inlineStr">
        <is>
          <t>Sin respuesta tras 3 contactos</t>
        </is>
      </c>
    </row>
    <row r="2272">
      <c r="A2272" t="inlineStr">
        <is>
          <t>CLI-2270</t>
        </is>
      </c>
      <c r="B2272" t="inlineStr">
        <is>
          <t>Valentina Cifuentes Zuluaga</t>
        </is>
      </c>
      <c r="C2272" t="inlineStr">
        <is>
          <t>3227209942</t>
        </is>
      </c>
      <c r="D2272" t="inlineStr">
        <is>
          <t>valentina.cifuentes45@hotmail.com</t>
        </is>
      </c>
      <c r="E2272" t="inlineStr">
        <is>
          <t>Itagüí</t>
        </is>
      </c>
      <c r="F2272" t="inlineStr">
        <is>
          <t>PRY-008</t>
        </is>
      </c>
      <c r="G2272" t="inlineStr">
        <is>
          <t>Instagram</t>
        </is>
      </c>
      <c r="H2272" t="inlineStr">
        <is>
          <t>Ana Quintero</t>
        </is>
      </c>
      <c r="I2272" t="inlineStr">
        <is>
          <t>Perdido</t>
        </is>
      </c>
      <c r="J2272" s="28" t="n">
        <v>45969</v>
      </c>
      <c r="K2272" s="28" t="n">
        <v>45975</v>
      </c>
      <c r="L2272" t="inlineStr">
        <is>
          <t>Sin respuesta tras 3 contactos</t>
        </is>
      </c>
    </row>
    <row r="2273">
      <c r="A2273" t="inlineStr">
        <is>
          <t>CLI-2271</t>
        </is>
      </c>
      <c r="B2273" t="inlineStr">
        <is>
          <t>Camila Salcedo Cardona</t>
        </is>
      </c>
      <c r="C2273" t="inlineStr">
        <is>
          <t>3244882855</t>
        </is>
      </c>
      <c r="D2273" t="inlineStr">
        <is>
          <t>camila.salcedo4@yahoo.com</t>
        </is>
      </c>
      <c r="E2273" t="inlineStr">
        <is>
          <t>Medellín</t>
        </is>
      </c>
      <c r="F2273" t="inlineStr">
        <is>
          <t>PRY-003</t>
        </is>
      </c>
      <c r="G2273" t="inlineStr">
        <is>
          <t>Llamada directa</t>
        </is>
      </c>
      <c r="H2273" t="inlineStr">
        <is>
          <t>Santiago Muñoz</t>
        </is>
      </c>
      <c r="I2273" t="inlineStr">
        <is>
          <t>Ganado</t>
        </is>
      </c>
      <c r="J2273" s="28" t="n">
        <v>45970</v>
      </c>
      <c r="K2273" s="28" t="n">
        <v>46093</v>
      </c>
      <c r="L2273" t="inlineStr">
        <is>
          <t>Compró Apto 2104 en Conecta Laureles</t>
        </is>
      </c>
    </row>
    <row r="2274">
      <c r="A2274" t="inlineStr">
        <is>
          <t>CLI-2272</t>
        </is>
      </c>
      <c r="B2274" t="inlineStr">
        <is>
          <t>Jhon Duque Ríos</t>
        </is>
      </c>
      <c r="C2274" t="inlineStr">
        <is>
          <t>3231378016</t>
        </is>
      </c>
      <c r="D2274" t="inlineStr">
        <is>
          <t>jhon.duque57@hotmail.com</t>
        </is>
      </c>
      <c r="E2274" t="inlineStr">
        <is>
          <t>Itagüí</t>
        </is>
      </c>
      <c r="F2274" t="inlineStr">
        <is>
          <t>PRY-005</t>
        </is>
      </c>
      <c r="G2274" t="inlineStr">
        <is>
          <t>Llamada directa</t>
        </is>
      </c>
      <c r="H2274" t="inlineStr">
        <is>
          <t>Ana Quintero</t>
        </is>
      </c>
      <c r="I2274" t="inlineStr">
        <is>
          <t>Ganado</t>
        </is>
      </c>
      <c r="J2274" s="28" t="n">
        <v>45970</v>
      </c>
      <c r="K2274" s="28" t="n">
        <v>46134</v>
      </c>
      <c r="L2274" t="inlineStr">
        <is>
          <t>Compró Apto 1104 en Ciudadela Rionegro</t>
        </is>
      </c>
    </row>
    <row r="2275">
      <c r="A2275" t="inlineStr">
        <is>
          <t>CLI-2273</t>
        </is>
      </c>
      <c r="B2275" t="inlineStr">
        <is>
          <t>José Escobar Sánchez</t>
        </is>
      </c>
      <c r="C2275" t="inlineStr">
        <is>
          <t>3145612262</t>
        </is>
      </c>
      <c r="D2275" t="inlineStr">
        <is>
          <t>jose.escobar73@outlook.com</t>
        </is>
      </c>
      <c r="E2275" t="inlineStr">
        <is>
          <t>Medellín</t>
        </is>
      </c>
      <c r="F2275" t="inlineStr">
        <is>
          <t>PRY-001</t>
        </is>
      </c>
      <c r="G2275" t="inlineStr">
        <is>
          <t>Portal Web</t>
        </is>
      </c>
      <c r="H2275" t="inlineStr">
        <is>
          <t>Paula Arenas</t>
        </is>
      </c>
      <c r="I2275" t="inlineStr">
        <is>
          <t>Ganado</t>
        </is>
      </c>
      <c r="J2275" s="28" t="n">
        <v>45970</v>
      </c>
      <c r="K2275" s="28" t="n">
        <v>46133</v>
      </c>
      <c r="L2275" t="inlineStr">
        <is>
          <t>Compró Apto 1904 en Torres del Poblado</t>
        </is>
      </c>
    </row>
    <row r="2276">
      <c r="A2276" t="inlineStr">
        <is>
          <t>CLI-2274</t>
        </is>
      </c>
      <c r="B2276" t="inlineStr">
        <is>
          <t>Rodrigo Betancur Correa</t>
        </is>
      </c>
      <c r="C2276" t="inlineStr">
        <is>
          <t>3172084515</t>
        </is>
      </c>
      <c r="D2276" t="inlineStr">
        <is>
          <t>rodrigo.betancur65@outlook.com</t>
        </is>
      </c>
      <c r="E2276" t="inlineStr">
        <is>
          <t>Medellín</t>
        </is>
      </c>
      <c r="F2276" t="inlineStr">
        <is>
          <t>PRY-001</t>
        </is>
      </c>
      <c r="G2276" t="inlineStr">
        <is>
          <t>Instagram</t>
        </is>
      </c>
      <c r="H2276" t="inlineStr">
        <is>
          <t>Luis Bedoya</t>
        </is>
      </c>
      <c r="I2276" t="inlineStr">
        <is>
          <t>Perdido</t>
        </is>
      </c>
      <c r="J2276" s="28" t="n">
        <v>45970</v>
      </c>
      <c r="K2276" s="28" t="n">
        <v>45995</v>
      </c>
      <c r="L2276" t="inlineStr">
        <is>
          <t>Datos de contacto errados</t>
        </is>
      </c>
    </row>
    <row r="2277">
      <c r="A2277" t="inlineStr">
        <is>
          <t>CLI-2275</t>
        </is>
      </c>
      <c r="B2277" t="inlineStr">
        <is>
          <t>Lorena Echeverri Valencia</t>
        </is>
      </c>
      <c r="C2277" t="inlineStr">
        <is>
          <t>3206211724</t>
        </is>
      </c>
      <c r="D2277" t="inlineStr">
        <is>
          <t>lorena.echeverri56@yahoo.com</t>
        </is>
      </c>
      <c r="E2277" t="inlineStr">
        <is>
          <t>Sabaneta</t>
        </is>
      </c>
      <c r="F2277" t="inlineStr">
        <is>
          <t>PRY-001</t>
        </is>
      </c>
      <c r="G2277" t="inlineStr">
        <is>
          <t>Llamada directa</t>
        </is>
      </c>
      <c r="H2277" t="inlineStr">
        <is>
          <t>Miguel Salazar</t>
        </is>
      </c>
      <c r="I2277" t="inlineStr">
        <is>
          <t>Perdido</t>
        </is>
      </c>
      <c r="J2277" s="28" t="n">
        <v>45970</v>
      </c>
      <c r="K2277" s="28" t="n">
        <v>45991</v>
      </c>
      <c r="L2277" t="inlineStr">
        <is>
          <t>Presupuesto insuficiente</t>
        </is>
      </c>
    </row>
    <row r="2278">
      <c r="A2278" t="inlineStr">
        <is>
          <t>CLI-2276</t>
        </is>
      </c>
      <c r="B2278" t="inlineStr">
        <is>
          <t>David Franco Vargas</t>
        </is>
      </c>
      <c r="C2278" t="inlineStr">
        <is>
          <t>3234205824</t>
        </is>
      </c>
      <c r="D2278" t="inlineStr">
        <is>
          <t>david.franco54@hotmail.com</t>
        </is>
      </c>
      <c r="E2278" t="inlineStr">
        <is>
          <t>La Estrella</t>
        </is>
      </c>
      <c r="F2278" t="inlineStr">
        <is>
          <t>PRY-002</t>
        </is>
      </c>
      <c r="G2278" t="inlineStr">
        <is>
          <t>Portal Web</t>
        </is>
      </c>
      <c r="H2278" t="inlineStr">
        <is>
          <t>Sofía Prada</t>
        </is>
      </c>
      <c r="I2278" t="inlineStr">
        <is>
          <t>Perdido</t>
        </is>
      </c>
      <c r="J2278" s="28" t="n">
        <v>45971</v>
      </c>
      <c r="K2278" s="28" t="n">
        <v>45982</v>
      </c>
      <c r="L2278" t="inlineStr">
        <is>
          <t>No calificó para crédito</t>
        </is>
      </c>
    </row>
    <row r="2279">
      <c r="A2279" t="inlineStr">
        <is>
          <t>CLI-2277</t>
        </is>
      </c>
      <c r="B2279" t="inlineStr">
        <is>
          <t>Diego Rojas Gómez</t>
        </is>
      </c>
      <c r="C2279" t="inlineStr">
        <is>
          <t>3154190783</t>
        </is>
      </c>
      <c r="D2279" t="inlineStr">
        <is>
          <t>diego.rojas98@hotmail.com</t>
        </is>
      </c>
      <c r="E2279" t="inlineStr">
        <is>
          <t>Itagüí</t>
        </is>
      </c>
      <c r="F2279" t="inlineStr">
        <is>
          <t>PRY-008</t>
        </is>
      </c>
      <c r="G2279" t="inlineStr">
        <is>
          <t>Instagram</t>
        </is>
      </c>
      <c r="H2279" t="inlineStr">
        <is>
          <t>Daniela Ríos</t>
        </is>
      </c>
      <c r="I2279" t="inlineStr">
        <is>
          <t>Perdido</t>
        </is>
      </c>
      <c r="J2279" s="28" t="n">
        <v>45971</v>
      </c>
      <c r="K2279" s="28" t="n">
        <v>45999</v>
      </c>
      <c r="L2279" t="inlineStr">
        <is>
          <t>Sin respuesta tras 3 contactos</t>
        </is>
      </c>
    </row>
    <row r="2280">
      <c r="A2280" t="inlineStr">
        <is>
          <t>CLI-2278</t>
        </is>
      </c>
      <c r="B2280" t="inlineStr">
        <is>
          <t>Tomás Zapata Cardona</t>
        </is>
      </c>
      <c r="C2280" t="inlineStr">
        <is>
          <t>3149782120</t>
        </is>
      </c>
      <c r="D2280" t="inlineStr">
        <is>
          <t>tomas.zapata28@yahoo.com</t>
        </is>
      </c>
      <c r="E2280" t="inlineStr">
        <is>
          <t>Envigado</t>
        </is>
      </c>
      <c r="F2280" t="inlineStr">
        <is>
          <t>PRY-007</t>
        </is>
      </c>
      <c r="G2280" t="inlineStr">
        <is>
          <t>Portal Web</t>
        </is>
      </c>
      <c r="H2280" t="inlineStr">
        <is>
          <t>Ana Quintero</t>
        </is>
      </c>
      <c r="I2280" t="inlineStr">
        <is>
          <t>Perdido</t>
        </is>
      </c>
      <c r="J2280" s="28" t="n">
        <v>45971</v>
      </c>
      <c r="K2280" s="28" t="n">
        <v>45995</v>
      </c>
      <c r="L2280" t="inlineStr">
        <is>
          <t>Sin respuesta tras 3 contactos</t>
        </is>
      </c>
    </row>
    <row r="2281">
      <c r="A2281" t="inlineStr">
        <is>
          <t>CLI-2279</t>
        </is>
      </c>
      <c r="B2281" t="inlineStr">
        <is>
          <t>Lorena Henao Valencia</t>
        </is>
      </c>
      <c r="C2281" t="inlineStr">
        <is>
          <t>3013805468</t>
        </is>
      </c>
      <c r="D2281" t="inlineStr">
        <is>
          <t>lorena.henao16@yahoo.com</t>
        </is>
      </c>
      <c r="E2281" t="inlineStr">
        <is>
          <t>Envigado</t>
        </is>
      </c>
      <c r="F2281" t="inlineStr">
        <is>
          <t>PRY-007</t>
        </is>
      </c>
      <c r="G2281" t="inlineStr">
        <is>
          <t>Feria Inmobiliaria</t>
        </is>
      </c>
      <c r="H2281" t="inlineStr">
        <is>
          <t>Juliana Vélez</t>
        </is>
      </c>
      <c r="I2281" t="inlineStr">
        <is>
          <t>Perdido</t>
        </is>
      </c>
      <c r="J2281" s="28" t="n">
        <v>45971</v>
      </c>
      <c r="K2281" s="28" t="n">
        <v>45984</v>
      </c>
      <c r="L2281" t="inlineStr">
        <is>
          <t>No calificó para crédito</t>
        </is>
      </c>
    </row>
    <row r="2282">
      <c r="A2282" t="inlineStr">
        <is>
          <t>CLI-2280</t>
        </is>
      </c>
      <c r="B2282" t="inlineStr">
        <is>
          <t>Luisa Hernández Castaño</t>
        </is>
      </c>
      <c r="C2282" t="inlineStr">
        <is>
          <t>3147102580</t>
        </is>
      </c>
      <c r="D2282" t="inlineStr">
        <is>
          <t>luisa.hernandez45@yahoo.com</t>
        </is>
      </c>
      <c r="E2282" t="inlineStr">
        <is>
          <t>Envigado</t>
        </is>
      </c>
      <c r="F2282" t="inlineStr">
        <is>
          <t>PRY-007</t>
        </is>
      </c>
      <c r="G2282" t="inlineStr">
        <is>
          <t>Instagram</t>
        </is>
      </c>
      <c r="H2282" t="inlineStr">
        <is>
          <t>Miguel Salazar</t>
        </is>
      </c>
      <c r="I2282" t="inlineStr">
        <is>
          <t>Perdido</t>
        </is>
      </c>
      <c r="J2282" s="28" t="n">
        <v>45971</v>
      </c>
      <c r="K2282" s="28" t="n">
        <v>45995</v>
      </c>
      <c r="L2282" t="inlineStr">
        <is>
          <t>Buscaba arriendo, no compra</t>
        </is>
      </c>
    </row>
    <row r="2283">
      <c r="A2283" t="inlineStr">
        <is>
          <t>CLI-2281</t>
        </is>
      </c>
      <c r="B2283" t="inlineStr">
        <is>
          <t>Esteban Osorio Osorio</t>
        </is>
      </c>
      <c r="C2283" t="inlineStr">
        <is>
          <t>3105963873</t>
        </is>
      </c>
      <c r="D2283" t="inlineStr">
        <is>
          <t>esteban.osorio74@yahoo.com</t>
        </is>
      </c>
      <c r="E2283" t="inlineStr">
        <is>
          <t>Medellín</t>
        </is>
      </c>
      <c r="F2283" t="inlineStr">
        <is>
          <t>PRY-008</t>
        </is>
      </c>
      <c r="G2283" t="inlineStr">
        <is>
          <t>Instagram</t>
        </is>
      </c>
      <c r="H2283" t="inlineStr">
        <is>
          <t>Luis Bedoya</t>
        </is>
      </c>
      <c r="I2283" t="inlineStr">
        <is>
          <t>Perdido</t>
        </is>
      </c>
      <c r="J2283" s="28" t="n">
        <v>45971</v>
      </c>
      <c r="K2283" s="28" t="n">
        <v>45993</v>
      </c>
      <c r="L2283" t="inlineStr">
        <is>
          <t>No calificó para crédito</t>
        </is>
      </c>
    </row>
    <row r="2284">
      <c r="A2284" t="inlineStr">
        <is>
          <t>CLI-2282</t>
        </is>
      </c>
      <c r="B2284" t="inlineStr">
        <is>
          <t>Emilio Sánchez Giraldo</t>
        </is>
      </c>
      <c r="C2284" t="inlineStr">
        <is>
          <t>3248350869</t>
        </is>
      </c>
      <c r="D2284" t="inlineStr">
        <is>
          <t>emilio.sanchez49@outlook.com</t>
        </is>
      </c>
      <c r="E2284" t="inlineStr">
        <is>
          <t>Medellín</t>
        </is>
      </c>
      <c r="F2284" t="inlineStr">
        <is>
          <t>PRY-006</t>
        </is>
      </c>
      <c r="G2284" t="inlineStr">
        <is>
          <t>Portal Web</t>
        </is>
      </c>
      <c r="H2284" t="inlineStr">
        <is>
          <t>Andrés Torres</t>
        </is>
      </c>
      <c r="I2284" t="inlineStr">
        <is>
          <t>Perdido</t>
        </is>
      </c>
      <c r="J2284" s="28" t="n">
        <v>45971</v>
      </c>
      <c r="K2284" s="28" t="n">
        <v>45977</v>
      </c>
      <c r="L2284" t="inlineStr">
        <is>
          <t>No calificó para crédito</t>
        </is>
      </c>
    </row>
    <row r="2285">
      <c r="A2285" t="inlineStr">
        <is>
          <t>CLI-2283</t>
        </is>
      </c>
      <c r="B2285" t="inlineStr">
        <is>
          <t>Wilson Ochoa Higuita</t>
        </is>
      </c>
      <c r="C2285" t="inlineStr">
        <is>
          <t>3107270005</t>
        </is>
      </c>
      <c r="D2285" t="inlineStr">
        <is>
          <t>wilson.ochoa1@outlook.com</t>
        </is>
      </c>
      <c r="E2285" t="inlineStr">
        <is>
          <t>Medellín</t>
        </is>
      </c>
      <c r="F2285" t="inlineStr">
        <is>
          <t>PRY-001</t>
        </is>
      </c>
      <c r="G2285" t="inlineStr">
        <is>
          <t>Facebook</t>
        </is>
      </c>
      <c r="H2285" t="inlineStr">
        <is>
          <t>Sofía Prada</t>
        </is>
      </c>
      <c r="I2285" t="inlineStr">
        <is>
          <t>Perdido</t>
        </is>
      </c>
      <c r="J2285" s="28" t="n">
        <v>45972</v>
      </c>
      <c r="K2285" s="28" t="n">
        <v>45977</v>
      </c>
      <c r="L2285" t="inlineStr">
        <is>
          <t>Buscaba arriendo, no compra</t>
        </is>
      </c>
    </row>
    <row r="2286">
      <c r="A2286" t="inlineStr">
        <is>
          <t>CLI-2284</t>
        </is>
      </c>
      <c r="B2286" t="inlineStr">
        <is>
          <t>Julián Castaño Ramírez</t>
        </is>
      </c>
      <c r="C2286" t="inlineStr">
        <is>
          <t>3154552492</t>
        </is>
      </c>
      <c r="D2286" t="inlineStr">
        <is>
          <t>julian.castano92@hotmail.com</t>
        </is>
      </c>
      <c r="E2286" t="inlineStr">
        <is>
          <t>Medellín</t>
        </is>
      </c>
      <c r="F2286" t="inlineStr">
        <is>
          <t>PRY-007</t>
        </is>
      </c>
      <c r="G2286" t="inlineStr">
        <is>
          <t>Instagram</t>
        </is>
      </c>
      <c r="H2286" t="inlineStr">
        <is>
          <t>Daniela Ríos</t>
        </is>
      </c>
      <c r="I2286" t="inlineStr">
        <is>
          <t>Perdido</t>
        </is>
      </c>
      <c r="J2286" s="28" t="n">
        <v>45972</v>
      </c>
      <c r="K2286" s="28" t="n">
        <v>45991</v>
      </c>
      <c r="L2286" t="inlineStr">
        <is>
          <t>No calificó para crédito</t>
        </is>
      </c>
    </row>
    <row r="2287">
      <c r="A2287" t="inlineStr">
        <is>
          <t>CLI-2285</t>
        </is>
      </c>
      <c r="B2287" t="inlineStr">
        <is>
          <t>Mariana Duque Vargas</t>
        </is>
      </c>
      <c r="C2287" t="inlineStr">
        <is>
          <t>3157552374</t>
        </is>
      </c>
      <c r="D2287" t="inlineStr">
        <is>
          <t>mariana.duque15@hotmail.com</t>
        </is>
      </c>
      <c r="E2287" t="inlineStr">
        <is>
          <t>Bello</t>
        </is>
      </c>
      <c r="F2287" t="inlineStr">
        <is>
          <t>PRY-006</t>
        </is>
      </c>
      <c r="G2287" t="inlineStr">
        <is>
          <t>Facebook</t>
        </is>
      </c>
      <c r="H2287" t="inlineStr">
        <is>
          <t>Andrés Torres</t>
        </is>
      </c>
      <c r="I2287" t="inlineStr">
        <is>
          <t>Perdido</t>
        </is>
      </c>
      <c r="J2287" s="28" t="n">
        <v>45972</v>
      </c>
      <c r="K2287" s="28" t="n">
        <v>45979</v>
      </c>
      <c r="L2287" t="inlineStr">
        <is>
          <t>Sin respuesta tras 3 contactos</t>
        </is>
      </c>
    </row>
    <row r="2288">
      <c r="A2288" t="inlineStr">
        <is>
          <t>CLI-2286</t>
        </is>
      </c>
      <c r="B2288" t="inlineStr">
        <is>
          <t>Marcela Echeverri Henao</t>
        </is>
      </c>
      <c r="C2288" t="inlineStr">
        <is>
          <t>3205225714</t>
        </is>
      </c>
      <c r="D2288" t="inlineStr">
        <is>
          <t>marcela.echeverri3@yahoo.com</t>
        </is>
      </c>
      <c r="E2288" t="inlineStr">
        <is>
          <t>Envigado</t>
        </is>
      </c>
      <c r="F2288" t="inlineStr">
        <is>
          <t>PRY-007</t>
        </is>
      </c>
      <c r="G2288" t="inlineStr">
        <is>
          <t>Feria Inmobiliaria</t>
        </is>
      </c>
      <c r="H2288" t="inlineStr">
        <is>
          <t>Sofía Prada</t>
        </is>
      </c>
      <c r="I2288" t="inlineStr">
        <is>
          <t>Perdido</t>
        </is>
      </c>
      <c r="J2288" s="28" t="n">
        <v>45973</v>
      </c>
      <c r="K2288" s="28" t="n">
        <v>46073</v>
      </c>
      <c r="L2288" t="inlineStr">
        <is>
          <t>Crédito no aprobado</t>
        </is>
      </c>
    </row>
    <row r="2289">
      <c r="A2289" t="inlineStr">
        <is>
          <t>CLI-2287</t>
        </is>
      </c>
      <c r="B2289" t="inlineStr">
        <is>
          <t>Gabriel Escobar Toro</t>
        </is>
      </c>
      <c r="C2289" t="inlineStr">
        <is>
          <t>3245800679</t>
        </is>
      </c>
      <c r="D2289" t="inlineStr">
        <is>
          <t>gabriel.escobar54@outlook.com</t>
        </is>
      </c>
      <c r="E2289" t="inlineStr">
        <is>
          <t>Envigado</t>
        </is>
      </c>
      <c r="F2289" t="inlineStr">
        <is>
          <t>PRY-003</t>
        </is>
      </c>
      <c r="G2289" t="inlineStr">
        <is>
          <t>Instagram</t>
        </is>
      </c>
      <c r="H2289" t="inlineStr">
        <is>
          <t>Miguel Salazar</t>
        </is>
      </c>
      <c r="I2289" t="inlineStr">
        <is>
          <t>Perdido</t>
        </is>
      </c>
      <c r="J2289" s="28" t="n">
        <v>45973</v>
      </c>
      <c r="K2289" s="28" t="n">
        <v>45988</v>
      </c>
      <c r="L2289" t="inlineStr">
        <is>
          <t>Sin respuesta tras 3 contactos</t>
        </is>
      </c>
    </row>
    <row r="2290">
      <c r="A2290" t="inlineStr">
        <is>
          <t>CLI-2288</t>
        </is>
      </c>
      <c r="B2290" t="inlineStr">
        <is>
          <t>Patricia Cifuentes Quintero</t>
        </is>
      </c>
      <c r="C2290" t="inlineStr">
        <is>
          <t>3101658501</t>
        </is>
      </c>
      <c r="D2290" t="inlineStr">
        <is>
          <t>patricia.cifuentes48@outlook.com</t>
        </is>
      </c>
      <c r="E2290" t="inlineStr">
        <is>
          <t>Medellín</t>
        </is>
      </c>
      <c r="F2290" t="inlineStr">
        <is>
          <t>PRY-003</t>
        </is>
      </c>
      <c r="G2290" t="inlineStr">
        <is>
          <t>Feria Inmobiliaria</t>
        </is>
      </c>
      <c r="H2290" t="inlineStr">
        <is>
          <t>Andrés Torres</t>
        </is>
      </c>
      <c r="I2290" t="inlineStr">
        <is>
          <t>Perdido</t>
        </is>
      </c>
      <c r="J2290" s="28" t="n">
        <v>45974</v>
      </c>
      <c r="K2290" s="28" t="n">
        <v>45986</v>
      </c>
      <c r="L2290" t="inlineStr">
        <is>
          <t>No calificó para crédito</t>
        </is>
      </c>
    </row>
    <row r="2291">
      <c r="A2291" t="inlineStr">
        <is>
          <t>CLI-2289</t>
        </is>
      </c>
      <c r="B2291" t="inlineStr">
        <is>
          <t>Diana Jaramillo Vargas</t>
        </is>
      </c>
      <c r="C2291" t="inlineStr">
        <is>
          <t>3134749777</t>
        </is>
      </c>
      <c r="D2291" t="inlineStr">
        <is>
          <t>diana.jaramillo77@hotmail.com</t>
        </is>
      </c>
      <c r="E2291" t="inlineStr">
        <is>
          <t>Bello</t>
        </is>
      </c>
      <c r="F2291" t="inlineStr">
        <is>
          <t>PRY-006</t>
        </is>
      </c>
      <c r="G2291" t="inlineStr">
        <is>
          <t>Instagram</t>
        </is>
      </c>
      <c r="H2291" t="inlineStr">
        <is>
          <t>Mateo Herrera</t>
        </is>
      </c>
      <c r="I2291" t="inlineStr">
        <is>
          <t>Perdido</t>
        </is>
      </c>
      <c r="J2291" s="28" t="n">
        <v>45974</v>
      </c>
      <c r="K2291" s="28" t="n">
        <v>45996</v>
      </c>
      <c r="L2291" t="inlineStr">
        <is>
          <t>No calificó para crédito</t>
        </is>
      </c>
    </row>
    <row r="2292">
      <c r="A2292" t="inlineStr">
        <is>
          <t>CLI-2290</t>
        </is>
      </c>
      <c r="B2292" t="inlineStr">
        <is>
          <t>Lorena Bedoya Cifuentes</t>
        </is>
      </c>
      <c r="C2292" t="inlineStr">
        <is>
          <t>3158144258</t>
        </is>
      </c>
      <c r="D2292" t="inlineStr">
        <is>
          <t>lorena.bedoya85@hotmail.com</t>
        </is>
      </c>
      <c r="E2292" t="inlineStr">
        <is>
          <t>La Estrella</t>
        </is>
      </c>
      <c r="F2292" t="inlineStr">
        <is>
          <t>PRY-003</t>
        </is>
      </c>
      <c r="G2292" t="inlineStr">
        <is>
          <t>Facebook</t>
        </is>
      </c>
      <c r="H2292" t="inlineStr">
        <is>
          <t>Sofía Prada</t>
        </is>
      </c>
      <c r="I2292" t="inlineStr">
        <is>
          <t>Perdido</t>
        </is>
      </c>
      <c r="J2292" s="28" t="n">
        <v>45974</v>
      </c>
      <c r="K2292" s="28" t="n">
        <v>45984</v>
      </c>
      <c r="L2292" t="inlineStr">
        <is>
          <t>Sin respuesta tras 3 contactos</t>
        </is>
      </c>
    </row>
    <row r="2293">
      <c r="A2293" t="inlineStr">
        <is>
          <t>CLI-2291</t>
        </is>
      </c>
      <c r="B2293" t="inlineStr">
        <is>
          <t>Sandra Arango Montes</t>
        </is>
      </c>
      <c r="C2293" t="inlineStr">
        <is>
          <t>3209345755</t>
        </is>
      </c>
      <c r="D2293" t="inlineStr">
        <is>
          <t>sandra.arango23@gmail.com</t>
        </is>
      </c>
      <c r="E2293" t="inlineStr">
        <is>
          <t>Rionegro</t>
        </is>
      </c>
      <c r="F2293" t="inlineStr">
        <is>
          <t>PRY-005</t>
        </is>
      </c>
      <c r="G2293" t="inlineStr">
        <is>
          <t>Llamada directa</t>
        </is>
      </c>
      <c r="H2293" t="inlineStr">
        <is>
          <t>Santiago Muñoz</t>
        </is>
      </c>
      <c r="I2293" t="inlineStr">
        <is>
          <t>Perdido</t>
        </is>
      </c>
      <c r="J2293" s="28" t="n">
        <v>45975</v>
      </c>
      <c r="K2293" s="28" t="n">
        <v>46039</v>
      </c>
      <c r="L2293" t="inlineStr">
        <is>
          <t>Eligió otro proyecto</t>
        </is>
      </c>
    </row>
    <row r="2294">
      <c r="A2294" t="inlineStr">
        <is>
          <t>CLI-2292</t>
        </is>
      </c>
      <c r="B2294" t="inlineStr">
        <is>
          <t>Nicolás Gómez Sánchez</t>
        </is>
      </c>
      <c r="C2294" t="inlineStr">
        <is>
          <t>3041812490</t>
        </is>
      </c>
      <c r="D2294" t="inlineStr">
        <is>
          <t>nicolas.gomez87@outlook.com</t>
        </is>
      </c>
      <c r="E2294" t="inlineStr">
        <is>
          <t>Medellín</t>
        </is>
      </c>
      <c r="F2294" t="inlineStr">
        <is>
          <t>PRY-002</t>
        </is>
      </c>
      <c r="G2294" t="inlineStr">
        <is>
          <t>Portal Web</t>
        </is>
      </c>
      <c r="H2294" t="inlineStr">
        <is>
          <t>Ana Quintero</t>
        </is>
      </c>
      <c r="I2294" t="inlineStr">
        <is>
          <t>Ganado</t>
        </is>
      </c>
      <c r="J2294" s="28" t="n">
        <v>45975</v>
      </c>
      <c r="K2294" s="28" t="n">
        <v>46150</v>
      </c>
      <c r="L2294" t="inlineStr">
        <is>
          <t>Compró Casa 20 en Reserva Santa Elena</t>
        </is>
      </c>
    </row>
    <row r="2295">
      <c r="A2295" t="inlineStr">
        <is>
          <t>CLI-2293</t>
        </is>
      </c>
      <c r="B2295" t="inlineStr">
        <is>
          <t>Sandra Escobar Salcedo</t>
        </is>
      </c>
      <c r="C2295" t="inlineStr">
        <is>
          <t>3108333352</t>
        </is>
      </c>
      <c r="D2295" t="inlineStr">
        <is>
          <t>sandra.escobar68@outlook.com</t>
        </is>
      </c>
      <c r="E2295" t="inlineStr">
        <is>
          <t>Itagüí</t>
        </is>
      </c>
      <c r="F2295" t="inlineStr">
        <is>
          <t>PRY-008</t>
        </is>
      </c>
      <c r="G2295" t="inlineStr">
        <is>
          <t>Portal Web</t>
        </is>
      </c>
      <c r="H2295" t="inlineStr">
        <is>
          <t>Juliana Vélez</t>
        </is>
      </c>
      <c r="I2295" t="inlineStr">
        <is>
          <t>Perdido</t>
        </is>
      </c>
      <c r="J2295" s="28" t="n">
        <v>45975</v>
      </c>
      <c r="K2295" s="28" t="n">
        <v>46036</v>
      </c>
      <c r="L2295" t="inlineStr">
        <is>
          <t>Desistió de la compra</t>
        </is>
      </c>
    </row>
    <row r="2296">
      <c r="A2296" t="inlineStr">
        <is>
          <t>CLI-2294</t>
        </is>
      </c>
      <c r="B2296" t="inlineStr">
        <is>
          <t>Katherine Vargas Toro</t>
        </is>
      </c>
      <c r="C2296" t="inlineStr">
        <is>
          <t>3108323429</t>
        </is>
      </c>
      <c r="D2296" t="inlineStr">
        <is>
          <t>katherine.vargas22@hotmail.com</t>
        </is>
      </c>
      <c r="E2296" t="inlineStr">
        <is>
          <t>Medellín</t>
        </is>
      </c>
      <c r="F2296" t="inlineStr">
        <is>
          <t>PRY-002</t>
        </is>
      </c>
      <c r="G2296" t="inlineStr">
        <is>
          <t>Llamada directa</t>
        </is>
      </c>
      <c r="H2296" t="inlineStr">
        <is>
          <t>Sofía Prada</t>
        </is>
      </c>
      <c r="I2296" t="inlineStr">
        <is>
          <t>Perdido</t>
        </is>
      </c>
      <c r="J2296" s="28" t="n">
        <v>45975</v>
      </c>
      <c r="K2296" s="28" t="n">
        <v>45980</v>
      </c>
      <c r="L2296" t="inlineStr">
        <is>
          <t>No calificó para crédito</t>
        </is>
      </c>
    </row>
    <row r="2297">
      <c r="A2297" t="inlineStr">
        <is>
          <t>CLI-2295</t>
        </is>
      </c>
      <c r="B2297" t="inlineStr">
        <is>
          <t>Fernando Vélez Cano</t>
        </is>
      </c>
      <c r="C2297" t="inlineStr">
        <is>
          <t>3232234755</t>
        </is>
      </c>
      <c r="D2297" t="inlineStr">
        <is>
          <t>fernando.velez37@outlook.com</t>
        </is>
      </c>
      <c r="E2297" t="inlineStr">
        <is>
          <t>Medellín</t>
        </is>
      </c>
      <c r="F2297" t="inlineStr">
        <is>
          <t>PRY-002</t>
        </is>
      </c>
      <c r="G2297" t="inlineStr">
        <is>
          <t>Facebook</t>
        </is>
      </c>
      <c r="H2297" t="inlineStr">
        <is>
          <t>Miguel Salazar</t>
        </is>
      </c>
      <c r="I2297" t="inlineStr">
        <is>
          <t>Perdido</t>
        </is>
      </c>
      <c r="J2297" s="28" t="n">
        <v>45975</v>
      </c>
      <c r="K2297" s="28" t="n">
        <v>45984</v>
      </c>
      <c r="L2297" t="inlineStr">
        <is>
          <t>Sin respuesta tras 3 contactos</t>
        </is>
      </c>
    </row>
    <row r="2298">
      <c r="A2298" t="inlineStr">
        <is>
          <t>CLI-2296</t>
        </is>
      </c>
      <c r="B2298" t="inlineStr">
        <is>
          <t>Jhon Cifuentes Agudelo</t>
        </is>
      </c>
      <c r="C2298" t="inlineStr">
        <is>
          <t>3042653924</t>
        </is>
      </c>
      <c r="D2298" t="inlineStr">
        <is>
          <t>jhon.cifuentes23@outlook.com</t>
        </is>
      </c>
      <c r="E2298" t="inlineStr">
        <is>
          <t>Medellín</t>
        </is>
      </c>
      <c r="F2298" t="inlineStr">
        <is>
          <t>PRY-002</t>
        </is>
      </c>
      <c r="G2298" t="inlineStr">
        <is>
          <t>Portal Web</t>
        </is>
      </c>
      <c r="H2298" t="inlineStr">
        <is>
          <t>Miguel Salazar</t>
        </is>
      </c>
      <c r="I2298" t="inlineStr">
        <is>
          <t>Perdido</t>
        </is>
      </c>
      <c r="J2298" s="28" t="n">
        <v>45975</v>
      </c>
      <c r="K2298" s="28" t="n">
        <v>45981</v>
      </c>
      <c r="L2298" t="inlineStr">
        <is>
          <t>Datos de contacto errados</t>
        </is>
      </c>
    </row>
    <row r="2299">
      <c r="A2299" t="inlineStr">
        <is>
          <t>CLI-2297</t>
        </is>
      </c>
      <c r="B2299" t="inlineStr">
        <is>
          <t>Tomás Henao Cano</t>
        </is>
      </c>
      <c r="C2299" t="inlineStr">
        <is>
          <t>3014101721</t>
        </is>
      </c>
      <c r="D2299" t="inlineStr">
        <is>
          <t>tomas.henao74@outlook.com</t>
        </is>
      </c>
      <c r="E2299" t="inlineStr">
        <is>
          <t>Itagüí</t>
        </is>
      </c>
      <c r="F2299" t="inlineStr">
        <is>
          <t>PRY-008</t>
        </is>
      </c>
      <c r="G2299" t="inlineStr">
        <is>
          <t>Facebook</t>
        </is>
      </c>
      <c r="H2299" t="inlineStr">
        <is>
          <t>Miguel Salazar</t>
        </is>
      </c>
      <c r="I2299" t="inlineStr">
        <is>
          <t>Perdido</t>
        </is>
      </c>
      <c r="J2299" s="28" t="n">
        <v>45975</v>
      </c>
      <c r="K2299" s="28" t="n">
        <v>45988</v>
      </c>
      <c r="L2299" t="inlineStr">
        <is>
          <t>Presupuesto insuficiente</t>
        </is>
      </c>
    </row>
    <row r="2300">
      <c r="A2300" t="inlineStr">
        <is>
          <t>CLI-2298</t>
        </is>
      </c>
      <c r="B2300" t="inlineStr">
        <is>
          <t>Julián Echeverri Montoya</t>
        </is>
      </c>
      <c r="C2300" t="inlineStr">
        <is>
          <t>3102350830</t>
        </is>
      </c>
      <c r="D2300" t="inlineStr">
        <is>
          <t>julian.echeverri11@gmail.com</t>
        </is>
      </c>
      <c r="E2300" t="inlineStr">
        <is>
          <t>Bello</t>
        </is>
      </c>
      <c r="F2300" t="inlineStr">
        <is>
          <t>PRY-006</t>
        </is>
      </c>
      <c r="G2300" t="inlineStr">
        <is>
          <t>Llamada directa</t>
        </is>
      </c>
      <c r="H2300" t="inlineStr">
        <is>
          <t>Luis Bedoya</t>
        </is>
      </c>
      <c r="I2300" t="inlineStr">
        <is>
          <t>Perdido</t>
        </is>
      </c>
      <c r="J2300" s="28" t="n">
        <v>45975</v>
      </c>
      <c r="K2300" s="28" t="n">
        <v>46002</v>
      </c>
      <c r="L2300" t="inlineStr">
        <is>
          <t>Buscaba arriendo, no compra</t>
        </is>
      </c>
    </row>
    <row r="2301">
      <c r="A2301" t="inlineStr">
        <is>
          <t>CLI-2299</t>
        </is>
      </c>
      <c r="B2301" t="inlineStr">
        <is>
          <t>Rodrigo Ramírez Arango</t>
        </is>
      </c>
      <c r="C2301" t="inlineStr">
        <is>
          <t>3204628166</t>
        </is>
      </c>
      <c r="D2301" t="inlineStr">
        <is>
          <t>rodrigo.ramirez46@yahoo.com</t>
        </is>
      </c>
      <c r="E2301" t="inlineStr">
        <is>
          <t>Itagüí</t>
        </is>
      </c>
      <c r="F2301" t="inlineStr">
        <is>
          <t>PRY-007</t>
        </is>
      </c>
      <c r="G2301" t="inlineStr">
        <is>
          <t>Referido</t>
        </is>
      </c>
      <c r="H2301" t="inlineStr">
        <is>
          <t>Luis Bedoya</t>
        </is>
      </c>
      <c r="I2301" t="inlineStr">
        <is>
          <t>Ganado</t>
        </is>
      </c>
      <c r="J2301" s="28" t="n">
        <v>45976</v>
      </c>
      <c r="K2301" s="28" t="n">
        <v>46093</v>
      </c>
      <c r="L2301" t="inlineStr">
        <is>
          <t>Compró Apto 204 en Mirador de Envigado</t>
        </is>
      </c>
    </row>
    <row r="2302">
      <c r="A2302" t="inlineStr">
        <is>
          <t>CLI-2300</t>
        </is>
      </c>
      <c r="B2302" t="inlineStr">
        <is>
          <t>Esteban Zapata Peláez</t>
        </is>
      </c>
      <c r="C2302" t="inlineStr">
        <is>
          <t>3044109403</t>
        </is>
      </c>
      <c r="D2302" t="inlineStr">
        <is>
          <t>esteban.zapata12@gmail.com</t>
        </is>
      </c>
      <c r="E2302" t="inlineStr">
        <is>
          <t>Rionegro</t>
        </is>
      </c>
      <c r="F2302" t="inlineStr">
        <is>
          <t>PRY-007</t>
        </is>
      </c>
      <c r="G2302" t="inlineStr">
        <is>
          <t>Referido</t>
        </is>
      </c>
      <c r="H2302" t="inlineStr">
        <is>
          <t>Luis Bedoya</t>
        </is>
      </c>
      <c r="I2302" t="inlineStr">
        <is>
          <t>Perdido</t>
        </is>
      </c>
      <c r="J2302" s="28" t="n">
        <v>45976</v>
      </c>
      <c r="K2302" s="28" t="n">
        <v>46052</v>
      </c>
      <c r="L2302" t="inlineStr">
        <is>
          <t>Eligió otro proyecto</t>
        </is>
      </c>
    </row>
    <row r="2303">
      <c r="A2303" t="inlineStr">
        <is>
          <t>CLI-2301</t>
        </is>
      </c>
      <c r="B2303" t="inlineStr">
        <is>
          <t>Laura Cano Ríos</t>
        </is>
      </c>
      <c r="C2303" t="inlineStr">
        <is>
          <t>3145015578</t>
        </is>
      </c>
      <c r="D2303" t="inlineStr">
        <is>
          <t>laura.cano9@hotmail.com</t>
        </is>
      </c>
      <c r="E2303" t="inlineStr">
        <is>
          <t>Sabaneta</t>
        </is>
      </c>
      <c r="F2303" t="inlineStr">
        <is>
          <t>PRY-003</t>
        </is>
      </c>
      <c r="G2303" t="inlineStr">
        <is>
          <t>Instagram</t>
        </is>
      </c>
      <c r="H2303" t="inlineStr">
        <is>
          <t>Ana Quintero</t>
        </is>
      </c>
      <c r="I2303" t="inlineStr">
        <is>
          <t>Perdido</t>
        </is>
      </c>
      <c r="J2303" s="28" t="n">
        <v>45976</v>
      </c>
      <c r="K2303" s="28" t="n">
        <v>45994</v>
      </c>
      <c r="L2303" t="inlineStr">
        <is>
          <t>Presupuesto insuficiente</t>
        </is>
      </c>
    </row>
    <row r="2304">
      <c r="A2304" t="inlineStr">
        <is>
          <t>CLI-2302</t>
        </is>
      </c>
      <c r="B2304" t="inlineStr">
        <is>
          <t>Sandra Zapata Mejía</t>
        </is>
      </c>
      <c r="C2304" t="inlineStr">
        <is>
          <t>3228753769</t>
        </is>
      </c>
      <c r="D2304" t="inlineStr">
        <is>
          <t>sandra.zapata3@outlook.com</t>
        </is>
      </c>
      <c r="E2304" t="inlineStr">
        <is>
          <t>La Estrella</t>
        </is>
      </c>
      <c r="F2304" t="inlineStr">
        <is>
          <t>PRY-001</t>
        </is>
      </c>
      <c r="G2304" t="inlineStr">
        <is>
          <t>Portal Web</t>
        </is>
      </c>
      <c r="H2304" t="inlineStr">
        <is>
          <t>Luis Bedoya</t>
        </is>
      </c>
      <c r="I2304" t="inlineStr">
        <is>
          <t>Perdido</t>
        </is>
      </c>
      <c r="J2304" s="28" t="n">
        <v>45976</v>
      </c>
      <c r="K2304" s="28" t="n">
        <v>45990</v>
      </c>
      <c r="L2304" t="inlineStr">
        <is>
          <t>Datos de contacto errados</t>
        </is>
      </c>
    </row>
    <row r="2305">
      <c r="A2305" t="inlineStr">
        <is>
          <t>CLI-2303</t>
        </is>
      </c>
      <c r="B2305" t="inlineStr">
        <is>
          <t>Sofía Mejía Quintero</t>
        </is>
      </c>
      <c r="C2305" t="inlineStr">
        <is>
          <t>3018967673</t>
        </is>
      </c>
      <c r="D2305" t="inlineStr">
        <is>
          <t>sofia.mejia15@hotmail.com</t>
        </is>
      </c>
      <c r="E2305" t="inlineStr">
        <is>
          <t>Sabaneta</t>
        </is>
      </c>
      <c r="F2305" t="inlineStr">
        <is>
          <t>PRY-003</t>
        </is>
      </c>
      <c r="G2305" t="inlineStr">
        <is>
          <t>Feria Inmobiliaria</t>
        </is>
      </c>
      <c r="H2305" t="inlineStr">
        <is>
          <t>Mateo Herrera</t>
        </is>
      </c>
      <c r="I2305" t="inlineStr">
        <is>
          <t>Perdido</t>
        </is>
      </c>
      <c r="J2305" s="28" t="n">
        <v>45977</v>
      </c>
      <c r="K2305" s="28" t="n">
        <v>46065</v>
      </c>
      <c r="L2305" t="inlineStr">
        <is>
          <t>Crédito no aprobado</t>
        </is>
      </c>
    </row>
    <row r="2306">
      <c r="A2306" t="inlineStr">
        <is>
          <t>CLI-2304</t>
        </is>
      </c>
      <c r="B2306" t="inlineStr">
        <is>
          <t>Ricardo Ochoa Montes</t>
        </is>
      </c>
      <c r="C2306" t="inlineStr">
        <is>
          <t>3233164150</t>
        </is>
      </c>
      <c r="D2306" t="inlineStr">
        <is>
          <t>ricardo.ochoa68@gmail.com</t>
        </is>
      </c>
      <c r="E2306" t="inlineStr">
        <is>
          <t>Itagüí</t>
        </is>
      </c>
      <c r="F2306" t="inlineStr">
        <is>
          <t>PRY-008</t>
        </is>
      </c>
      <c r="G2306" t="inlineStr">
        <is>
          <t>Portal Web</t>
        </is>
      </c>
      <c r="H2306" t="inlineStr">
        <is>
          <t>Juliana Vélez</t>
        </is>
      </c>
      <c r="I2306" t="inlineStr">
        <is>
          <t>Perdido</t>
        </is>
      </c>
      <c r="J2306" s="28" t="n">
        <v>45977</v>
      </c>
      <c r="K2306" s="28" t="n">
        <v>45982</v>
      </c>
      <c r="L2306" t="inlineStr">
        <is>
          <t>Presupuesto insuficiente</t>
        </is>
      </c>
    </row>
    <row r="2307">
      <c r="A2307" t="inlineStr">
        <is>
          <t>CLI-2305</t>
        </is>
      </c>
      <c r="B2307" t="inlineStr">
        <is>
          <t>Carlos Cifuentes Vargas</t>
        </is>
      </c>
      <c r="C2307" t="inlineStr">
        <is>
          <t>3233999524</t>
        </is>
      </c>
      <c r="D2307" t="inlineStr">
        <is>
          <t>carlos.cifuentes6@hotmail.com</t>
        </is>
      </c>
      <c r="E2307" t="inlineStr">
        <is>
          <t>Bello</t>
        </is>
      </c>
      <c r="F2307" t="inlineStr">
        <is>
          <t>PRY-006</t>
        </is>
      </c>
      <c r="G2307" t="inlineStr">
        <is>
          <t>Instagram</t>
        </is>
      </c>
      <c r="H2307" t="inlineStr">
        <is>
          <t>Luis Bedoya</t>
        </is>
      </c>
      <c r="I2307" t="inlineStr">
        <is>
          <t>Perdido</t>
        </is>
      </c>
      <c r="J2307" s="28" t="n">
        <v>45979</v>
      </c>
      <c r="K2307" s="28" t="n">
        <v>46004</v>
      </c>
      <c r="L2307" t="inlineStr">
        <is>
          <t>Presupuesto insuficiente</t>
        </is>
      </c>
    </row>
    <row r="2308">
      <c r="A2308" t="inlineStr">
        <is>
          <t>CLI-2306</t>
        </is>
      </c>
      <c r="B2308" t="inlineStr">
        <is>
          <t>Daniela Henao Cardona</t>
        </is>
      </c>
      <c r="C2308" t="inlineStr">
        <is>
          <t>3178514084</t>
        </is>
      </c>
      <c r="D2308" t="inlineStr">
        <is>
          <t>daniela.henao92@yahoo.com</t>
        </is>
      </c>
      <c r="E2308" t="inlineStr">
        <is>
          <t>Bello</t>
        </is>
      </c>
      <c r="F2308" t="inlineStr">
        <is>
          <t>PRY-006</t>
        </is>
      </c>
      <c r="G2308" t="inlineStr">
        <is>
          <t>Facebook</t>
        </is>
      </c>
      <c r="H2308" t="inlineStr">
        <is>
          <t>Andrés Torres</t>
        </is>
      </c>
      <c r="I2308" t="inlineStr">
        <is>
          <t>Perdido</t>
        </is>
      </c>
      <c r="J2308" s="28" t="n">
        <v>45980</v>
      </c>
      <c r="K2308" s="28" t="n">
        <v>45992</v>
      </c>
      <c r="L2308" t="inlineStr">
        <is>
          <t>Presupuesto insuficiente</t>
        </is>
      </c>
    </row>
    <row r="2309">
      <c r="A2309" t="inlineStr">
        <is>
          <t>CLI-2307</t>
        </is>
      </c>
      <c r="B2309" t="inlineStr">
        <is>
          <t>Cristian Correa Pérez</t>
        </is>
      </c>
      <c r="C2309" t="inlineStr">
        <is>
          <t>3016850846</t>
        </is>
      </c>
      <c r="D2309" t="inlineStr">
        <is>
          <t>cristian.correa34@yahoo.com</t>
        </is>
      </c>
      <c r="E2309" t="inlineStr">
        <is>
          <t>Envigado</t>
        </is>
      </c>
      <c r="F2309" t="inlineStr">
        <is>
          <t>PRY-005</t>
        </is>
      </c>
      <c r="G2309" t="inlineStr">
        <is>
          <t>Portal Web</t>
        </is>
      </c>
      <c r="H2309" t="inlineStr">
        <is>
          <t>Andrés Torres</t>
        </is>
      </c>
      <c r="I2309" t="inlineStr">
        <is>
          <t>Perdido</t>
        </is>
      </c>
      <c r="J2309" s="28" t="n">
        <v>45980</v>
      </c>
      <c r="K2309" s="28" t="n">
        <v>45988</v>
      </c>
      <c r="L2309" t="inlineStr">
        <is>
          <t>Presupuesto insuficiente</t>
        </is>
      </c>
    </row>
    <row r="2310">
      <c r="A2310" t="inlineStr">
        <is>
          <t>CLI-2308</t>
        </is>
      </c>
      <c r="B2310" t="inlineStr">
        <is>
          <t>Santiago Álvarez Pérez</t>
        </is>
      </c>
      <c r="C2310" t="inlineStr">
        <is>
          <t>3236551236</t>
        </is>
      </c>
      <c r="D2310" t="inlineStr">
        <is>
          <t>santiago.alvarez1@outlook.com</t>
        </is>
      </c>
      <c r="E2310" t="inlineStr">
        <is>
          <t>Rionegro</t>
        </is>
      </c>
      <c r="F2310" t="inlineStr">
        <is>
          <t>PRY-001</t>
        </is>
      </c>
      <c r="G2310" t="inlineStr">
        <is>
          <t>Portal Web</t>
        </is>
      </c>
      <c r="H2310" t="inlineStr">
        <is>
          <t>Ana Quintero</t>
        </is>
      </c>
      <c r="I2310" t="inlineStr">
        <is>
          <t>Ganado</t>
        </is>
      </c>
      <c r="J2310" s="28" t="n">
        <v>45981</v>
      </c>
      <c r="K2310" s="28" t="n">
        <v>46053</v>
      </c>
      <c r="L2310" t="inlineStr">
        <is>
          <t>Compró Apto 503 en Torres del Poblado</t>
        </is>
      </c>
    </row>
    <row r="2311">
      <c r="A2311" t="inlineStr">
        <is>
          <t>CLI-2309</t>
        </is>
      </c>
      <c r="B2311" t="inlineStr">
        <is>
          <t>Nicolás Espinosa Vélez</t>
        </is>
      </c>
      <c r="C2311" t="inlineStr">
        <is>
          <t>3174006680</t>
        </is>
      </c>
      <c r="D2311" t="inlineStr">
        <is>
          <t>nicolas.espinosa58@hotmail.com</t>
        </is>
      </c>
      <c r="E2311" t="inlineStr">
        <is>
          <t>Medellín</t>
        </is>
      </c>
      <c r="F2311" t="inlineStr">
        <is>
          <t>PRY-001</t>
        </is>
      </c>
      <c r="G2311" t="inlineStr">
        <is>
          <t>Portal Web</t>
        </is>
      </c>
      <c r="H2311" t="inlineStr">
        <is>
          <t>Santiago Muñoz</t>
        </is>
      </c>
      <c r="I2311" t="inlineStr">
        <is>
          <t>Perdido</t>
        </is>
      </c>
      <c r="J2311" s="28" t="n">
        <v>45981</v>
      </c>
      <c r="K2311" s="28" t="n">
        <v>45999</v>
      </c>
      <c r="L2311" t="inlineStr">
        <is>
          <t>Sin respuesta tras 3 contactos</t>
        </is>
      </c>
    </row>
    <row r="2312">
      <c r="A2312" t="inlineStr">
        <is>
          <t>CLI-2310</t>
        </is>
      </c>
      <c r="B2312" t="inlineStr">
        <is>
          <t>Alejandro Toro Gaviria</t>
        </is>
      </c>
      <c r="C2312" t="inlineStr">
        <is>
          <t>3205830399</t>
        </is>
      </c>
      <c r="D2312" t="inlineStr">
        <is>
          <t>alejandro.toro89@yahoo.com</t>
        </is>
      </c>
      <c r="E2312" t="inlineStr">
        <is>
          <t>La Estrella</t>
        </is>
      </c>
      <c r="F2312" t="inlineStr">
        <is>
          <t>PRY-002</t>
        </is>
      </c>
      <c r="G2312" t="inlineStr">
        <is>
          <t>Instagram</t>
        </is>
      </c>
      <c r="H2312" t="inlineStr">
        <is>
          <t>Sofía Prada</t>
        </is>
      </c>
      <c r="I2312" t="inlineStr">
        <is>
          <t>Perdido</t>
        </is>
      </c>
      <c r="J2312" s="28" t="n">
        <v>45981</v>
      </c>
      <c r="K2312" s="28" t="n">
        <v>45992</v>
      </c>
      <c r="L2312" t="inlineStr">
        <is>
          <t>Sin respuesta tras 3 contactos</t>
        </is>
      </c>
    </row>
    <row r="2313">
      <c r="A2313" t="inlineStr">
        <is>
          <t>CLI-2311</t>
        </is>
      </c>
      <c r="B2313" t="inlineStr">
        <is>
          <t>Cristian Quintero Betancur</t>
        </is>
      </c>
      <c r="C2313" t="inlineStr">
        <is>
          <t>3138842469</t>
        </is>
      </c>
      <c r="D2313" t="inlineStr">
        <is>
          <t>cristian.quintero51@hotmail.com</t>
        </is>
      </c>
      <c r="E2313" t="inlineStr">
        <is>
          <t>La Estrella</t>
        </is>
      </c>
      <c r="F2313" t="inlineStr">
        <is>
          <t>PRY-006</t>
        </is>
      </c>
      <c r="G2313" t="inlineStr">
        <is>
          <t>Instagram</t>
        </is>
      </c>
      <c r="H2313" t="inlineStr">
        <is>
          <t>Sofía Prada</t>
        </is>
      </c>
      <c r="I2313" t="inlineStr">
        <is>
          <t>Perdido</t>
        </is>
      </c>
      <c r="J2313" s="28" t="n">
        <v>45981</v>
      </c>
      <c r="K2313" s="28" t="n">
        <v>46001</v>
      </c>
      <c r="L2313" t="inlineStr">
        <is>
          <t>Presupuesto insuficiente</t>
        </is>
      </c>
    </row>
    <row r="2314">
      <c r="A2314" t="inlineStr">
        <is>
          <t>CLI-2312</t>
        </is>
      </c>
      <c r="B2314" t="inlineStr">
        <is>
          <t>José Agudelo Betancur</t>
        </is>
      </c>
      <c r="C2314" t="inlineStr">
        <is>
          <t>3203305128</t>
        </is>
      </c>
      <c r="D2314" t="inlineStr">
        <is>
          <t>jose.agudelo55@outlook.com</t>
        </is>
      </c>
      <c r="E2314" t="inlineStr">
        <is>
          <t>Sabaneta</t>
        </is>
      </c>
      <c r="F2314" t="inlineStr">
        <is>
          <t>PRY-006</t>
        </is>
      </c>
      <c r="G2314" t="inlineStr">
        <is>
          <t>Feria Inmobiliaria</t>
        </is>
      </c>
      <c r="H2314" t="inlineStr">
        <is>
          <t>Sofía Prada</t>
        </is>
      </c>
      <c r="I2314" t="inlineStr">
        <is>
          <t>Perdido</t>
        </is>
      </c>
      <c r="J2314" s="28" t="n">
        <v>45981</v>
      </c>
      <c r="K2314" s="28" t="n">
        <v>46002</v>
      </c>
      <c r="L2314" t="inlineStr">
        <is>
          <t>Buscaba arriendo, no compra</t>
        </is>
      </c>
    </row>
    <row r="2315">
      <c r="A2315" t="inlineStr">
        <is>
          <t>CLI-2313</t>
        </is>
      </c>
      <c r="B2315" t="inlineStr">
        <is>
          <t>Emilio Giraldo Higuita</t>
        </is>
      </c>
      <c r="C2315" t="inlineStr">
        <is>
          <t>3208389927</t>
        </is>
      </c>
      <c r="D2315" t="inlineStr">
        <is>
          <t>emilio.giraldo34@outlook.com</t>
        </is>
      </c>
      <c r="E2315" t="inlineStr">
        <is>
          <t>Medellín</t>
        </is>
      </c>
      <c r="F2315" t="inlineStr">
        <is>
          <t>PRY-001</t>
        </is>
      </c>
      <c r="G2315" t="inlineStr">
        <is>
          <t>Facebook</t>
        </is>
      </c>
      <c r="H2315" t="inlineStr">
        <is>
          <t>Daniela Ríos</t>
        </is>
      </c>
      <c r="I2315" t="inlineStr">
        <is>
          <t>Perdido</t>
        </is>
      </c>
      <c r="J2315" s="28" t="n">
        <v>45981</v>
      </c>
      <c r="K2315" s="28" t="n">
        <v>46000</v>
      </c>
      <c r="L2315" t="inlineStr">
        <is>
          <t>Datos de contacto errados</t>
        </is>
      </c>
    </row>
    <row r="2316">
      <c r="A2316" t="inlineStr">
        <is>
          <t>CLI-2314</t>
        </is>
      </c>
      <c r="B2316" t="inlineStr">
        <is>
          <t>Simón Vélez Rojas</t>
        </is>
      </c>
      <c r="C2316" t="inlineStr">
        <is>
          <t>3236082891</t>
        </is>
      </c>
      <c r="D2316" t="inlineStr">
        <is>
          <t>simon.velez87@hotmail.com</t>
        </is>
      </c>
      <c r="E2316" t="inlineStr">
        <is>
          <t>Medellín</t>
        </is>
      </c>
      <c r="F2316" t="inlineStr">
        <is>
          <t>PRY-006</t>
        </is>
      </c>
      <c r="G2316" t="inlineStr">
        <is>
          <t>Portal Web</t>
        </is>
      </c>
      <c r="H2316" t="inlineStr">
        <is>
          <t>Paula Arenas</t>
        </is>
      </c>
      <c r="I2316" t="inlineStr">
        <is>
          <t>Perdido</t>
        </is>
      </c>
      <c r="J2316" s="28" t="n">
        <v>45982</v>
      </c>
      <c r="K2316" s="28" t="n">
        <v>46006</v>
      </c>
      <c r="L2316" t="inlineStr">
        <is>
          <t>No calificó para crédito</t>
        </is>
      </c>
    </row>
    <row r="2317">
      <c r="A2317" t="inlineStr">
        <is>
          <t>CLI-2315</t>
        </is>
      </c>
      <c r="B2317" t="inlineStr">
        <is>
          <t>Wilson Cardona Marín</t>
        </is>
      </c>
      <c r="C2317" t="inlineStr">
        <is>
          <t>3046232034</t>
        </is>
      </c>
      <c r="D2317" t="inlineStr">
        <is>
          <t>wilson.cardona38@gmail.com</t>
        </is>
      </c>
      <c r="E2317" t="inlineStr">
        <is>
          <t>Envigado</t>
        </is>
      </c>
      <c r="F2317" t="inlineStr">
        <is>
          <t>PRY-007</t>
        </is>
      </c>
      <c r="G2317" t="inlineStr">
        <is>
          <t>Facebook</t>
        </is>
      </c>
      <c r="H2317" t="inlineStr">
        <is>
          <t>Ana Quintero</t>
        </is>
      </c>
      <c r="I2317" t="inlineStr">
        <is>
          <t>Perdido</t>
        </is>
      </c>
      <c r="J2317" s="28" t="n">
        <v>45982</v>
      </c>
      <c r="K2317" s="28" t="n">
        <v>46003</v>
      </c>
      <c r="L2317" t="inlineStr">
        <is>
          <t>Buscaba arriendo, no compra</t>
        </is>
      </c>
    </row>
    <row r="2318">
      <c r="A2318" t="inlineStr">
        <is>
          <t>CLI-2316</t>
        </is>
      </c>
      <c r="B2318" t="inlineStr">
        <is>
          <t>Jorge Castaño Salazar</t>
        </is>
      </c>
      <c r="C2318" t="inlineStr">
        <is>
          <t>3223739030</t>
        </is>
      </c>
      <c r="D2318" t="inlineStr">
        <is>
          <t>jorge.castano54@hotmail.com</t>
        </is>
      </c>
      <c r="E2318" t="inlineStr">
        <is>
          <t>Medellín</t>
        </is>
      </c>
      <c r="F2318" t="inlineStr">
        <is>
          <t>PRY-006</t>
        </is>
      </c>
      <c r="G2318" t="inlineStr">
        <is>
          <t>Portal Web</t>
        </is>
      </c>
      <c r="H2318" t="inlineStr">
        <is>
          <t>Santiago Muñoz</t>
        </is>
      </c>
      <c r="I2318" t="inlineStr">
        <is>
          <t>Perdido</t>
        </is>
      </c>
      <c r="J2318" s="28" t="n">
        <v>45982</v>
      </c>
      <c r="K2318" s="28" t="n">
        <v>46011</v>
      </c>
      <c r="L2318" t="inlineStr">
        <is>
          <t>Presupuesto insuficiente</t>
        </is>
      </c>
    </row>
    <row r="2319">
      <c r="A2319" t="inlineStr">
        <is>
          <t>CLI-2317</t>
        </is>
      </c>
      <c r="B2319" t="inlineStr">
        <is>
          <t>Catalina Zuluaga Cano</t>
        </is>
      </c>
      <c r="C2319" t="inlineStr">
        <is>
          <t>3011369679</t>
        </is>
      </c>
      <c r="D2319" t="inlineStr">
        <is>
          <t>catalina.zuluaga83@hotmail.com</t>
        </is>
      </c>
      <c r="E2319" t="inlineStr">
        <is>
          <t>Bello</t>
        </is>
      </c>
      <c r="F2319" t="inlineStr">
        <is>
          <t>PRY-006</t>
        </is>
      </c>
      <c r="G2319" t="inlineStr">
        <is>
          <t>Portal Web</t>
        </is>
      </c>
      <c r="H2319" t="inlineStr">
        <is>
          <t>Paula Arenas</t>
        </is>
      </c>
      <c r="I2319" t="inlineStr">
        <is>
          <t>Perdido</t>
        </is>
      </c>
      <c r="J2319" s="28" t="n">
        <v>45982</v>
      </c>
      <c r="K2319" s="28" t="n">
        <v>45997</v>
      </c>
      <c r="L2319" t="inlineStr">
        <is>
          <t>No calificó para crédito</t>
        </is>
      </c>
    </row>
    <row r="2320">
      <c r="A2320" t="inlineStr">
        <is>
          <t>CLI-2318</t>
        </is>
      </c>
      <c r="B2320" t="inlineStr">
        <is>
          <t>Ricardo Henao Correa</t>
        </is>
      </c>
      <c r="C2320" t="inlineStr">
        <is>
          <t>3009704151</t>
        </is>
      </c>
      <c r="D2320" t="inlineStr">
        <is>
          <t>ricardo.henao99@yahoo.com</t>
        </is>
      </c>
      <c r="E2320" t="inlineStr">
        <is>
          <t>Rionegro</t>
        </is>
      </c>
      <c r="F2320" t="inlineStr">
        <is>
          <t>PRY-005</t>
        </is>
      </c>
      <c r="G2320" t="inlineStr">
        <is>
          <t>Referido</t>
        </is>
      </c>
      <c r="H2320" t="inlineStr">
        <is>
          <t>Sofía Prada</t>
        </is>
      </c>
      <c r="I2320" t="inlineStr">
        <is>
          <t>Ganado</t>
        </is>
      </c>
      <c r="J2320" s="28" t="n">
        <v>45983</v>
      </c>
      <c r="K2320" s="28" t="n">
        <v>46092</v>
      </c>
      <c r="L2320" t="inlineStr">
        <is>
          <t>Compró Apto 202 en Ciudadela Rionegro</t>
        </is>
      </c>
    </row>
    <row r="2321">
      <c r="A2321" t="inlineStr">
        <is>
          <t>CLI-2319</t>
        </is>
      </c>
      <c r="B2321" t="inlineStr">
        <is>
          <t>Andrés Duque Marín</t>
        </is>
      </c>
      <c r="C2321" t="inlineStr">
        <is>
          <t>3224375508</t>
        </is>
      </c>
      <c r="D2321" t="inlineStr">
        <is>
          <t>andres.duque58@outlook.com</t>
        </is>
      </c>
      <c r="E2321" t="inlineStr">
        <is>
          <t>Bello</t>
        </is>
      </c>
      <c r="F2321" t="inlineStr">
        <is>
          <t>PRY-006</t>
        </is>
      </c>
      <c r="G2321" t="inlineStr">
        <is>
          <t>Portal Web</t>
        </is>
      </c>
      <c r="H2321" t="inlineStr">
        <is>
          <t>Ana Quintero</t>
        </is>
      </c>
      <c r="I2321" t="inlineStr">
        <is>
          <t>Perdido</t>
        </is>
      </c>
      <c r="J2321" s="28" t="n">
        <v>45983</v>
      </c>
      <c r="K2321" s="28" t="n">
        <v>45991</v>
      </c>
      <c r="L2321" t="inlineStr">
        <is>
          <t>Sin respuesta tras 3 contactos</t>
        </is>
      </c>
    </row>
    <row r="2322">
      <c r="A2322" t="inlineStr">
        <is>
          <t>CLI-2320</t>
        </is>
      </c>
      <c r="B2322" t="inlineStr">
        <is>
          <t>Ricardo Agudelo Gómez</t>
        </is>
      </c>
      <c r="C2322" t="inlineStr">
        <is>
          <t>3004343341</t>
        </is>
      </c>
      <c r="D2322" t="inlineStr">
        <is>
          <t>ricardo.agudelo6@outlook.com</t>
        </is>
      </c>
      <c r="E2322" t="inlineStr">
        <is>
          <t>Envigado</t>
        </is>
      </c>
      <c r="F2322" t="inlineStr">
        <is>
          <t>PRY-003</t>
        </is>
      </c>
      <c r="G2322" t="inlineStr">
        <is>
          <t>Referido</t>
        </is>
      </c>
      <c r="H2322" t="inlineStr">
        <is>
          <t>Santiago Muñoz</t>
        </is>
      </c>
      <c r="I2322" t="inlineStr">
        <is>
          <t>Ganado</t>
        </is>
      </c>
      <c r="J2322" s="28" t="n">
        <v>45984</v>
      </c>
      <c r="K2322" s="28" t="n">
        <v>46074</v>
      </c>
      <c r="L2322" t="inlineStr">
        <is>
          <t>Compró Apto 206 en Conecta Laureles</t>
        </is>
      </c>
    </row>
    <row r="2323">
      <c r="A2323" t="inlineStr">
        <is>
          <t>CLI-2321</t>
        </is>
      </c>
      <c r="B2323" t="inlineStr">
        <is>
          <t>Rodrigo Montoya Gaviria</t>
        </is>
      </c>
      <c r="C2323" t="inlineStr">
        <is>
          <t>3158983974</t>
        </is>
      </c>
      <c r="D2323" t="inlineStr">
        <is>
          <t>rodrigo.montoya17@hotmail.com</t>
        </is>
      </c>
      <c r="E2323" t="inlineStr">
        <is>
          <t>Rionegro</t>
        </is>
      </c>
      <c r="F2323" t="inlineStr">
        <is>
          <t>PRY-005</t>
        </is>
      </c>
      <c r="G2323" t="inlineStr">
        <is>
          <t>Facebook</t>
        </is>
      </c>
      <c r="H2323" t="inlineStr">
        <is>
          <t>Daniela Ríos</t>
        </is>
      </c>
      <c r="I2323" t="inlineStr">
        <is>
          <t>Perdido</t>
        </is>
      </c>
      <c r="J2323" s="28" t="n">
        <v>45984</v>
      </c>
      <c r="K2323" s="28" t="n">
        <v>45992</v>
      </c>
      <c r="L2323" t="inlineStr">
        <is>
          <t>No calificó para crédito</t>
        </is>
      </c>
    </row>
    <row r="2324">
      <c r="A2324" t="inlineStr">
        <is>
          <t>CLI-2322</t>
        </is>
      </c>
      <c r="B2324" t="inlineStr">
        <is>
          <t>Sebastián Gómez Cardona</t>
        </is>
      </c>
      <c r="C2324" t="inlineStr">
        <is>
          <t>3007004238</t>
        </is>
      </c>
      <c r="D2324" t="inlineStr">
        <is>
          <t>sebastian.gomez40@yahoo.com</t>
        </is>
      </c>
      <c r="E2324" t="inlineStr">
        <is>
          <t>Itagüí</t>
        </is>
      </c>
      <c r="F2324" t="inlineStr">
        <is>
          <t>PRY-008</t>
        </is>
      </c>
      <c r="G2324" t="inlineStr">
        <is>
          <t>Facebook</t>
        </is>
      </c>
      <c r="H2324" t="inlineStr">
        <is>
          <t>Santiago Muñoz</t>
        </is>
      </c>
      <c r="I2324" t="inlineStr">
        <is>
          <t>Perdido</t>
        </is>
      </c>
      <c r="J2324" s="28" t="n">
        <v>45984</v>
      </c>
      <c r="K2324" s="28" t="n">
        <v>46000</v>
      </c>
      <c r="L2324" t="inlineStr">
        <is>
          <t>No calificó para crédito</t>
        </is>
      </c>
    </row>
    <row r="2325">
      <c r="A2325" t="inlineStr">
        <is>
          <t>CLI-2323</t>
        </is>
      </c>
      <c r="B2325" t="inlineStr">
        <is>
          <t>Valeria Ríos Uribe</t>
        </is>
      </c>
      <c r="C2325" t="inlineStr">
        <is>
          <t>3043579489</t>
        </is>
      </c>
      <c r="D2325" t="inlineStr">
        <is>
          <t>valeria.rios73@outlook.com</t>
        </is>
      </c>
      <c r="E2325" t="inlineStr">
        <is>
          <t>Itagüí</t>
        </is>
      </c>
      <c r="F2325" t="inlineStr">
        <is>
          <t>PRY-008</t>
        </is>
      </c>
      <c r="G2325" t="inlineStr">
        <is>
          <t>Facebook</t>
        </is>
      </c>
      <c r="H2325" t="inlineStr">
        <is>
          <t>Luis Bedoya</t>
        </is>
      </c>
      <c r="I2325" t="inlineStr">
        <is>
          <t>Perdido</t>
        </is>
      </c>
      <c r="J2325" s="28" t="n">
        <v>45984</v>
      </c>
      <c r="K2325" s="28" t="n">
        <v>45998</v>
      </c>
      <c r="L2325" t="inlineStr">
        <is>
          <t>Presupuesto insuficiente</t>
        </is>
      </c>
    </row>
    <row r="2326">
      <c r="A2326" t="inlineStr">
        <is>
          <t>CLI-2324</t>
        </is>
      </c>
      <c r="B2326" t="inlineStr">
        <is>
          <t>Mauricio Ríos Correa</t>
        </is>
      </c>
      <c r="C2326" t="inlineStr">
        <is>
          <t>3235261612</t>
        </is>
      </c>
      <c r="D2326" t="inlineStr">
        <is>
          <t>mauricio.rios94@yahoo.com</t>
        </is>
      </c>
      <c r="E2326" t="inlineStr">
        <is>
          <t>Rionegro</t>
        </is>
      </c>
      <c r="F2326" t="inlineStr">
        <is>
          <t>PRY-006</t>
        </is>
      </c>
      <c r="G2326" t="inlineStr">
        <is>
          <t>Portal Web</t>
        </is>
      </c>
      <c r="H2326" t="inlineStr">
        <is>
          <t>Miguel Salazar</t>
        </is>
      </c>
      <c r="I2326" t="inlineStr">
        <is>
          <t>Perdido</t>
        </is>
      </c>
      <c r="J2326" s="28" t="n">
        <v>45984</v>
      </c>
      <c r="K2326" s="28" t="n">
        <v>45991</v>
      </c>
      <c r="L2326" t="inlineStr">
        <is>
          <t>No calificó para crédito</t>
        </is>
      </c>
    </row>
    <row r="2327">
      <c r="A2327" t="inlineStr">
        <is>
          <t>CLI-2325</t>
        </is>
      </c>
      <c r="B2327" t="inlineStr">
        <is>
          <t>Fernando Zuluaga Sánchez</t>
        </is>
      </c>
      <c r="C2327" t="inlineStr">
        <is>
          <t>3152860471</t>
        </is>
      </c>
      <c r="D2327" t="inlineStr">
        <is>
          <t>fernando.zuluaga87@hotmail.com</t>
        </is>
      </c>
      <c r="E2327" t="inlineStr">
        <is>
          <t>Itagüí</t>
        </is>
      </c>
      <c r="F2327" t="inlineStr">
        <is>
          <t>PRY-008</t>
        </is>
      </c>
      <c r="G2327" t="inlineStr">
        <is>
          <t>Feria Inmobiliaria</t>
        </is>
      </c>
      <c r="H2327" t="inlineStr">
        <is>
          <t>Andrés Torres</t>
        </is>
      </c>
      <c r="I2327" t="inlineStr">
        <is>
          <t>Perdido</t>
        </is>
      </c>
      <c r="J2327" s="28" t="n">
        <v>45985</v>
      </c>
      <c r="K2327" s="28" t="n">
        <v>46013</v>
      </c>
      <c r="L2327" t="inlineStr">
        <is>
          <t>No calificó para crédito</t>
        </is>
      </c>
    </row>
    <row r="2328">
      <c r="A2328" t="inlineStr">
        <is>
          <t>CLI-2326</t>
        </is>
      </c>
      <c r="B2328" t="inlineStr">
        <is>
          <t>Laura Ramírez Giraldo</t>
        </is>
      </c>
      <c r="C2328" t="inlineStr">
        <is>
          <t>3014888289</t>
        </is>
      </c>
      <c r="D2328" t="inlineStr">
        <is>
          <t>laura.ramirez13@yahoo.com</t>
        </is>
      </c>
      <c r="E2328" t="inlineStr">
        <is>
          <t>Itagüí</t>
        </is>
      </c>
      <c r="F2328" t="inlineStr">
        <is>
          <t>PRY-008</t>
        </is>
      </c>
      <c r="G2328" t="inlineStr">
        <is>
          <t>Feria Inmobiliaria</t>
        </is>
      </c>
      <c r="H2328" t="inlineStr">
        <is>
          <t>Ana Quintero</t>
        </is>
      </c>
      <c r="I2328" t="inlineStr">
        <is>
          <t>Perdido</t>
        </is>
      </c>
      <c r="J2328" s="28" t="n">
        <v>45985</v>
      </c>
      <c r="K2328" s="28" t="n">
        <v>46015</v>
      </c>
      <c r="L2328" t="inlineStr">
        <is>
          <t>No calificó para crédito</t>
        </is>
      </c>
    </row>
    <row r="2329">
      <c r="A2329" t="inlineStr">
        <is>
          <t>CLI-2327</t>
        </is>
      </c>
      <c r="B2329" t="inlineStr">
        <is>
          <t>Julián Vargas Vásquez</t>
        </is>
      </c>
      <c r="C2329" t="inlineStr">
        <is>
          <t>3172532489</t>
        </is>
      </c>
      <c r="D2329" t="inlineStr">
        <is>
          <t>julian.vargas6@gmail.com</t>
        </is>
      </c>
      <c r="E2329" t="inlineStr">
        <is>
          <t>Medellín</t>
        </is>
      </c>
      <c r="F2329" t="inlineStr">
        <is>
          <t>PRY-003</t>
        </is>
      </c>
      <c r="G2329" t="inlineStr">
        <is>
          <t>Portal Web</t>
        </is>
      </c>
      <c r="H2329" t="inlineStr">
        <is>
          <t>Luis Bedoya</t>
        </is>
      </c>
      <c r="I2329" t="inlineStr">
        <is>
          <t>Perdido</t>
        </is>
      </c>
      <c r="J2329" s="28" t="n">
        <v>45985</v>
      </c>
      <c r="K2329" s="28" t="n">
        <v>46012</v>
      </c>
      <c r="L2329" t="inlineStr">
        <is>
          <t>Sin respuesta tras 3 contactos</t>
        </is>
      </c>
    </row>
    <row r="2330">
      <c r="A2330" t="inlineStr">
        <is>
          <t>CLI-2328</t>
        </is>
      </c>
      <c r="B2330" t="inlineStr">
        <is>
          <t>Juliana López Franco</t>
        </is>
      </c>
      <c r="C2330" t="inlineStr">
        <is>
          <t>3176148983</t>
        </is>
      </c>
      <c r="D2330" t="inlineStr">
        <is>
          <t>juliana.lopez93@hotmail.com</t>
        </is>
      </c>
      <c r="E2330" t="inlineStr">
        <is>
          <t>Medellín</t>
        </is>
      </c>
      <c r="F2330" t="inlineStr">
        <is>
          <t>PRY-006</t>
        </is>
      </c>
      <c r="G2330" t="inlineStr">
        <is>
          <t>Facebook</t>
        </is>
      </c>
      <c r="H2330" t="inlineStr">
        <is>
          <t>Miguel Salazar</t>
        </is>
      </c>
      <c r="I2330" t="inlineStr">
        <is>
          <t>Perdido</t>
        </is>
      </c>
      <c r="J2330" s="28" t="n">
        <v>45986</v>
      </c>
      <c r="K2330" s="28" t="n">
        <v>46003</v>
      </c>
      <c r="L2330" t="inlineStr">
        <is>
          <t>Sin respuesta tras 3 contactos</t>
        </is>
      </c>
    </row>
    <row r="2331">
      <c r="A2331" t="inlineStr">
        <is>
          <t>CLI-2329</t>
        </is>
      </c>
      <c r="B2331" t="inlineStr">
        <is>
          <t>Carolina Franco Vargas</t>
        </is>
      </c>
      <c r="C2331" t="inlineStr">
        <is>
          <t>3137008722</t>
        </is>
      </c>
      <c r="D2331" t="inlineStr">
        <is>
          <t>carolina.franco4@gmail.com</t>
        </is>
      </c>
      <c r="E2331" t="inlineStr">
        <is>
          <t>Sabaneta</t>
        </is>
      </c>
      <c r="F2331" t="inlineStr">
        <is>
          <t>PRY-002</t>
        </is>
      </c>
      <c r="G2331" t="inlineStr">
        <is>
          <t>Facebook</t>
        </is>
      </c>
      <c r="H2331" t="inlineStr">
        <is>
          <t>Ana Quintero</t>
        </is>
      </c>
      <c r="I2331" t="inlineStr">
        <is>
          <t>Perdido</t>
        </is>
      </c>
      <c r="J2331" s="28" t="n">
        <v>45986</v>
      </c>
      <c r="K2331" s="28" t="n">
        <v>46008</v>
      </c>
      <c r="L2331" t="inlineStr">
        <is>
          <t>Datos de contacto errados</t>
        </is>
      </c>
    </row>
    <row r="2332">
      <c r="A2332" t="inlineStr">
        <is>
          <t>CLI-2330</t>
        </is>
      </c>
      <c r="B2332" t="inlineStr">
        <is>
          <t>Valentina Toro Cifuentes</t>
        </is>
      </c>
      <c r="C2332" t="inlineStr">
        <is>
          <t>3235978796</t>
        </is>
      </c>
      <c r="D2332" t="inlineStr">
        <is>
          <t>valentina.toro14@yahoo.com</t>
        </is>
      </c>
      <c r="E2332" t="inlineStr">
        <is>
          <t>Medellín</t>
        </is>
      </c>
      <c r="F2332" t="inlineStr">
        <is>
          <t>PRY-001</t>
        </is>
      </c>
      <c r="G2332" t="inlineStr">
        <is>
          <t>Portal Web</t>
        </is>
      </c>
      <c r="H2332" t="inlineStr">
        <is>
          <t>Sofía Prada</t>
        </is>
      </c>
      <c r="I2332" t="inlineStr">
        <is>
          <t>Perdido</t>
        </is>
      </c>
      <c r="J2332" s="28" t="n">
        <v>45987</v>
      </c>
      <c r="K2332" s="28" t="n">
        <v>46012</v>
      </c>
      <c r="L2332" t="inlineStr">
        <is>
          <t>Sin respuesta tras 3 contactos</t>
        </is>
      </c>
    </row>
    <row r="2333">
      <c r="A2333" t="inlineStr">
        <is>
          <t>CLI-2331</t>
        </is>
      </c>
      <c r="B2333" t="inlineStr">
        <is>
          <t>Diana Henao Vásquez</t>
        </is>
      </c>
      <c r="C2333" t="inlineStr">
        <is>
          <t>3225248532</t>
        </is>
      </c>
      <c r="D2333" t="inlineStr">
        <is>
          <t>diana.henao87@gmail.com</t>
        </is>
      </c>
      <c r="E2333" t="inlineStr">
        <is>
          <t>Medellín</t>
        </is>
      </c>
      <c r="F2333" t="inlineStr">
        <is>
          <t>PRY-002</t>
        </is>
      </c>
      <c r="G2333" t="inlineStr">
        <is>
          <t>Feria Inmobiliaria</t>
        </is>
      </c>
      <c r="H2333" t="inlineStr">
        <is>
          <t>Sofía Prada</t>
        </is>
      </c>
      <c r="I2333" t="inlineStr">
        <is>
          <t>Perdido</t>
        </is>
      </c>
      <c r="J2333" s="28" t="n">
        <v>45987</v>
      </c>
      <c r="K2333" s="28" t="n">
        <v>46005</v>
      </c>
      <c r="L2333" t="inlineStr">
        <is>
          <t>Buscaba arriendo, no compra</t>
        </is>
      </c>
    </row>
    <row r="2334">
      <c r="A2334" t="inlineStr">
        <is>
          <t>CLI-2332</t>
        </is>
      </c>
      <c r="B2334" t="inlineStr">
        <is>
          <t>Mateo Echeverri Cifuentes</t>
        </is>
      </c>
      <c r="C2334" t="inlineStr">
        <is>
          <t>3108824544</t>
        </is>
      </c>
      <c r="D2334" t="inlineStr">
        <is>
          <t>mateo.echeverri26@hotmail.com</t>
        </is>
      </c>
      <c r="E2334" t="inlineStr">
        <is>
          <t>Itagüí</t>
        </is>
      </c>
      <c r="F2334" t="inlineStr">
        <is>
          <t>PRY-008</t>
        </is>
      </c>
      <c r="G2334" t="inlineStr">
        <is>
          <t>Facebook</t>
        </is>
      </c>
      <c r="H2334" t="inlineStr">
        <is>
          <t>Luis Bedoya</t>
        </is>
      </c>
      <c r="I2334" t="inlineStr">
        <is>
          <t>Perdido</t>
        </is>
      </c>
      <c r="J2334" s="28" t="n">
        <v>45988</v>
      </c>
      <c r="K2334" s="28" t="n">
        <v>45995</v>
      </c>
      <c r="L2334" t="inlineStr">
        <is>
          <t>Datos de contacto errados</t>
        </is>
      </c>
    </row>
    <row r="2335">
      <c r="A2335" t="inlineStr">
        <is>
          <t>CLI-2333</t>
        </is>
      </c>
      <c r="B2335" t="inlineStr">
        <is>
          <t>Santiago Quintero Duque</t>
        </is>
      </c>
      <c r="C2335" t="inlineStr">
        <is>
          <t>3149981976</t>
        </is>
      </c>
      <c r="D2335" t="inlineStr">
        <is>
          <t>santiago.quintero57@outlook.com</t>
        </is>
      </c>
      <c r="E2335" t="inlineStr">
        <is>
          <t>Bello</t>
        </is>
      </c>
      <c r="F2335" t="inlineStr">
        <is>
          <t>PRY-006</t>
        </is>
      </c>
      <c r="G2335" t="inlineStr">
        <is>
          <t>Portal Web</t>
        </is>
      </c>
      <c r="H2335" t="inlineStr">
        <is>
          <t>Mateo Herrera</t>
        </is>
      </c>
      <c r="I2335" t="inlineStr">
        <is>
          <t>Perdido</t>
        </is>
      </c>
      <c r="J2335" s="28" t="n">
        <v>45988</v>
      </c>
      <c r="K2335" s="28" t="n">
        <v>46013</v>
      </c>
      <c r="L2335" t="inlineStr">
        <is>
          <t>Buscaba arriendo, no compra</t>
        </is>
      </c>
    </row>
    <row r="2336">
      <c r="A2336" t="inlineStr">
        <is>
          <t>CLI-2334</t>
        </is>
      </c>
      <c r="B2336" t="inlineStr">
        <is>
          <t>Jhon Valencia Osorio</t>
        </is>
      </c>
      <c r="C2336" t="inlineStr">
        <is>
          <t>3015692088</t>
        </is>
      </c>
      <c r="D2336" t="inlineStr">
        <is>
          <t>jhon.valencia11@yahoo.com</t>
        </is>
      </c>
      <c r="E2336" t="inlineStr">
        <is>
          <t>Itagüí</t>
        </is>
      </c>
      <c r="F2336" t="inlineStr">
        <is>
          <t>PRY-008</t>
        </is>
      </c>
      <c r="G2336" t="inlineStr">
        <is>
          <t>Instagram</t>
        </is>
      </c>
      <c r="H2336" t="inlineStr">
        <is>
          <t>Miguel Salazar</t>
        </is>
      </c>
      <c r="I2336" t="inlineStr">
        <is>
          <t>Ganado</t>
        </is>
      </c>
      <c r="J2336" s="28" t="n">
        <v>45989</v>
      </c>
      <c r="K2336" s="28" t="n">
        <v>46096</v>
      </c>
      <c r="L2336" t="inlineStr">
        <is>
          <t>Compró Casa 106 en Valle Verde Itagüí</t>
        </is>
      </c>
    </row>
    <row r="2337">
      <c r="A2337" t="inlineStr">
        <is>
          <t>CLI-2335</t>
        </is>
      </c>
      <c r="B2337" t="inlineStr">
        <is>
          <t>Mariana Montoya Cifuentes</t>
        </is>
      </c>
      <c r="C2337" t="inlineStr">
        <is>
          <t>3135387362</t>
        </is>
      </c>
      <c r="D2337" t="inlineStr">
        <is>
          <t>mariana.montoya91@hotmail.com</t>
        </is>
      </c>
      <c r="E2337" t="inlineStr">
        <is>
          <t>Bello</t>
        </is>
      </c>
      <c r="F2337" t="inlineStr">
        <is>
          <t>PRY-006</t>
        </is>
      </c>
      <c r="G2337" t="inlineStr">
        <is>
          <t>Portal Web</t>
        </is>
      </c>
      <c r="H2337" t="inlineStr">
        <is>
          <t>Ana Quintero</t>
        </is>
      </c>
      <c r="I2337" t="inlineStr">
        <is>
          <t>Perdido</t>
        </is>
      </c>
      <c r="J2337" s="28" t="n">
        <v>45989</v>
      </c>
      <c r="K2337" s="28" t="n">
        <v>46018</v>
      </c>
      <c r="L2337" t="inlineStr">
        <is>
          <t>Buscaba arriendo, no compra</t>
        </is>
      </c>
    </row>
    <row r="2338">
      <c r="A2338" t="inlineStr">
        <is>
          <t>CLI-2336</t>
        </is>
      </c>
      <c r="B2338" t="inlineStr">
        <is>
          <t>Cristian Jaramillo Jaramillo</t>
        </is>
      </c>
      <c r="C2338" t="inlineStr">
        <is>
          <t>3135415307</t>
        </is>
      </c>
      <c r="D2338" t="inlineStr">
        <is>
          <t>cristian.jaramillo65@gmail.com</t>
        </is>
      </c>
      <c r="E2338" t="inlineStr">
        <is>
          <t>Envigado</t>
        </is>
      </c>
      <c r="F2338" t="inlineStr">
        <is>
          <t>PRY-007</t>
        </is>
      </c>
      <c r="G2338" t="inlineStr">
        <is>
          <t>Facebook</t>
        </is>
      </c>
      <c r="H2338" t="inlineStr">
        <is>
          <t>Luis Bedoya</t>
        </is>
      </c>
      <c r="I2338" t="inlineStr">
        <is>
          <t>Perdido</t>
        </is>
      </c>
      <c r="J2338" s="28" t="n">
        <v>45989</v>
      </c>
      <c r="K2338" s="28" t="n">
        <v>46015</v>
      </c>
      <c r="L2338" t="inlineStr">
        <is>
          <t>Sin respuesta tras 3 contactos</t>
        </is>
      </c>
    </row>
    <row r="2339">
      <c r="A2339" t="inlineStr">
        <is>
          <t>CLI-2337</t>
        </is>
      </c>
      <c r="B2339" t="inlineStr">
        <is>
          <t>Gloria Cardona Cifuentes</t>
        </is>
      </c>
      <c r="C2339" t="inlineStr">
        <is>
          <t>3221110464</t>
        </is>
      </c>
      <c r="D2339" t="inlineStr">
        <is>
          <t>gloria.cardona78@yahoo.com</t>
        </is>
      </c>
      <c r="E2339" t="inlineStr">
        <is>
          <t>Rionegro</t>
        </is>
      </c>
      <c r="F2339" t="inlineStr">
        <is>
          <t>PRY-005</t>
        </is>
      </c>
      <c r="G2339" t="inlineStr">
        <is>
          <t>Portal Web</t>
        </is>
      </c>
      <c r="H2339" t="inlineStr">
        <is>
          <t>Sofía Prada</t>
        </is>
      </c>
      <c r="I2339" t="inlineStr">
        <is>
          <t>Perdido</t>
        </is>
      </c>
      <c r="J2339" s="28" t="n">
        <v>45989</v>
      </c>
      <c r="K2339" s="28" t="n">
        <v>46015</v>
      </c>
      <c r="L2339" t="inlineStr">
        <is>
          <t>Sin respuesta tras 3 contactos</t>
        </is>
      </c>
    </row>
    <row r="2340">
      <c r="A2340" t="inlineStr">
        <is>
          <t>CLI-2338</t>
        </is>
      </c>
      <c r="B2340" t="inlineStr">
        <is>
          <t>Diego Sánchez Valencia</t>
        </is>
      </c>
      <c r="C2340" t="inlineStr">
        <is>
          <t>3105717345</t>
        </is>
      </c>
      <c r="D2340" t="inlineStr">
        <is>
          <t>diego.sanchez88@yahoo.com</t>
        </is>
      </c>
      <c r="E2340" t="inlineStr">
        <is>
          <t>Medellín</t>
        </is>
      </c>
      <c r="F2340" t="inlineStr">
        <is>
          <t>PRY-003</t>
        </is>
      </c>
      <c r="G2340" t="inlineStr">
        <is>
          <t>Facebook</t>
        </is>
      </c>
      <c r="H2340" t="inlineStr">
        <is>
          <t>Ana Quintero</t>
        </is>
      </c>
      <c r="I2340" t="inlineStr">
        <is>
          <t>Perdido</t>
        </is>
      </c>
      <c r="J2340" s="28" t="n">
        <v>45990</v>
      </c>
      <c r="K2340" s="28" t="n">
        <v>46031</v>
      </c>
      <c r="L2340" t="inlineStr">
        <is>
          <t>Crédito no aprobado</t>
        </is>
      </c>
    </row>
    <row r="2341">
      <c r="A2341" t="inlineStr">
        <is>
          <t>CLI-2339</t>
        </is>
      </c>
      <c r="B2341" t="inlineStr">
        <is>
          <t>Tomás Rojas Salazar</t>
        </is>
      </c>
      <c r="C2341" t="inlineStr">
        <is>
          <t>3159457214</t>
        </is>
      </c>
      <c r="D2341" t="inlineStr">
        <is>
          <t>tomas.rojas5@hotmail.com</t>
        </is>
      </c>
      <c r="E2341" t="inlineStr">
        <is>
          <t>Bello</t>
        </is>
      </c>
      <c r="F2341" t="inlineStr">
        <is>
          <t>PRY-006</t>
        </is>
      </c>
      <c r="G2341" t="inlineStr">
        <is>
          <t>Portal Web</t>
        </is>
      </c>
      <c r="H2341" t="inlineStr">
        <is>
          <t>Ana Quintero</t>
        </is>
      </c>
      <c r="I2341" t="inlineStr">
        <is>
          <t>Perdido</t>
        </is>
      </c>
      <c r="J2341" s="28" t="n">
        <v>45990</v>
      </c>
      <c r="K2341" s="28" t="n">
        <v>46002</v>
      </c>
      <c r="L2341" t="inlineStr">
        <is>
          <t>Sin respuesta tras 3 contactos</t>
        </is>
      </c>
    </row>
    <row r="2342">
      <c r="A2342" t="inlineStr">
        <is>
          <t>CLI-2340</t>
        </is>
      </c>
      <c r="B2342" t="inlineStr">
        <is>
          <t>Ricardo Giraldo Ríos</t>
        </is>
      </c>
      <c r="C2342" t="inlineStr">
        <is>
          <t>3237516046</t>
        </is>
      </c>
      <c r="D2342" t="inlineStr">
        <is>
          <t>ricardo.giraldo18@hotmail.com</t>
        </is>
      </c>
      <c r="E2342" t="inlineStr">
        <is>
          <t>Bello</t>
        </is>
      </c>
      <c r="F2342" t="inlineStr">
        <is>
          <t>PRY-006</t>
        </is>
      </c>
      <c r="G2342" t="inlineStr">
        <is>
          <t>Facebook</t>
        </is>
      </c>
      <c r="H2342" t="inlineStr">
        <is>
          <t>Luis Bedoya</t>
        </is>
      </c>
      <c r="I2342" t="inlineStr">
        <is>
          <t>Perdido</t>
        </is>
      </c>
      <c r="J2342" s="28" t="n">
        <v>45990</v>
      </c>
      <c r="K2342" s="28" t="n">
        <v>46013</v>
      </c>
      <c r="L2342" t="inlineStr">
        <is>
          <t>Sin respuesta tras 3 contactos</t>
        </is>
      </c>
    </row>
    <row r="2343">
      <c r="A2343" t="inlineStr">
        <is>
          <t>CLI-2341</t>
        </is>
      </c>
      <c r="B2343" t="inlineStr">
        <is>
          <t>Isabel Montes Ríos</t>
        </is>
      </c>
      <c r="C2343" t="inlineStr">
        <is>
          <t>3144557096</t>
        </is>
      </c>
      <c r="D2343" t="inlineStr">
        <is>
          <t>isabel.montes50@outlook.com</t>
        </is>
      </c>
      <c r="E2343" t="inlineStr">
        <is>
          <t>Rionegro</t>
        </is>
      </c>
      <c r="F2343" t="inlineStr">
        <is>
          <t>PRY-005</t>
        </is>
      </c>
      <c r="G2343" t="inlineStr">
        <is>
          <t>Portal Web</t>
        </is>
      </c>
      <c r="H2343" t="inlineStr">
        <is>
          <t>Ana Quintero</t>
        </is>
      </c>
      <c r="I2343" t="inlineStr">
        <is>
          <t>Perdido</t>
        </is>
      </c>
      <c r="J2343" s="28" t="n">
        <v>45990</v>
      </c>
      <c r="K2343" s="28" t="n">
        <v>46010</v>
      </c>
      <c r="L2343" t="inlineStr">
        <is>
          <t>Buscaba arriendo, no compra</t>
        </is>
      </c>
    </row>
    <row r="2344">
      <c r="A2344" t="inlineStr">
        <is>
          <t>CLI-2342</t>
        </is>
      </c>
      <c r="B2344" t="inlineStr">
        <is>
          <t>Daniel Salcedo Valencia</t>
        </is>
      </c>
      <c r="C2344" t="inlineStr">
        <is>
          <t>3047420827</t>
        </is>
      </c>
      <c r="D2344" t="inlineStr">
        <is>
          <t>daniel.salcedo57@outlook.com</t>
        </is>
      </c>
      <c r="E2344" t="inlineStr">
        <is>
          <t>La Estrella</t>
        </is>
      </c>
      <c r="F2344" t="inlineStr">
        <is>
          <t>PRY-008</t>
        </is>
      </c>
      <c r="G2344" t="inlineStr">
        <is>
          <t>Portal Web</t>
        </is>
      </c>
      <c r="H2344" t="inlineStr">
        <is>
          <t>Santiago Muñoz</t>
        </is>
      </c>
      <c r="I2344" t="inlineStr">
        <is>
          <t>Perdido</t>
        </is>
      </c>
      <c r="J2344" s="28" t="n">
        <v>45990</v>
      </c>
      <c r="K2344" s="28" t="n">
        <v>46010</v>
      </c>
      <c r="L2344" t="inlineStr">
        <is>
          <t>Presupuesto insuficiente</t>
        </is>
      </c>
    </row>
    <row r="2345">
      <c r="A2345" t="inlineStr">
        <is>
          <t>CLI-2343</t>
        </is>
      </c>
      <c r="B2345" t="inlineStr">
        <is>
          <t>Daniela Restrepo Palacio</t>
        </is>
      </c>
      <c r="C2345" t="inlineStr">
        <is>
          <t>3242824319</t>
        </is>
      </c>
      <c r="D2345" t="inlineStr">
        <is>
          <t>daniela.restrepo75@hotmail.com</t>
        </is>
      </c>
      <c r="E2345" t="inlineStr">
        <is>
          <t>Sabaneta</t>
        </is>
      </c>
      <c r="F2345" t="inlineStr">
        <is>
          <t>PRY-006</t>
        </is>
      </c>
      <c r="G2345" t="inlineStr">
        <is>
          <t>Feria Inmobiliaria</t>
        </is>
      </c>
      <c r="H2345" t="inlineStr">
        <is>
          <t>Miguel Salazar</t>
        </is>
      </c>
      <c r="I2345" t="inlineStr">
        <is>
          <t>Perdido</t>
        </is>
      </c>
      <c r="J2345" s="28" t="n">
        <v>45991</v>
      </c>
      <c r="K2345" s="28" t="n">
        <v>46137</v>
      </c>
      <c r="L2345" t="inlineStr">
        <is>
          <t>No volvió a responder</t>
        </is>
      </c>
    </row>
    <row r="2346">
      <c r="A2346" t="inlineStr">
        <is>
          <t>CLI-2344</t>
        </is>
      </c>
      <c r="B2346" t="inlineStr">
        <is>
          <t>Esteban Osorio Cardona</t>
        </is>
      </c>
      <c r="C2346" t="inlineStr">
        <is>
          <t>3012485405</t>
        </is>
      </c>
      <c r="D2346" t="inlineStr">
        <is>
          <t>esteban.osorio10@outlook.com</t>
        </is>
      </c>
      <c r="E2346" t="inlineStr">
        <is>
          <t>Medellín</t>
        </is>
      </c>
      <c r="F2346" t="inlineStr">
        <is>
          <t>PRY-001</t>
        </is>
      </c>
      <c r="G2346" t="inlineStr">
        <is>
          <t>Feria Inmobiliaria</t>
        </is>
      </c>
      <c r="H2346" t="inlineStr">
        <is>
          <t>Luis Bedoya</t>
        </is>
      </c>
      <c r="I2346" t="inlineStr">
        <is>
          <t>Ganado</t>
        </is>
      </c>
      <c r="J2346" s="28" t="n">
        <v>45991</v>
      </c>
      <c r="K2346" s="28" t="n">
        <v>46127</v>
      </c>
      <c r="L2346" t="inlineStr">
        <is>
          <t>Compró Apto 504 en Torres del Poblado</t>
        </is>
      </c>
    </row>
    <row r="2347">
      <c r="A2347" t="inlineStr">
        <is>
          <t>CLI-2345</t>
        </is>
      </c>
      <c r="B2347" t="inlineStr">
        <is>
          <t>Simón Valencia Muñoz</t>
        </is>
      </c>
      <c r="C2347" t="inlineStr">
        <is>
          <t>3133773208</t>
        </is>
      </c>
      <c r="D2347" t="inlineStr">
        <is>
          <t>simon.valencia29@outlook.com</t>
        </is>
      </c>
      <c r="E2347" t="inlineStr">
        <is>
          <t>Envigado</t>
        </is>
      </c>
      <c r="F2347" t="inlineStr">
        <is>
          <t>PRY-005</t>
        </is>
      </c>
      <c r="G2347" t="inlineStr">
        <is>
          <t>Instagram</t>
        </is>
      </c>
      <c r="H2347" t="inlineStr">
        <is>
          <t>Miguel Salazar</t>
        </is>
      </c>
      <c r="I2347" t="inlineStr">
        <is>
          <t>Perdido</t>
        </is>
      </c>
      <c r="J2347" s="28" t="n">
        <v>45991</v>
      </c>
      <c r="K2347" s="28" t="n">
        <v>46006</v>
      </c>
      <c r="L2347" t="inlineStr">
        <is>
          <t>Sin respuesta tras 3 contactos</t>
        </is>
      </c>
    </row>
    <row r="2348">
      <c r="A2348" t="inlineStr">
        <is>
          <t>CLI-2346</t>
        </is>
      </c>
      <c r="B2348" t="inlineStr">
        <is>
          <t>Julián Duque Marín</t>
        </is>
      </c>
      <c r="C2348" t="inlineStr">
        <is>
          <t>3148541306</t>
        </is>
      </c>
      <c r="D2348" t="inlineStr">
        <is>
          <t>julian.duque25@yahoo.com</t>
        </is>
      </c>
      <c r="E2348" t="inlineStr">
        <is>
          <t>Rionegro</t>
        </is>
      </c>
      <c r="F2348" t="inlineStr">
        <is>
          <t>PRY-003</t>
        </is>
      </c>
      <c r="G2348" t="inlineStr">
        <is>
          <t>Instagram</t>
        </is>
      </c>
      <c r="H2348" t="inlineStr">
        <is>
          <t>Luis Bedoya</t>
        </is>
      </c>
      <c r="I2348" t="inlineStr">
        <is>
          <t>Perdido</t>
        </is>
      </c>
      <c r="J2348" s="28" t="n">
        <v>45991</v>
      </c>
      <c r="K2348" s="28" t="n">
        <v>46018</v>
      </c>
      <c r="L2348" t="inlineStr">
        <is>
          <t>No calificó para crédito</t>
        </is>
      </c>
    </row>
    <row r="2349">
      <c r="A2349" t="inlineStr">
        <is>
          <t>CLI-2347</t>
        </is>
      </c>
      <c r="B2349" t="inlineStr">
        <is>
          <t>Simón Zuluaga Zapata</t>
        </is>
      </c>
      <c r="C2349" t="inlineStr">
        <is>
          <t>3014399509</t>
        </is>
      </c>
      <c r="D2349" t="inlineStr">
        <is>
          <t>simon.zuluaga83@outlook.com</t>
        </is>
      </c>
      <c r="E2349" t="inlineStr">
        <is>
          <t>Itagüí</t>
        </is>
      </c>
      <c r="F2349" t="inlineStr">
        <is>
          <t>PRY-002</t>
        </is>
      </c>
      <c r="G2349" t="inlineStr">
        <is>
          <t>Portal Web</t>
        </is>
      </c>
      <c r="H2349" t="inlineStr">
        <is>
          <t>Santiago Muñoz</t>
        </is>
      </c>
      <c r="I2349" t="inlineStr">
        <is>
          <t>Perdido</t>
        </is>
      </c>
      <c r="J2349" s="28" t="n">
        <v>45991</v>
      </c>
      <c r="K2349" s="28" t="n">
        <v>46002</v>
      </c>
      <c r="L2349" t="inlineStr">
        <is>
          <t>Buscaba arriendo, no compra</t>
        </is>
      </c>
    </row>
    <row r="2350">
      <c r="A2350" t="inlineStr">
        <is>
          <t>CLI-2348</t>
        </is>
      </c>
      <c r="B2350" t="inlineStr">
        <is>
          <t>Julián Cardona López</t>
        </is>
      </c>
      <c r="C2350" t="inlineStr">
        <is>
          <t>3009000698</t>
        </is>
      </c>
      <c r="D2350" t="inlineStr">
        <is>
          <t>julian.cardona14@hotmail.com</t>
        </is>
      </c>
      <c r="E2350" t="inlineStr">
        <is>
          <t>Envigado</t>
        </is>
      </c>
      <c r="F2350" t="inlineStr">
        <is>
          <t>PRY-007</t>
        </is>
      </c>
      <c r="G2350" t="inlineStr">
        <is>
          <t>Portal Web</t>
        </is>
      </c>
      <c r="H2350" t="inlineStr">
        <is>
          <t>Paula Arenas</t>
        </is>
      </c>
      <c r="I2350" t="inlineStr">
        <is>
          <t>Perdido</t>
        </is>
      </c>
      <c r="J2350" s="28" t="n">
        <v>45991</v>
      </c>
      <c r="K2350" s="28" t="n">
        <v>46011</v>
      </c>
      <c r="L2350" t="inlineStr">
        <is>
          <t>Datos de contacto errados</t>
        </is>
      </c>
    </row>
    <row r="2351">
      <c r="A2351" t="inlineStr">
        <is>
          <t>CLI-2349</t>
        </is>
      </c>
      <c r="B2351" t="inlineStr">
        <is>
          <t>Katherine Salazar Peláez</t>
        </is>
      </c>
      <c r="C2351" t="inlineStr">
        <is>
          <t>3017668205</t>
        </is>
      </c>
      <c r="D2351" t="inlineStr">
        <is>
          <t>katherine.salazar17@yahoo.com</t>
        </is>
      </c>
      <c r="E2351" t="inlineStr">
        <is>
          <t>Rionegro</t>
        </is>
      </c>
      <c r="F2351" t="inlineStr">
        <is>
          <t>PRY-002</t>
        </is>
      </c>
      <c r="G2351" t="inlineStr">
        <is>
          <t>Instagram</t>
        </is>
      </c>
      <c r="H2351" t="inlineStr">
        <is>
          <t>Mateo Herrera</t>
        </is>
      </c>
      <c r="I2351" t="inlineStr">
        <is>
          <t>Perdido</t>
        </is>
      </c>
      <c r="J2351" s="28" t="n">
        <v>45991</v>
      </c>
      <c r="K2351" s="28" t="n">
        <v>46013</v>
      </c>
      <c r="L2351" t="inlineStr">
        <is>
          <t>Sin respuesta tras 3 contactos</t>
        </is>
      </c>
    </row>
    <row r="2352">
      <c r="A2352" t="inlineStr">
        <is>
          <t>CLI-2350</t>
        </is>
      </c>
      <c r="B2352" t="inlineStr">
        <is>
          <t>Sofía Gómez Quintero</t>
        </is>
      </c>
      <c r="C2352" t="inlineStr">
        <is>
          <t>3047328294</t>
        </is>
      </c>
      <c r="D2352" t="inlineStr">
        <is>
          <t>sofia.gomez79@hotmail.com</t>
        </is>
      </c>
      <c r="E2352" t="inlineStr">
        <is>
          <t>Rionegro</t>
        </is>
      </c>
      <c r="F2352" t="inlineStr">
        <is>
          <t>PRY-005</t>
        </is>
      </c>
      <c r="G2352" t="inlineStr">
        <is>
          <t>Referido</t>
        </is>
      </c>
      <c r="H2352" t="inlineStr">
        <is>
          <t>Luis Bedoya</t>
        </is>
      </c>
      <c r="I2352" t="inlineStr">
        <is>
          <t>Perdido</t>
        </is>
      </c>
      <c r="J2352" s="28" t="n">
        <v>45991</v>
      </c>
      <c r="K2352" s="28" t="n">
        <v>46014</v>
      </c>
      <c r="L2352" t="inlineStr">
        <is>
          <t>Sin respuesta tras 3 contactos</t>
        </is>
      </c>
    </row>
    <row r="2353">
      <c r="A2353" t="inlineStr">
        <is>
          <t>CLI-2351</t>
        </is>
      </c>
      <c r="B2353" t="inlineStr">
        <is>
          <t>Daniel Betancur Higuita</t>
        </is>
      </c>
      <c r="C2353" t="inlineStr">
        <is>
          <t>3043748872</t>
        </is>
      </c>
      <c r="D2353" t="inlineStr">
        <is>
          <t>daniel.betancur40@yahoo.com</t>
        </is>
      </c>
      <c r="E2353" t="inlineStr">
        <is>
          <t>Medellín</t>
        </is>
      </c>
      <c r="F2353" t="inlineStr">
        <is>
          <t>PRY-001</t>
        </is>
      </c>
      <c r="G2353" t="inlineStr">
        <is>
          <t>Instagram</t>
        </is>
      </c>
      <c r="H2353" t="inlineStr">
        <is>
          <t>Daniela Ríos</t>
        </is>
      </c>
      <c r="I2353" t="inlineStr">
        <is>
          <t>Ganado</t>
        </is>
      </c>
      <c r="J2353" s="28" t="n">
        <v>45993</v>
      </c>
      <c r="K2353" s="28" t="n">
        <v>46149</v>
      </c>
      <c r="L2353" t="inlineStr">
        <is>
          <t>Compró Apto 502 en Torres del Poblado</t>
        </is>
      </c>
    </row>
    <row r="2354">
      <c r="A2354" t="inlineStr">
        <is>
          <t>CLI-2352</t>
        </is>
      </c>
      <c r="B2354" t="inlineStr">
        <is>
          <t>Emilio Bedoya Espinosa</t>
        </is>
      </c>
      <c r="C2354" t="inlineStr">
        <is>
          <t>3154959780</t>
        </is>
      </c>
      <c r="D2354" t="inlineStr">
        <is>
          <t>emilio.bedoya8@gmail.com</t>
        </is>
      </c>
      <c r="E2354" t="inlineStr">
        <is>
          <t>Itagüí</t>
        </is>
      </c>
      <c r="F2354" t="inlineStr">
        <is>
          <t>PRY-008</t>
        </is>
      </c>
      <c r="G2354" t="inlineStr">
        <is>
          <t>Instagram</t>
        </is>
      </c>
      <c r="H2354" t="inlineStr">
        <is>
          <t>Paula Arenas</t>
        </is>
      </c>
      <c r="I2354" t="inlineStr">
        <is>
          <t>Ganado</t>
        </is>
      </c>
      <c r="J2354" s="28" t="n">
        <v>45993</v>
      </c>
      <c r="K2354" s="28" t="n">
        <v>46077</v>
      </c>
      <c r="L2354" t="inlineStr">
        <is>
          <t>Compró Casa 77 en Valle Verde Itagüí</t>
        </is>
      </c>
    </row>
    <row r="2355">
      <c r="A2355" t="inlineStr">
        <is>
          <t>CLI-2353</t>
        </is>
      </c>
      <c r="B2355" t="inlineStr">
        <is>
          <t>Iván Palacio Vélez</t>
        </is>
      </c>
      <c r="C2355" t="inlineStr">
        <is>
          <t>3171399268</t>
        </is>
      </c>
      <c r="D2355" t="inlineStr">
        <is>
          <t>ivan.palacio55@hotmail.com</t>
        </is>
      </c>
      <c r="E2355" t="inlineStr">
        <is>
          <t>Medellín</t>
        </is>
      </c>
      <c r="F2355" t="inlineStr">
        <is>
          <t>PRY-003</t>
        </is>
      </c>
      <c r="G2355" t="inlineStr">
        <is>
          <t>Feria Inmobiliaria</t>
        </is>
      </c>
      <c r="H2355" t="inlineStr">
        <is>
          <t>Ana Quintero</t>
        </is>
      </c>
      <c r="I2355" t="inlineStr">
        <is>
          <t>Perdido</t>
        </is>
      </c>
      <c r="J2355" s="28" t="n">
        <v>45993</v>
      </c>
      <c r="K2355" s="28" t="n">
        <v>46088</v>
      </c>
      <c r="L2355" t="inlineStr">
        <is>
          <t>Precio fuera de presupuesto</t>
        </is>
      </c>
    </row>
    <row r="2356">
      <c r="A2356" t="inlineStr">
        <is>
          <t>CLI-2354</t>
        </is>
      </c>
      <c r="B2356" t="inlineStr">
        <is>
          <t>Tomás Vásquez Uribe</t>
        </is>
      </c>
      <c r="C2356" t="inlineStr">
        <is>
          <t>3233631806</t>
        </is>
      </c>
      <c r="D2356" t="inlineStr">
        <is>
          <t>tomas.vasquez2@outlook.com</t>
        </is>
      </c>
      <c r="E2356" t="inlineStr">
        <is>
          <t>Itagüí</t>
        </is>
      </c>
      <c r="F2356" t="inlineStr">
        <is>
          <t>PRY-008</t>
        </is>
      </c>
      <c r="G2356" t="inlineStr">
        <is>
          <t>Portal Web</t>
        </is>
      </c>
      <c r="H2356" t="inlineStr">
        <is>
          <t>Mateo Herrera</t>
        </is>
      </c>
      <c r="I2356" t="inlineStr">
        <is>
          <t>Perdido</t>
        </is>
      </c>
      <c r="J2356" s="28" t="n">
        <v>45993</v>
      </c>
      <c r="K2356" s="28" t="n">
        <v>46019</v>
      </c>
      <c r="L2356" t="inlineStr">
        <is>
          <t>Sin respuesta tras 3 contactos</t>
        </is>
      </c>
    </row>
    <row r="2357">
      <c r="A2357" t="inlineStr">
        <is>
          <t>CLI-2355</t>
        </is>
      </c>
      <c r="B2357" t="inlineStr">
        <is>
          <t>Lorena Gaviria Correa</t>
        </is>
      </c>
      <c r="C2357" t="inlineStr">
        <is>
          <t>3225795923</t>
        </is>
      </c>
      <c r="D2357" t="inlineStr">
        <is>
          <t>lorena.gaviria73@hotmail.com</t>
        </is>
      </c>
      <c r="E2357" t="inlineStr">
        <is>
          <t>Medellín</t>
        </is>
      </c>
      <c r="F2357" t="inlineStr">
        <is>
          <t>PRY-003</t>
        </is>
      </c>
      <c r="G2357" t="inlineStr">
        <is>
          <t>Facebook</t>
        </is>
      </c>
      <c r="H2357" t="inlineStr">
        <is>
          <t>Santiago Muñoz</t>
        </is>
      </c>
      <c r="I2357" t="inlineStr">
        <is>
          <t>Perdido</t>
        </is>
      </c>
      <c r="J2357" s="28" t="n">
        <v>45993</v>
      </c>
      <c r="K2357" s="28" t="n">
        <v>46006</v>
      </c>
      <c r="L2357" t="inlineStr">
        <is>
          <t>Buscaba arriendo, no compra</t>
        </is>
      </c>
    </row>
    <row r="2358">
      <c r="A2358" t="inlineStr">
        <is>
          <t>CLI-2356</t>
        </is>
      </c>
      <c r="B2358" t="inlineStr">
        <is>
          <t>Laura Cifuentes Álvarez</t>
        </is>
      </c>
      <c r="C2358" t="inlineStr">
        <is>
          <t>3142973354</t>
        </is>
      </c>
      <c r="D2358" t="inlineStr">
        <is>
          <t>laura.cifuentes88@yahoo.com</t>
        </is>
      </c>
      <c r="E2358" t="inlineStr">
        <is>
          <t>La Estrella</t>
        </is>
      </c>
      <c r="F2358" t="inlineStr">
        <is>
          <t>PRY-003</t>
        </is>
      </c>
      <c r="G2358" t="inlineStr">
        <is>
          <t>Referido</t>
        </is>
      </c>
      <c r="H2358" t="inlineStr">
        <is>
          <t>Andrés Torres</t>
        </is>
      </c>
      <c r="I2358" t="inlineStr">
        <is>
          <t>Perdido</t>
        </is>
      </c>
      <c r="J2358" s="28" t="n">
        <v>45994</v>
      </c>
      <c r="K2358" s="28" t="n">
        <v>46022</v>
      </c>
      <c r="L2358" t="inlineStr">
        <is>
          <t>Buscaba arriendo, no compra</t>
        </is>
      </c>
    </row>
    <row r="2359">
      <c r="A2359" t="inlineStr">
        <is>
          <t>CLI-2357</t>
        </is>
      </c>
      <c r="B2359" t="inlineStr">
        <is>
          <t>Gloria Cifuentes Londoño</t>
        </is>
      </c>
      <c r="C2359" t="inlineStr">
        <is>
          <t>3133159040</t>
        </is>
      </c>
      <c r="D2359" t="inlineStr">
        <is>
          <t>gloria.cifuentes7@hotmail.com</t>
        </is>
      </c>
      <c r="E2359" t="inlineStr">
        <is>
          <t>Itagüí</t>
        </is>
      </c>
      <c r="F2359" t="inlineStr">
        <is>
          <t>PRY-007</t>
        </is>
      </c>
      <c r="G2359" t="inlineStr">
        <is>
          <t>Llamada directa</t>
        </is>
      </c>
      <c r="H2359" t="inlineStr">
        <is>
          <t>Ana Quintero</t>
        </is>
      </c>
      <c r="I2359" t="inlineStr">
        <is>
          <t>Perdido</t>
        </is>
      </c>
      <c r="J2359" s="28" t="n">
        <v>45994</v>
      </c>
      <c r="K2359" s="28" t="n">
        <v>46002</v>
      </c>
      <c r="L2359" t="inlineStr">
        <is>
          <t>Sin respuesta tras 3 contactos</t>
        </is>
      </c>
    </row>
    <row r="2360">
      <c r="A2360" t="inlineStr">
        <is>
          <t>CLI-2358</t>
        </is>
      </c>
      <c r="B2360" t="inlineStr">
        <is>
          <t>Andrés Agudelo Vargas</t>
        </is>
      </c>
      <c r="C2360" t="inlineStr">
        <is>
          <t>3171109157</t>
        </is>
      </c>
      <c r="D2360" t="inlineStr">
        <is>
          <t>andres.agudelo53@outlook.com</t>
        </is>
      </c>
      <c r="E2360" t="inlineStr">
        <is>
          <t>Sabaneta</t>
        </is>
      </c>
      <c r="F2360" t="inlineStr">
        <is>
          <t>PRY-003</t>
        </is>
      </c>
      <c r="G2360" t="inlineStr">
        <is>
          <t>Instagram</t>
        </is>
      </c>
      <c r="H2360" t="inlineStr">
        <is>
          <t>Paula Arenas</t>
        </is>
      </c>
      <c r="I2360" t="inlineStr">
        <is>
          <t>Perdido</t>
        </is>
      </c>
      <c r="J2360" s="28" t="n">
        <v>45995</v>
      </c>
      <c r="K2360" s="28" t="n">
        <v>46024</v>
      </c>
      <c r="L2360" t="inlineStr">
        <is>
          <t>No calificó para crédito</t>
        </is>
      </c>
    </row>
    <row r="2361">
      <c r="A2361" t="inlineStr">
        <is>
          <t>CLI-2359</t>
        </is>
      </c>
      <c r="B2361" t="inlineStr">
        <is>
          <t>Diego Rojas Ríos</t>
        </is>
      </c>
      <c r="C2361" t="inlineStr">
        <is>
          <t>3156290636</t>
        </is>
      </c>
      <c r="D2361" t="inlineStr">
        <is>
          <t>diego.rojas24@outlook.com</t>
        </is>
      </c>
      <c r="E2361" t="inlineStr">
        <is>
          <t>Sabaneta</t>
        </is>
      </c>
      <c r="F2361" t="inlineStr">
        <is>
          <t>PRY-002</t>
        </is>
      </c>
      <c r="G2361" t="inlineStr">
        <is>
          <t>Portal Web</t>
        </is>
      </c>
      <c r="H2361" t="inlineStr">
        <is>
          <t>Daniela Ríos</t>
        </is>
      </c>
      <c r="I2361" t="inlineStr">
        <is>
          <t>Perdido</t>
        </is>
      </c>
      <c r="J2361" s="28" t="n">
        <v>45996</v>
      </c>
      <c r="K2361" s="28" t="n">
        <v>46016</v>
      </c>
      <c r="L2361" t="inlineStr">
        <is>
          <t>Datos de contacto errados</t>
        </is>
      </c>
    </row>
    <row r="2362">
      <c r="A2362" t="inlineStr">
        <is>
          <t>CLI-2360</t>
        </is>
      </c>
      <c r="B2362" t="inlineStr">
        <is>
          <t>Gabriel Salcedo Londoño</t>
        </is>
      </c>
      <c r="C2362" t="inlineStr">
        <is>
          <t>3138293758</t>
        </is>
      </c>
      <c r="D2362" t="inlineStr">
        <is>
          <t>gabriel.salcedo97@hotmail.com</t>
        </is>
      </c>
      <c r="E2362" t="inlineStr">
        <is>
          <t>Envigado</t>
        </is>
      </c>
      <c r="F2362" t="inlineStr">
        <is>
          <t>PRY-007</t>
        </is>
      </c>
      <c r="G2362" t="inlineStr">
        <is>
          <t>Referido</t>
        </is>
      </c>
      <c r="H2362" t="inlineStr">
        <is>
          <t>Andrés Torres</t>
        </is>
      </c>
      <c r="I2362" t="inlineStr">
        <is>
          <t>Ganado</t>
        </is>
      </c>
      <c r="J2362" s="28" t="n">
        <v>45997</v>
      </c>
      <c r="K2362" s="28" t="n">
        <v>46079</v>
      </c>
      <c r="L2362" t="inlineStr">
        <is>
          <t>Compró Apto 306 en Mirador de Envigado</t>
        </is>
      </c>
    </row>
    <row r="2363">
      <c r="A2363" t="inlineStr">
        <is>
          <t>CLI-2361</t>
        </is>
      </c>
      <c r="B2363" t="inlineStr">
        <is>
          <t>Daniela Cano Espinosa</t>
        </is>
      </c>
      <c r="C2363" t="inlineStr">
        <is>
          <t>3243212388</t>
        </is>
      </c>
      <c r="D2363" t="inlineStr">
        <is>
          <t>daniela.cano87@hotmail.com</t>
        </is>
      </c>
      <c r="E2363" t="inlineStr">
        <is>
          <t>Medellín</t>
        </is>
      </c>
      <c r="F2363" t="inlineStr">
        <is>
          <t>PRY-007</t>
        </is>
      </c>
      <c r="G2363" t="inlineStr">
        <is>
          <t>Feria Inmobiliaria</t>
        </is>
      </c>
      <c r="H2363" t="inlineStr">
        <is>
          <t>Paula Arenas</t>
        </is>
      </c>
      <c r="I2363" t="inlineStr">
        <is>
          <t>Perdido</t>
        </is>
      </c>
      <c r="J2363" s="28" t="n">
        <v>45997</v>
      </c>
      <c r="K2363" s="28" t="n">
        <v>46004</v>
      </c>
      <c r="L2363" t="inlineStr">
        <is>
          <t>Buscaba arriendo, no compra</t>
        </is>
      </c>
    </row>
    <row r="2364">
      <c r="A2364" t="inlineStr">
        <is>
          <t>CLI-2362</t>
        </is>
      </c>
      <c r="B2364" t="inlineStr">
        <is>
          <t>Esteban Arango López</t>
        </is>
      </c>
      <c r="C2364" t="inlineStr">
        <is>
          <t>3014608852</t>
        </is>
      </c>
      <c r="D2364" t="inlineStr">
        <is>
          <t>esteban.arango73@yahoo.com</t>
        </is>
      </c>
      <c r="E2364" t="inlineStr">
        <is>
          <t>Bello</t>
        </is>
      </c>
      <c r="F2364" t="inlineStr">
        <is>
          <t>PRY-006</t>
        </is>
      </c>
      <c r="G2364" t="inlineStr">
        <is>
          <t>Llamada directa</t>
        </is>
      </c>
      <c r="H2364" t="inlineStr">
        <is>
          <t>Paula Arenas</t>
        </is>
      </c>
      <c r="I2364" t="inlineStr">
        <is>
          <t>Perdido</t>
        </is>
      </c>
      <c r="J2364" s="28" t="n">
        <v>45997</v>
      </c>
      <c r="K2364" s="28" t="n">
        <v>46021</v>
      </c>
      <c r="L2364" t="inlineStr">
        <is>
          <t>No calificó para crédito</t>
        </is>
      </c>
    </row>
    <row r="2365">
      <c r="A2365" t="inlineStr">
        <is>
          <t>CLI-2363</t>
        </is>
      </c>
      <c r="B2365" t="inlineStr">
        <is>
          <t>Jorge Franco Toro</t>
        </is>
      </c>
      <c r="C2365" t="inlineStr">
        <is>
          <t>3248089314</t>
        </is>
      </c>
      <c r="D2365" t="inlineStr">
        <is>
          <t>jorge.franco37@outlook.com</t>
        </is>
      </c>
      <c r="E2365" t="inlineStr">
        <is>
          <t>Rionegro</t>
        </is>
      </c>
      <c r="F2365" t="inlineStr">
        <is>
          <t>PRY-005</t>
        </is>
      </c>
      <c r="G2365" t="inlineStr">
        <is>
          <t>Portal Web</t>
        </is>
      </c>
      <c r="H2365" t="inlineStr">
        <is>
          <t>Paula Arenas</t>
        </is>
      </c>
      <c r="I2365" t="inlineStr">
        <is>
          <t>Perdido</t>
        </is>
      </c>
      <c r="J2365" s="28" t="n">
        <v>45997</v>
      </c>
      <c r="K2365" s="28" t="n">
        <v>46026</v>
      </c>
      <c r="L2365" t="inlineStr">
        <is>
          <t>No calificó para crédito</t>
        </is>
      </c>
    </row>
    <row r="2366">
      <c r="A2366" t="inlineStr">
        <is>
          <t>CLI-2364</t>
        </is>
      </c>
      <c r="B2366" t="inlineStr">
        <is>
          <t>Katherine Vargas Londoño</t>
        </is>
      </c>
      <c r="C2366" t="inlineStr">
        <is>
          <t>3234728783</t>
        </is>
      </c>
      <c r="D2366" t="inlineStr">
        <is>
          <t>katherine.vargas91@hotmail.com</t>
        </is>
      </c>
      <c r="E2366" t="inlineStr">
        <is>
          <t>Envigado</t>
        </is>
      </c>
      <c r="F2366" t="inlineStr">
        <is>
          <t>PRY-007</t>
        </is>
      </c>
      <c r="G2366" t="inlineStr">
        <is>
          <t>Portal Web</t>
        </is>
      </c>
      <c r="H2366" t="inlineStr">
        <is>
          <t>Luis Bedoya</t>
        </is>
      </c>
      <c r="I2366" t="inlineStr">
        <is>
          <t>Perdido</t>
        </is>
      </c>
      <c r="J2366" s="28" t="n">
        <v>45997</v>
      </c>
      <c r="K2366" s="28" t="n">
        <v>46023</v>
      </c>
      <c r="L2366" t="inlineStr">
        <is>
          <t>Sin respuesta tras 3 contactos</t>
        </is>
      </c>
    </row>
    <row r="2367">
      <c r="A2367" t="inlineStr">
        <is>
          <t>CLI-2365</t>
        </is>
      </c>
      <c r="B2367" t="inlineStr">
        <is>
          <t>David Sánchez Pérez</t>
        </is>
      </c>
      <c r="C2367" t="inlineStr">
        <is>
          <t>3107621387</t>
        </is>
      </c>
      <c r="D2367" t="inlineStr">
        <is>
          <t>david.sanchez75@outlook.com</t>
        </is>
      </c>
      <c r="E2367" t="inlineStr">
        <is>
          <t>Medellín</t>
        </is>
      </c>
      <c r="F2367" t="inlineStr">
        <is>
          <t>PRY-003</t>
        </is>
      </c>
      <c r="G2367" t="inlineStr">
        <is>
          <t>Referido</t>
        </is>
      </c>
      <c r="H2367" t="inlineStr">
        <is>
          <t>Paula Arenas</t>
        </is>
      </c>
      <c r="I2367" t="inlineStr">
        <is>
          <t>Ganado</t>
        </is>
      </c>
      <c r="J2367" s="28" t="n">
        <v>45998</v>
      </c>
      <c r="K2367" s="28" t="n">
        <v>46086</v>
      </c>
      <c r="L2367" t="inlineStr">
        <is>
          <t>Compró Apto 507 en Conecta Laureles</t>
        </is>
      </c>
    </row>
    <row r="2368">
      <c r="A2368" t="inlineStr">
        <is>
          <t>CLI-2366</t>
        </is>
      </c>
      <c r="B2368" t="inlineStr">
        <is>
          <t>Daniela Echeverri Higuita</t>
        </is>
      </c>
      <c r="C2368" t="inlineStr">
        <is>
          <t>3171144504</t>
        </is>
      </c>
      <c r="D2368" t="inlineStr">
        <is>
          <t>daniela.echeverri2@yahoo.com</t>
        </is>
      </c>
      <c r="E2368" t="inlineStr">
        <is>
          <t>Rionegro</t>
        </is>
      </c>
      <c r="F2368" t="inlineStr">
        <is>
          <t>PRY-003</t>
        </is>
      </c>
      <c r="G2368" t="inlineStr">
        <is>
          <t>Referido</t>
        </is>
      </c>
      <c r="H2368" t="inlineStr">
        <is>
          <t>Mateo Herrera</t>
        </is>
      </c>
      <c r="I2368" t="inlineStr">
        <is>
          <t>Ganado</t>
        </is>
      </c>
      <c r="J2368" s="28" t="n">
        <v>45998</v>
      </c>
      <c r="K2368" s="28" t="n">
        <v>46099</v>
      </c>
      <c r="L2368" t="inlineStr">
        <is>
          <t>Compró Apto 1604 en Conecta Laureles</t>
        </is>
      </c>
    </row>
    <row r="2369">
      <c r="A2369" t="inlineStr">
        <is>
          <t>CLI-2367</t>
        </is>
      </c>
      <c r="B2369" t="inlineStr">
        <is>
          <t>Ricardo Gómez Henao</t>
        </is>
      </c>
      <c r="C2369" t="inlineStr">
        <is>
          <t>3226946145</t>
        </is>
      </c>
      <c r="D2369" t="inlineStr">
        <is>
          <t>ricardo.gomez86@hotmail.com</t>
        </is>
      </c>
      <c r="E2369" t="inlineStr">
        <is>
          <t>Medellín</t>
        </is>
      </c>
      <c r="F2369" t="inlineStr">
        <is>
          <t>PRY-003</t>
        </is>
      </c>
      <c r="G2369" t="inlineStr">
        <is>
          <t>Portal Web</t>
        </is>
      </c>
      <c r="H2369" t="inlineStr">
        <is>
          <t>Santiago Muñoz</t>
        </is>
      </c>
      <c r="I2369" t="inlineStr">
        <is>
          <t>Perdido</t>
        </is>
      </c>
      <c r="J2369" s="28" t="n">
        <v>45998</v>
      </c>
      <c r="K2369" s="28" t="n">
        <v>46025</v>
      </c>
      <c r="L2369" t="inlineStr">
        <is>
          <t>Datos de contacto errados</t>
        </is>
      </c>
    </row>
    <row r="2370">
      <c r="A2370" t="inlineStr">
        <is>
          <t>CLI-2368</t>
        </is>
      </c>
      <c r="B2370" t="inlineStr">
        <is>
          <t>Óscar Vargas Sánchez</t>
        </is>
      </c>
      <c r="C2370" t="inlineStr">
        <is>
          <t>3179251723</t>
        </is>
      </c>
      <c r="D2370" t="inlineStr">
        <is>
          <t>oscar.vargas18@yahoo.com</t>
        </is>
      </c>
      <c r="E2370" t="inlineStr">
        <is>
          <t>Rionegro</t>
        </is>
      </c>
      <c r="F2370" t="inlineStr">
        <is>
          <t>PRY-001</t>
        </is>
      </c>
      <c r="G2370" t="inlineStr">
        <is>
          <t>Referido</t>
        </is>
      </c>
      <c r="H2370" t="inlineStr">
        <is>
          <t>Paula Arenas</t>
        </is>
      </c>
      <c r="I2370" t="inlineStr">
        <is>
          <t>Perdido</t>
        </is>
      </c>
      <c r="J2370" s="28" t="n">
        <v>45998</v>
      </c>
      <c r="K2370" s="28" t="n">
        <v>46009</v>
      </c>
      <c r="L2370" t="inlineStr">
        <is>
          <t>Datos de contacto errados</t>
        </is>
      </c>
    </row>
    <row r="2371">
      <c r="A2371" t="inlineStr">
        <is>
          <t>CLI-2369</t>
        </is>
      </c>
      <c r="B2371" t="inlineStr">
        <is>
          <t>Julián Muñoz López</t>
        </is>
      </c>
      <c r="C2371" t="inlineStr">
        <is>
          <t>3156375964</t>
        </is>
      </c>
      <c r="D2371" t="inlineStr">
        <is>
          <t>julian.munoz92@outlook.com</t>
        </is>
      </c>
      <c r="E2371" t="inlineStr">
        <is>
          <t>Medellín</t>
        </is>
      </c>
      <c r="F2371" t="inlineStr">
        <is>
          <t>PRY-002</t>
        </is>
      </c>
      <c r="G2371" t="inlineStr">
        <is>
          <t>Facebook</t>
        </is>
      </c>
      <c r="H2371" t="inlineStr">
        <is>
          <t>Sofía Prada</t>
        </is>
      </c>
      <c r="I2371" t="inlineStr">
        <is>
          <t>Perdido</t>
        </is>
      </c>
      <c r="J2371" s="28" t="n">
        <v>45999</v>
      </c>
      <c r="K2371" s="28" t="n">
        <v>46020</v>
      </c>
      <c r="L2371" t="inlineStr">
        <is>
          <t>Datos de contacto errados</t>
        </is>
      </c>
    </row>
    <row r="2372">
      <c r="A2372" t="inlineStr">
        <is>
          <t>CLI-2370</t>
        </is>
      </c>
      <c r="B2372" t="inlineStr">
        <is>
          <t>José Vélez Bedoya</t>
        </is>
      </c>
      <c r="C2372" t="inlineStr">
        <is>
          <t>3144131146</t>
        </is>
      </c>
      <c r="D2372" t="inlineStr">
        <is>
          <t>jose.velez37@yahoo.com</t>
        </is>
      </c>
      <c r="E2372" t="inlineStr">
        <is>
          <t>Envigado</t>
        </is>
      </c>
      <c r="F2372" t="inlineStr">
        <is>
          <t>PRY-007</t>
        </is>
      </c>
      <c r="G2372" t="inlineStr">
        <is>
          <t>Portal Web</t>
        </is>
      </c>
      <c r="H2372" t="inlineStr">
        <is>
          <t>Luis Bedoya</t>
        </is>
      </c>
      <c r="I2372" t="inlineStr">
        <is>
          <t>Perdido</t>
        </is>
      </c>
      <c r="J2372" s="28" t="n">
        <v>45999</v>
      </c>
      <c r="K2372" s="28" t="n">
        <v>46004</v>
      </c>
      <c r="L2372" t="inlineStr">
        <is>
          <t>No calificó para crédito</t>
        </is>
      </c>
    </row>
    <row r="2373">
      <c r="A2373" t="inlineStr">
        <is>
          <t>CLI-2371</t>
        </is>
      </c>
      <c r="B2373" t="inlineStr">
        <is>
          <t>Juliana Echeverri Marín</t>
        </is>
      </c>
      <c r="C2373" t="inlineStr">
        <is>
          <t>3246684832</t>
        </is>
      </c>
      <c r="D2373" t="inlineStr">
        <is>
          <t>juliana.echeverri39@yahoo.com</t>
        </is>
      </c>
      <c r="E2373" t="inlineStr">
        <is>
          <t>Bello</t>
        </is>
      </c>
      <c r="F2373" t="inlineStr">
        <is>
          <t>PRY-006</t>
        </is>
      </c>
      <c r="G2373" t="inlineStr">
        <is>
          <t>Facebook</t>
        </is>
      </c>
      <c r="H2373" t="inlineStr">
        <is>
          <t>Juliana Vélez</t>
        </is>
      </c>
      <c r="I2373" t="inlineStr">
        <is>
          <t>Perdido</t>
        </is>
      </c>
      <c r="J2373" s="28" t="n">
        <v>45999</v>
      </c>
      <c r="K2373" s="28" t="n">
        <v>46020</v>
      </c>
      <c r="L2373" t="inlineStr">
        <is>
          <t>Sin respuesta tras 3 contactos</t>
        </is>
      </c>
    </row>
    <row r="2374">
      <c r="A2374" t="inlineStr">
        <is>
          <t>CLI-2372</t>
        </is>
      </c>
      <c r="B2374" t="inlineStr">
        <is>
          <t>Alejandra Ochoa Agudelo</t>
        </is>
      </c>
      <c r="C2374" t="inlineStr">
        <is>
          <t>3003478469</t>
        </is>
      </c>
      <c r="D2374" t="inlineStr">
        <is>
          <t>alejandra.ochoa92@hotmail.com</t>
        </is>
      </c>
      <c r="E2374" t="inlineStr">
        <is>
          <t>Medellín</t>
        </is>
      </c>
      <c r="F2374" t="inlineStr">
        <is>
          <t>PRY-001</t>
        </is>
      </c>
      <c r="G2374" t="inlineStr">
        <is>
          <t>Portal Web</t>
        </is>
      </c>
      <c r="H2374" t="inlineStr">
        <is>
          <t>Miguel Salazar</t>
        </is>
      </c>
      <c r="I2374" t="inlineStr">
        <is>
          <t>Perdido</t>
        </is>
      </c>
      <c r="J2374" s="28" t="n">
        <v>45999</v>
      </c>
      <c r="K2374" s="28" t="n">
        <v>46028</v>
      </c>
      <c r="L2374" t="inlineStr">
        <is>
          <t>Presupuesto insuficiente</t>
        </is>
      </c>
    </row>
    <row r="2375">
      <c r="A2375" t="inlineStr">
        <is>
          <t>CLI-2373</t>
        </is>
      </c>
      <c r="B2375" t="inlineStr">
        <is>
          <t>Santiago Rojas Franco</t>
        </is>
      </c>
      <c r="C2375" t="inlineStr">
        <is>
          <t>3242196764</t>
        </is>
      </c>
      <c r="D2375" t="inlineStr">
        <is>
          <t>santiago.rojas14@gmail.com</t>
        </is>
      </c>
      <c r="E2375" t="inlineStr">
        <is>
          <t>Rionegro</t>
        </is>
      </c>
      <c r="F2375" t="inlineStr">
        <is>
          <t>PRY-005</t>
        </is>
      </c>
      <c r="G2375" t="inlineStr">
        <is>
          <t>Referido</t>
        </is>
      </c>
      <c r="H2375" t="inlineStr">
        <is>
          <t>Paula Arenas</t>
        </is>
      </c>
      <c r="I2375" t="inlineStr">
        <is>
          <t>Ganado</t>
        </is>
      </c>
      <c r="J2375" s="28" t="n">
        <v>46000</v>
      </c>
      <c r="K2375" s="28" t="n">
        <v>46143</v>
      </c>
      <c r="L2375" t="inlineStr">
        <is>
          <t>Compró Casa 6 en Ciudadela Rionegro</t>
        </is>
      </c>
    </row>
    <row r="2376">
      <c r="A2376" t="inlineStr">
        <is>
          <t>CLI-2374</t>
        </is>
      </c>
      <c r="B2376" t="inlineStr">
        <is>
          <t>Santiago Ramírez Zuluaga</t>
        </is>
      </c>
      <c r="C2376" t="inlineStr">
        <is>
          <t>3176993682</t>
        </is>
      </c>
      <c r="D2376" t="inlineStr">
        <is>
          <t>santiago.ramirez4@outlook.com</t>
        </is>
      </c>
      <c r="E2376" t="inlineStr">
        <is>
          <t>Medellín</t>
        </is>
      </c>
      <c r="F2376" t="inlineStr">
        <is>
          <t>PRY-001</t>
        </is>
      </c>
      <c r="G2376" t="inlineStr">
        <is>
          <t>Feria Inmobiliaria</t>
        </is>
      </c>
      <c r="H2376" t="inlineStr">
        <is>
          <t>Paula Arenas</t>
        </is>
      </c>
      <c r="I2376" t="inlineStr">
        <is>
          <t>Ganado</t>
        </is>
      </c>
      <c r="J2376" s="28" t="n">
        <v>46000</v>
      </c>
      <c r="K2376" s="28" t="n">
        <v>46078</v>
      </c>
      <c r="L2376" t="inlineStr">
        <is>
          <t>Compró Apto 203 en Torres del Poblado</t>
        </is>
      </c>
    </row>
    <row r="2377">
      <c r="A2377" t="inlineStr">
        <is>
          <t>CLI-2375</t>
        </is>
      </c>
      <c r="B2377" t="inlineStr">
        <is>
          <t>Fernando Palacio Zapata</t>
        </is>
      </c>
      <c r="C2377" t="inlineStr">
        <is>
          <t>3154946588</t>
        </is>
      </c>
      <c r="D2377" t="inlineStr">
        <is>
          <t>fernando.palacio28@outlook.com</t>
        </is>
      </c>
      <c r="E2377" t="inlineStr">
        <is>
          <t>Medellín</t>
        </is>
      </c>
      <c r="F2377" t="inlineStr">
        <is>
          <t>PRY-003</t>
        </is>
      </c>
      <c r="G2377" t="inlineStr">
        <is>
          <t>Referido</t>
        </is>
      </c>
      <c r="H2377" t="inlineStr">
        <is>
          <t>Santiago Muñoz</t>
        </is>
      </c>
      <c r="I2377" t="inlineStr">
        <is>
          <t>Ganado</t>
        </is>
      </c>
      <c r="J2377" s="28" t="n">
        <v>46000</v>
      </c>
      <c r="K2377" s="28" t="n">
        <v>46089</v>
      </c>
      <c r="L2377" t="inlineStr">
        <is>
          <t>Compró Apto 601 en Conecta Laureles</t>
        </is>
      </c>
    </row>
    <row r="2378">
      <c r="A2378" t="inlineStr">
        <is>
          <t>CLI-2376</t>
        </is>
      </c>
      <c r="B2378" t="inlineStr">
        <is>
          <t>Nicolás Cifuentes Higuita</t>
        </is>
      </c>
      <c r="C2378" t="inlineStr">
        <is>
          <t>3239509984</t>
        </is>
      </c>
      <c r="D2378" t="inlineStr">
        <is>
          <t>nicolas.cifuentes42@gmail.com</t>
        </is>
      </c>
      <c r="E2378" t="inlineStr">
        <is>
          <t>Medellín</t>
        </is>
      </c>
      <c r="F2378" t="inlineStr">
        <is>
          <t>PRY-003</t>
        </is>
      </c>
      <c r="G2378" t="inlineStr">
        <is>
          <t>Portal Web</t>
        </is>
      </c>
      <c r="H2378" t="inlineStr">
        <is>
          <t>Daniela Ríos</t>
        </is>
      </c>
      <c r="I2378" t="inlineStr">
        <is>
          <t>Perdido</t>
        </is>
      </c>
      <c r="J2378" s="28" t="n">
        <v>46000</v>
      </c>
      <c r="K2378" s="28" t="n">
        <v>46017</v>
      </c>
      <c r="L2378" t="inlineStr">
        <is>
          <t>No calificó para crédito</t>
        </is>
      </c>
    </row>
    <row r="2379">
      <c r="A2379" t="inlineStr">
        <is>
          <t>CLI-2377</t>
        </is>
      </c>
      <c r="B2379" t="inlineStr">
        <is>
          <t>Wilson Rojas Franco</t>
        </is>
      </c>
      <c r="C2379" t="inlineStr">
        <is>
          <t>3006966449</t>
        </is>
      </c>
      <c r="D2379" t="inlineStr">
        <is>
          <t>wilson.rojas26@outlook.com</t>
        </is>
      </c>
      <c r="E2379" t="inlineStr">
        <is>
          <t>Envigado</t>
        </is>
      </c>
      <c r="F2379" t="inlineStr">
        <is>
          <t>PRY-007</t>
        </is>
      </c>
      <c r="G2379" t="inlineStr">
        <is>
          <t>Llamada directa</t>
        </is>
      </c>
      <c r="H2379" t="inlineStr">
        <is>
          <t>Luis Bedoya</t>
        </is>
      </c>
      <c r="I2379" t="inlineStr">
        <is>
          <t>Perdido</t>
        </is>
      </c>
      <c r="J2379" s="28" t="n">
        <v>46000</v>
      </c>
      <c r="K2379" s="28" t="n">
        <v>46011</v>
      </c>
      <c r="L2379" t="inlineStr">
        <is>
          <t>Sin respuesta tras 3 contactos</t>
        </is>
      </c>
    </row>
    <row r="2380">
      <c r="A2380" t="inlineStr">
        <is>
          <t>CLI-2378</t>
        </is>
      </c>
      <c r="B2380" t="inlineStr">
        <is>
          <t>Daniela Quintero Marín</t>
        </is>
      </c>
      <c r="C2380" t="inlineStr">
        <is>
          <t>3204855855</t>
        </is>
      </c>
      <c r="D2380" t="inlineStr">
        <is>
          <t>daniela.quintero99@yahoo.com</t>
        </is>
      </c>
      <c r="E2380" t="inlineStr">
        <is>
          <t>Medellín</t>
        </is>
      </c>
      <c r="F2380" t="inlineStr">
        <is>
          <t>PRY-001</t>
        </is>
      </c>
      <c r="G2380" t="inlineStr">
        <is>
          <t>Instagram</t>
        </is>
      </c>
      <c r="H2380" t="inlineStr">
        <is>
          <t>Ana Quintero</t>
        </is>
      </c>
      <c r="I2380" t="inlineStr">
        <is>
          <t>Perdido</t>
        </is>
      </c>
      <c r="J2380" s="28" t="n">
        <v>46000</v>
      </c>
      <c r="K2380" s="28" t="n">
        <v>46025</v>
      </c>
      <c r="L2380" t="inlineStr">
        <is>
          <t>Sin respuesta tras 3 contactos</t>
        </is>
      </c>
    </row>
    <row r="2381">
      <c r="A2381" t="inlineStr">
        <is>
          <t>CLI-2379</t>
        </is>
      </c>
      <c r="B2381" t="inlineStr">
        <is>
          <t>Valentina Restrepo Rojas</t>
        </is>
      </c>
      <c r="C2381" t="inlineStr">
        <is>
          <t>3002675731</t>
        </is>
      </c>
      <c r="D2381" t="inlineStr">
        <is>
          <t>valentina.restrepo44@gmail.com</t>
        </is>
      </c>
      <c r="E2381" t="inlineStr">
        <is>
          <t>Medellín</t>
        </is>
      </c>
      <c r="F2381" t="inlineStr">
        <is>
          <t>PRY-001</t>
        </is>
      </c>
      <c r="G2381" t="inlineStr">
        <is>
          <t>Llamada directa</t>
        </is>
      </c>
      <c r="H2381" t="inlineStr">
        <is>
          <t>Juliana Vélez</t>
        </is>
      </c>
      <c r="I2381" t="inlineStr">
        <is>
          <t>Perdido</t>
        </is>
      </c>
      <c r="J2381" s="28" t="n">
        <v>46000</v>
      </c>
      <c r="K2381" s="28" t="n">
        <v>46006</v>
      </c>
      <c r="L2381" t="inlineStr">
        <is>
          <t>Datos de contacto errados</t>
        </is>
      </c>
    </row>
    <row r="2382">
      <c r="A2382" t="inlineStr">
        <is>
          <t>CLI-2380</t>
        </is>
      </c>
      <c r="B2382" t="inlineStr">
        <is>
          <t>Gabriel Rojas Henao</t>
        </is>
      </c>
      <c r="C2382" t="inlineStr">
        <is>
          <t>3135153250</t>
        </is>
      </c>
      <c r="D2382" t="inlineStr">
        <is>
          <t>gabriel.rojas15@hotmail.com</t>
        </is>
      </c>
      <c r="E2382" t="inlineStr">
        <is>
          <t>Sabaneta</t>
        </is>
      </c>
      <c r="F2382" t="inlineStr">
        <is>
          <t>PRY-007</t>
        </is>
      </c>
      <c r="G2382" t="inlineStr">
        <is>
          <t>Facebook</t>
        </is>
      </c>
      <c r="H2382" t="inlineStr">
        <is>
          <t>Ana Quintero</t>
        </is>
      </c>
      <c r="I2382" t="inlineStr">
        <is>
          <t>Perdido</t>
        </is>
      </c>
      <c r="J2382" s="28" t="n">
        <v>46000</v>
      </c>
      <c r="K2382" s="28" t="n">
        <v>46011</v>
      </c>
      <c r="L2382" t="inlineStr">
        <is>
          <t>Buscaba arriendo, no compra</t>
        </is>
      </c>
    </row>
    <row r="2383">
      <c r="A2383" t="inlineStr">
        <is>
          <t>CLI-2381</t>
        </is>
      </c>
      <c r="B2383" t="inlineStr">
        <is>
          <t>Wilson Pérez Vásquez</t>
        </is>
      </c>
      <c r="C2383" t="inlineStr">
        <is>
          <t>3179010831</t>
        </is>
      </c>
      <c r="D2383" t="inlineStr">
        <is>
          <t>wilson.perez31@yahoo.com</t>
        </is>
      </c>
      <c r="E2383" t="inlineStr">
        <is>
          <t>Medellín</t>
        </is>
      </c>
      <c r="F2383" t="inlineStr">
        <is>
          <t>PRY-001</t>
        </is>
      </c>
      <c r="G2383" t="inlineStr">
        <is>
          <t>Llamada directa</t>
        </is>
      </c>
      <c r="H2383" t="inlineStr">
        <is>
          <t>Santiago Muñoz</t>
        </is>
      </c>
      <c r="I2383" t="inlineStr">
        <is>
          <t>Ganado</t>
        </is>
      </c>
      <c r="J2383" s="28" t="n">
        <v>46001</v>
      </c>
      <c r="K2383" s="28" t="n">
        <v>46147</v>
      </c>
      <c r="L2383" t="inlineStr">
        <is>
          <t>Compró Apto 1406 en Torres del Poblado</t>
        </is>
      </c>
    </row>
    <row r="2384">
      <c r="A2384" t="inlineStr">
        <is>
          <t>CLI-2382</t>
        </is>
      </c>
      <c r="B2384" t="inlineStr">
        <is>
          <t>María Salcedo Restrepo</t>
        </is>
      </c>
      <c r="C2384" t="inlineStr">
        <is>
          <t>3154518343</t>
        </is>
      </c>
      <c r="D2384" t="inlineStr">
        <is>
          <t>maria.salcedo55@gmail.com</t>
        </is>
      </c>
      <c r="E2384" t="inlineStr">
        <is>
          <t>Bello</t>
        </is>
      </c>
      <c r="F2384" t="inlineStr">
        <is>
          <t>PRY-006</t>
        </is>
      </c>
      <c r="G2384" t="inlineStr">
        <is>
          <t>Facebook</t>
        </is>
      </c>
      <c r="H2384" t="inlineStr">
        <is>
          <t>Ana Quintero</t>
        </is>
      </c>
      <c r="I2384" t="inlineStr">
        <is>
          <t>Perdido</t>
        </is>
      </c>
      <c r="J2384" s="28" t="n">
        <v>46001</v>
      </c>
      <c r="K2384" s="28" t="n">
        <v>46016</v>
      </c>
      <c r="L2384" t="inlineStr">
        <is>
          <t>Sin respuesta tras 3 contactos</t>
        </is>
      </c>
    </row>
    <row r="2385">
      <c r="A2385" t="inlineStr">
        <is>
          <t>CLI-2383</t>
        </is>
      </c>
      <c r="B2385" t="inlineStr">
        <is>
          <t>Jhon Quintero Escobar</t>
        </is>
      </c>
      <c r="C2385" t="inlineStr">
        <is>
          <t>3005872469</t>
        </is>
      </c>
      <c r="D2385" t="inlineStr">
        <is>
          <t>jhon.quintero78@gmail.com</t>
        </is>
      </c>
      <c r="E2385" t="inlineStr">
        <is>
          <t>Medellín</t>
        </is>
      </c>
      <c r="F2385" t="inlineStr">
        <is>
          <t>PRY-001</t>
        </is>
      </c>
      <c r="G2385" t="inlineStr">
        <is>
          <t>Facebook</t>
        </is>
      </c>
      <c r="H2385" t="inlineStr">
        <is>
          <t>Ana Quintero</t>
        </is>
      </c>
      <c r="I2385" t="inlineStr">
        <is>
          <t>Perdido</t>
        </is>
      </c>
      <c r="J2385" s="28" t="n">
        <v>46001</v>
      </c>
      <c r="K2385" s="28" t="n">
        <v>46012</v>
      </c>
      <c r="L2385" t="inlineStr">
        <is>
          <t>No calificó para crédito</t>
        </is>
      </c>
    </row>
    <row r="2386">
      <c r="A2386" t="inlineStr">
        <is>
          <t>CLI-2384</t>
        </is>
      </c>
      <c r="B2386" t="inlineStr">
        <is>
          <t>Mauricio Pérez Palacio</t>
        </is>
      </c>
      <c r="C2386" t="inlineStr">
        <is>
          <t>3171178913</t>
        </is>
      </c>
      <c r="D2386" t="inlineStr">
        <is>
          <t>mauricio.perez75@hotmail.com</t>
        </is>
      </c>
      <c r="E2386" t="inlineStr">
        <is>
          <t>Medellín</t>
        </is>
      </c>
      <c r="F2386" t="inlineStr">
        <is>
          <t>PRY-003</t>
        </is>
      </c>
      <c r="G2386" t="inlineStr">
        <is>
          <t>Facebook</t>
        </is>
      </c>
      <c r="H2386" t="inlineStr">
        <is>
          <t>Paula Arenas</t>
        </is>
      </c>
      <c r="I2386" t="inlineStr">
        <is>
          <t>Perdido</t>
        </is>
      </c>
      <c r="J2386" s="28" t="n">
        <v>46002</v>
      </c>
      <c r="K2386" s="28" t="n">
        <v>46026</v>
      </c>
      <c r="L2386" t="inlineStr">
        <is>
          <t>Presupuesto insuficiente</t>
        </is>
      </c>
    </row>
    <row r="2387">
      <c r="A2387" t="inlineStr">
        <is>
          <t>CLI-2385</t>
        </is>
      </c>
      <c r="B2387" t="inlineStr">
        <is>
          <t>Alejandra Quintero Álvarez</t>
        </is>
      </c>
      <c r="C2387" t="inlineStr">
        <is>
          <t>3004257443</t>
        </is>
      </c>
      <c r="D2387" t="inlineStr">
        <is>
          <t>alejandra.quintero72@gmail.com</t>
        </is>
      </c>
      <c r="E2387" t="inlineStr">
        <is>
          <t>Bello</t>
        </is>
      </c>
      <c r="F2387" t="inlineStr">
        <is>
          <t>PRY-008</t>
        </is>
      </c>
      <c r="G2387" t="inlineStr">
        <is>
          <t>Facebook</t>
        </is>
      </c>
      <c r="H2387" t="inlineStr">
        <is>
          <t>Sofía Prada</t>
        </is>
      </c>
      <c r="I2387" t="inlineStr">
        <is>
          <t>Perdido</t>
        </is>
      </c>
      <c r="J2387" s="28" t="n">
        <v>46002</v>
      </c>
      <c r="K2387" s="28" t="n">
        <v>46009</v>
      </c>
      <c r="L2387" t="inlineStr">
        <is>
          <t>Sin respuesta tras 3 contactos</t>
        </is>
      </c>
    </row>
    <row r="2388">
      <c r="A2388" t="inlineStr">
        <is>
          <t>CLI-2386</t>
        </is>
      </c>
      <c r="B2388" t="inlineStr">
        <is>
          <t>Gloria Castaño Giraldo</t>
        </is>
      </c>
      <c r="C2388" t="inlineStr">
        <is>
          <t>3176319739</t>
        </is>
      </c>
      <c r="D2388" t="inlineStr">
        <is>
          <t>gloria.castano39@yahoo.com</t>
        </is>
      </c>
      <c r="E2388" t="inlineStr">
        <is>
          <t>Sabaneta</t>
        </is>
      </c>
      <c r="F2388" t="inlineStr">
        <is>
          <t>PRY-005</t>
        </is>
      </c>
      <c r="G2388" t="inlineStr">
        <is>
          <t>Portal Web</t>
        </is>
      </c>
      <c r="H2388" t="inlineStr">
        <is>
          <t>Paula Arenas</t>
        </is>
      </c>
      <c r="I2388" t="inlineStr">
        <is>
          <t>Perdido</t>
        </is>
      </c>
      <c r="J2388" s="28" t="n">
        <v>46003</v>
      </c>
      <c r="K2388" s="28" t="n">
        <v>46109</v>
      </c>
      <c r="L2388" t="inlineStr">
        <is>
          <t>No volvió a responder</t>
        </is>
      </c>
    </row>
    <row r="2389">
      <c r="A2389" t="inlineStr">
        <is>
          <t>CLI-2387</t>
        </is>
      </c>
      <c r="B2389" t="inlineStr">
        <is>
          <t>Liliana Uribe Muñoz</t>
        </is>
      </c>
      <c r="C2389" t="inlineStr">
        <is>
          <t>3016444657</t>
        </is>
      </c>
      <c r="D2389" t="inlineStr">
        <is>
          <t>liliana.uribe2@outlook.com</t>
        </is>
      </c>
      <c r="E2389" t="inlineStr">
        <is>
          <t>Bello</t>
        </is>
      </c>
      <c r="F2389" t="inlineStr">
        <is>
          <t>PRY-008</t>
        </is>
      </c>
      <c r="G2389" t="inlineStr">
        <is>
          <t>Referido</t>
        </is>
      </c>
      <c r="H2389" t="inlineStr">
        <is>
          <t>Mateo Herrera</t>
        </is>
      </c>
      <c r="I2389" t="inlineStr">
        <is>
          <t>Ganado</t>
        </is>
      </c>
      <c r="J2389" s="28" t="n">
        <v>46003</v>
      </c>
      <c r="K2389" s="28" t="n">
        <v>46080</v>
      </c>
      <c r="L2389" t="inlineStr">
        <is>
          <t>Compró Casa 27 en Valle Verde Itagüí</t>
        </is>
      </c>
    </row>
    <row r="2390">
      <c r="A2390" t="inlineStr">
        <is>
          <t>CLI-2388</t>
        </is>
      </c>
      <c r="B2390" t="inlineStr">
        <is>
          <t>Sara Rojas Arango</t>
        </is>
      </c>
      <c r="C2390" t="inlineStr">
        <is>
          <t>3159600177</t>
        </is>
      </c>
      <c r="D2390" t="inlineStr">
        <is>
          <t>sara.rojas71@gmail.com</t>
        </is>
      </c>
      <c r="E2390" t="inlineStr">
        <is>
          <t>Medellín</t>
        </is>
      </c>
      <c r="F2390" t="inlineStr">
        <is>
          <t>PRY-006</t>
        </is>
      </c>
      <c r="G2390" t="inlineStr">
        <is>
          <t>Facebook</t>
        </is>
      </c>
      <c r="H2390" t="inlineStr">
        <is>
          <t>Miguel Salazar</t>
        </is>
      </c>
      <c r="I2390" t="inlineStr">
        <is>
          <t>Perdido</t>
        </is>
      </c>
      <c r="J2390" s="28" t="n">
        <v>46003</v>
      </c>
      <c r="K2390" s="28" t="n">
        <v>46018</v>
      </c>
      <c r="L2390" t="inlineStr">
        <is>
          <t>Buscaba arriendo, no compra</t>
        </is>
      </c>
    </row>
    <row r="2391">
      <c r="A2391" t="inlineStr">
        <is>
          <t>CLI-2389</t>
        </is>
      </c>
      <c r="B2391" t="inlineStr">
        <is>
          <t>Verónica Ríos Muñoz</t>
        </is>
      </c>
      <c r="C2391" t="inlineStr">
        <is>
          <t>3147451671</t>
        </is>
      </c>
      <c r="D2391" t="inlineStr">
        <is>
          <t>veronica.rios82@outlook.com</t>
        </is>
      </c>
      <c r="E2391" t="inlineStr">
        <is>
          <t>Bello</t>
        </is>
      </c>
      <c r="F2391" t="inlineStr">
        <is>
          <t>PRY-006</t>
        </is>
      </c>
      <c r="G2391" t="inlineStr">
        <is>
          <t>Facebook</t>
        </is>
      </c>
      <c r="H2391" t="inlineStr">
        <is>
          <t>Miguel Salazar</t>
        </is>
      </c>
      <c r="I2391" t="inlineStr">
        <is>
          <t>Perdido</t>
        </is>
      </c>
      <c r="J2391" s="28" t="n">
        <v>46003</v>
      </c>
      <c r="K2391" s="28" t="n">
        <v>46029</v>
      </c>
      <c r="L2391" t="inlineStr">
        <is>
          <t>Sin respuesta tras 3 contactos</t>
        </is>
      </c>
    </row>
    <row r="2392">
      <c r="A2392" t="inlineStr">
        <is>
          <t>CLI-2390</t>
        </is>
      </c>
      <c r="B2392" t="inlineStr">
        <is>
          <t>Verónica Salcedo Peláez</t>
        </is>
      </c>
      <c r="C2392" t="inlineStr">
        <is>
          <t>3144087429</t>
        </is>
      </c>
      <c r="D2392" t="inlineStr">
        <is>
          <t>veronica.salcedo24@yahoo.com</t>
        </is>
      </c>
      <c r="E2392" t="inlineStr">
        <is>
          <t>Bello</t>
        </is>
      </c>
      <c r="F2392" t="inlineStr">
        <is>
          <t>PRY-006</t>
        </is>
      </c>
      <c r="G2392" t="inlineStr">
        <is>
          <t>Feria Inmobiliaria</t>
        </is>
      </c>
      <c r="H2392" t="inlineStr">
        <is>
          <t>Andrés Torres</t>
        </is>
      </c>
      <c r="I2392" t="inlineStr">
        <is>
          <t>Perdido</t>
        </is>
      </c>
      <c r="J2392" s="28" t="n">
        <v>46004</v>
      </c>
      <c r="K2392" s="28" t="n">
        <v>46009</v>
      </c>
      <c r="L2392" t="inlineStr">
        <is>
          <t>Buscaba arriendo, no compra</t>
        </is>
      </c>
    </row>
    <row r="2393">
      <c r="A2393" t="inlineStr">
        <is>
          <t>CLI-2391</t>
        </is>
      </c>
      <c r="B2393" t="inlineStr">
        <is>
          <t>Katherine Gaviria Betancur</t>
        </is>
      </c>
      <c r="C2393" t="inlineStr">
        <is>
          <t>3018490054</t>
        </is>
      </c>
      <c r="D2393" t="inlineStr">
        <is>
          <t>katherine.gaviria57@hotmail.com</t>
        </is>
      </c>
      <c r="E2393" t="inlineStr">
        <is>
          <t>Medellín</t>
        </is>
      </c>
      <c r="F2393" t="inlineStr">
        <is>
          <t>PRY-003</t>
        </is>
      </c>
      <c r="G2393" t="inlineStr">
        <is>
          <t>Feria Inmobiliaria</t>
        </is>
      </c>
      <c r="H2393" t="inlineStr">
        <is>
          <t>Sofía Prada</t>
        </is>
      </c>
      <c r="I2393" t="inlineStr">
        <is>
          <t>Perdido</t>
        </is>
      </c>
      <c r="J2393" s="28" t="n">
        <v>46004</v>
      </c>
      <c r="K2393" s="28" t="n">
        <v>46032</v>
      </c>
      <c r="L2393" t="inlineStr">
        <is>
          <t>Sin respuesta tras 3 contactos</t>
        </is>
      </c>
    </row>
    <row r="2394">
      <c r="A2394" t="inlineStr">
        <is>
          <t>CLI-2392</t>
        </is>
      </c>
      <c r="B2394" t="inlineStr">
        <is>
          <t>Fernando Toro Espinosa</t>
        </is>
      </c>
      <c r="C2394" t="inlineStr">
        <is>
          <t>3133295431</t>
        </is>
      </c>
      <c r="D2394" t="inlineStr">
        <is>
          <t>fernando.toro30@hotmail.com</t>
        </is>
      </c>
      <c r="E2394" t="inlineStr">
        <is>
          <t>Medellín</t>
        </is>
      </c>
      <c r="F2394" t="inlineStr">
        <is>
          <t>PRY-001</t>
        </is>
      </c>
      <c r="G2394" t="inlineStr">
        <is>
          <t>Instagram</t>
        </is>
      </c>
      <c r="H2394" t="inlineStr">
        <is>
          <t>Luis Bedoya</t>
        </is>
      </c>
      <c r="I2394" t="inlineStr">
        <is>
          <t>Perdido</t>
        </is>
      </c>
      <c r="J2394" s="28" t="n">
        <v>46004</v>
      </c>
      <c r="K2394" s="28" t="n">
        <v>46009</v>
      </c>
      <c r="L2394" t="inlineStr">
        <is>
          <t>Datos de contacto errados</t>
        </is>
      </c>
    </row>
    <row r="2395">
      <c r="A2395" t="inlineStr">
        <is>
          <t>CLI-2393</t>
        </is>
      </c>
      <c r="B2395" t="inlineStr">
        <is>
          <t>Felipe Gómez Muñoz</t>
        </is>
      </c>
      <c r="C2395" t="inlineStr">
        <is>
          <t>3208620696</t>
        </is>
      </c>
      <c r="D2395" t="inlineStr">
        <is>
          <t>felipe.gomez42@gmail.com</t>
        </is>
      </c>
      <c r="E2395" t="inlineStr">
        <is>
          <t>La Estrella</t>
        </is>
      </c>
      <c r="F2395" t="inlineStr">
        <is>
          <t>PRY-003</t>
        </is>
      </c>
      <c r="G2395" t="inlineStr">
        <is>
          <t>Referido</t>
        </is>
      </c>
      <c r="H2395" t="inlineStr">
        <is>
          <t>Sofía Prada</t>
        </is>
      </c>
      <c r="I2395" t="inlineStr">
        <is>
          <t>Perdido</t>
        </is>
      </c>
      <c r="J2395" s="28" t="n">
        <v>46004</v>
      </c>
      <c r="K2395" s="28" t="n">
        <v>46014</v>
      </c>
      <c r="L2395" t="inlineStr">
        <is>
          <t>Sin respuesta tras 3 contactos</t>
        </is>
      </c>
    </row>
    <row r="2396">
      <c r="A2396" t="inlineStr">
        <is>
          <t>CLI-2394</t>
        </is>
      </c>
      <c r="B2396" t="inlineStr">
        <is>
          <t>Natalia Ramírez Zuluaga</t>
        </is>
      </c>
      <c r="C2396" t="inlineStr">
        <is>
          <t>3174714219</t>
        </is>
      </c>
      <c r="D2396" t="inlineStr">
        <is>
          <t>natalia.ramirez16@outlook.com</t>
        </is>
      </c>
      <c r="E2396" t="inlineStr">
        <is>
          <t>Medellín</t>
        </is>
      </c>
      <c r="F2396" t="inlineStr">
        <is>
          <t>PRY-001</t>
        </is>
      </c>
      <c r="G2396" t="inlineStr">
        <is>
          <t>Facebook</t>
        </is>
      </c>
      <c r="H2396" t="inlineStr">
        <is>
          <t>Paula Arenas</t>
        </is>
      </c>
      <c r="I2396" t="inlineStr">
        <is>
          <t>Perdido</t>
        </is>
      </c>
      <c r="J2396" s="28" t="n">
        <v>46005</v>
      </c>
      <c r="K2396" s="28" t="n">
        <v>46031</v>
      </c>
      <c r="L2396" t="inlineStr">
        <is>
          <t>Sin respuesta tras 3 contactos</t>
        </is>
      </c>
    </row>
    <row r="2397">
      <c r="A2397" t="inlineStr">
        <is>
          <t>CLI-2395</t>
        </is>
      </c>
      <c r="B2397" t="inlineStr">
        <is>
          <t>Sandra Palacio Sánchez</t>
        </is>
      </c>
      <c r="C2397" t="inlineStr">
        <is>
          <t>3006041615</t>
        </is>
      </c>
      <c r="D2397" t="inlineStr">
        <is>
          <t>sandra.palacio18@yahoo.com</t>
        </is>
      </c>
      <c r="E2397" t="inlineStr">
        <is>
          <t>Itagüí</t>
        </is>
      </c>
      <c r="F2397" t="inlineStr">
        <is>
          <t>PRY-008</t>
        </is>
      </c>
      <c r="G2397" t="inlineStr">
        <is>
          <t>Portal Web</t>
        </is>
      </c>
      <c r="H2397" t="inlineStr">
        <is>
          <t>Paula Arenas</t>
        </is>
      </c>
      <c r="I2397" t="inlineStr">
        <is>
          <t>Perdido</t>
        </is>
      </c>
      <c r="J2397" s="28" t="n">
        <v>46005</v>
      </c>
      <c r="K2397" s="28" t="n">
        <v>46020</v>
      </c>
      <c r="L2397" t="inlineStr">
        <is>
          <t>Buscaba arriendo, no compra</t>
        </is>
      </c>
    </row>
    <row r="2398">
      <c r="A2398" t="inlineStr">
        <is>
          <t>CLI-2396</t>
        </is>
      </c>
      <c r="B2398" t="inlineStr">
        <is>
          <t>Alejandra Muñoz Duque</t>
        </is>
      </c>
      <c r="C2398" t="inlineStr">
        <is>
          <t>3177455424</t>
        </is>
      </c>
      <c r="D2398" t="inlineStr">
        <is>
          <t>alejandra.munoz21@yahoo.com</t>
        </is>
      </c>
      <c r="E2398" t="inlineStr">
        <is>
          <t>Envigado</t>
        </is>
      </c>
      <c r="F2398" t="inlineStr">
        <is>
          <t>PRY-007</t>
        </is>
      </c>
      <c r="G2398" t="inlineStr">
        <is>
          <t>Portal Web</t>
        </is>
      </c>
      <c r="H2398" t="inlineStr">
        <is>
          <t>Miguel Salazar</t>
        </is>
      </c>
      <c r="I2398" t="inlineStr">
        <is>
          <t>Perdido</t>
        </is>
      </c>
      <c r="J2398" s="28" t="n">
        <v>46005</v>
      </c>
      <c r="K2398" s="28" t="n">
        <v>46034</v>
      </c>
      <c r="L2398" t="inlineStr">
        <is>
          <t>Datos de contacto errados</t>
        </is>
      </c>
    </row>
    <row r="2399">
      <c r="A2399" t="inlineStr">
        <is>
          <t>CLI-2397</t>
        </is>
      </c>
      <c r="B2399" t="inlineStr">
        <is>
          <t>Jhon Vélez Hernández</t>
        </is>
      </c>
      <c r="C2399" t="inlineStr">
        <is>
          <t>3132911550</t>
        </is>
      </c>
      <c r="D2399" t="inlineStr">
        <is>
          <t>jhon.velez4@outlook.com</t>
        </is>
      </c>
      <c r="E2399" t="inlineStr">
        <is>
          <t>Sabaneta</t>
        </is>
      </c>
      <c r="F2399" t="inlineStr">
        <is>
          <t>PRY-007</t>
        </is>
      </c>
      <c r="G2399" t="inlineStr">
        <is>
          <t>Portal Web</t>
        </is>
      </c>
      <c r="H2399" t="inlineStr">
        <is>
          <t>Sofía Prada</t>
        </is>
      </c>
      <c r="I2399" t="inlineStr">
        <is>
          <t>Perdido</t>
        </is>
      </c>
      <c r="J2399" s="28" t="n">
        <v>46005</v>
      </c>
      <c r="K2399" s="28" t="n">
        <v>46019</v>
      </c>
      <c r="L2399" t="inlineStr">
        <is>
          <t>Presupuesto insuficiente</t>
        </is>
      </c>
    </row>
    <row r="2400">
      <c r="A2400" t="inlineStr">
        <is>
          <t>CLI-2398</t>
        </is>
      </c>
      <c r="B2400" t="inlineStr">
        <is>
          <t>Daniela Álvarez Castaño</t>
        </is>
      </c>
      <c r="C2400" t="inlineStr">
        <is>
          <t>3041972498</t>
        </is>
      </c>
      <c r="D2400" t="inlineStr">
        <is>
          <t>daniela.alvarez52@yahoo.com</t>
        </is>
      </c>
      <c r="E2400" t="inlineStr">
        <is>
          <t>La Estrella</t>
        </is>
      </c>
      <c r="F2400" t="inlineStr">
        <is>
          <t>PRY-001</t>
        </is>
      </c>
      <c r="G2400" t="inlineStr">
        <is>
          <t>Facebook</t>
        </is>
      </c>
      <c r="H2400" t="inlineStr">
        <is>
          <t>Daniela Ríos</t>
        </is>
      </c>
      <c r="I2400" t="inlineStr">
        <is>
          <t>Perdido</t>
        </is>
      </c>
      <c r="J2400" s="28" t="n">
        <v>46005</v>
      </c>
      <c r="K2400" s="28" t="n">
        <v>46013</v>
      </c>
      <c r="L2400" t="inlineStr">
        <is>
          <t>Datos de contacto errados</t>
        </is>
      </c>
    </row>
    <row r="2401">
      <c r="A2401" t="inlineStr">
        <is>
          <t>CLI-2399</t>
        </is>
      </c>
      <c r="B2401" t="inlineStr">
        <is>
          <t>Sara Agudelo Toro</t>
        </is>
      </c>
      <c r="C2401" t="inlineStr">
        <is>
          <t>3148733907</t>
        </is>
      </c>
      <c r="D2401" t="inlineStr">
        <is>
          <t>sara.agudelo26@hotmail.com</t>
        </is>
      </c>
      <c r="E2401" t="inlineStr">
        <is>
          <t>Medellín</t>
        </is>
      </c>
      <c r="F2401" t="inlineStr">
        <is>
          <t>PRY-001</t>
        </is>
      </c>
      <c r="G2401" t="inlineStr">
        <is>
          <t>Referido</t>
        </is>
      </c>
      <c r="H2401" t="inlineStr">
        <is>
          <t>Paula Arenas</t>
        </is>
      </c>
      <c r="I2401" t="inlineStr">
        <is>
          <t>Ganado</t>
        </is>
      </c>
      <c r="J2401" s="28" t="n">
        <v>46006</v>
      </c>
      <c r="K2401" s="28" t="n">
        <v>46108</v>
      </c>
      <c r="L2401" t="inlineStr">
        <is>
          <t>Compró Apto 801 en Torres del Poblado</t>
        </is>
      </c>
    </row>
    <row r="2402">
      <c r="A2402" t="inlineStr">
        <is>
          <t>CLI-2400</t>
        </is>
      </c>
      <c r="B2402" t="inlineStr">
        <is>
          <t>Rodrigo Correa Zuluaga</t>
        </is>
      </c>
      <c r="C2402" t="inlineStr">
        <is>
          <t>3237955337</t>
        </is>
      </c>
      <c r="D2402" t="inlineStr">
        <is>
          <t>rodrigo.correa68@hotmail.com</t>
        </is>
      </c>
      <c r="E2402" t="inlineStr">
        <is>
          <t>Itagüí</t>
        </is>
      </c>
      <c r="F2402" t="inlineStr">
        <is>
          <t>PRY-008</t>
        </is>
      </c>
      <c r="G2402" t="inlineStr">
        <is>
          <t>Instagram</t>
        </is>
      </c>
      <c r="H2402" t="inlineStr">
        <is>
          <t>Andrés Torres</t>
        </is>
      </c>
      <c r="I2402" t="inlineStr">
        <is>
          <t>Perdido</t>
        </is>
      </c>
      <c r="J2402" s="28" t="n">
        <v>46006</v>
      </c>
      <c r="K2402" s="28" t="n">
        <v>46030</v>
      </c>
      <c r="L2402" t="inlineStr">
        <is>
          <t>No calificó para crédito</t>
        </is>
      </c>
    </row>
    <row r="2403">
      <c r="A2403" t="inlineStr">
        <is>
          <t>CLI-2401</t>
        </is>
      </c>
      <c r="B2403" t="inlineStr">
        <is>
          <t>Gloria Higuita Salcedo</t>
        </is>
      </c>
      <c r="C2403" t="inlineStr">
        <is>
          <t>3102086255</t>
        </is>
      </c>
      <c r="D2403" t="inlineStr">
        <is>
          <t>gloria.higuita85@yahoo.com</t>
        </is>
      </c>
      <c r="E2403" t="inlineStr">
        <is>
          <t>Bello</t>
        </is>
      </c>
      <c r="F2403" t="inlineStr">
        <is>
          <t>PRY-003</t>
        </is>
      </c>
      <c r="G2403" t="inlineStr">
        <is>
          <t>Facebook</t>
        </is>
      </c>
      <c r="H2403" t="inlineStr">
        <is>
          <t>Juliana Vélez</t>
        </is>
      </c>
      <c r="I2403" t="inlineStr">
        <is>
          <t>Perdido</t>
        </is>
      </c>
      <c r="J2403" s="28" t="n">
        <v>46006</v>
      </c>
      <c r="K2403" s="28" t="n">
        <v>46021</v>
      </c>
      <c r="L2403" t="inlineStr">
        <is>
          <t>Buscaba arriendo, no compra</t>
        </is>
      </c>
    </row>
    <row r="2404">
      <c r="A2404" t="inlineStr">
        <is>
          <t>CLI-2402</t>
        </is>
      </c>
      <c r="B2404" t="inlineStr">
        <is>
          <t>Manuela Rojas Cano</t>
        </is>
      </c>
      <c r="C2404" t="inlineStr">
        <is>
          <t>3148457605</t>
        </is>
      </c>
      <c r="D2404" t="inlineStr">
        <is>
          <t>manuela.rojas14@gmail.com</t>
        </is>
      </c>
      <c r="E2404" t="inlineStr">
        <is>
          <t>Bello</t>
        </is>
      </c>
      <c r="F2404" t="inlineStr">
        <is>
          <t>PRY-001</t>
        </is>
      </c>
      <c r="G2404" t="inlineStr">
        <is>
          <t>Llamada directa</t>
        </is>
      </c>
      <c r="H2404" t="inlineStr">
        <is>
          <t>Luis Bedoya</t>
        </is>
      </c>
      <c r="I2404" t="inlineStr">
        <is>
          <t>Perdido</t>
        </is>
      </c>
      <c r="J2404" s="28" t="n">
        <v>46006</v>
      </c>
      <c r="K2404" s="28" t="n">
        <v>46019</v>
      </c>
      <c r="L2404" t="inlineStr">
        <is>
          <t>Sin respuesta tras 3 contactos</t>
        </is>
      </c>
    </row>
    <row r="2405">
      <c r="A2405" t="inlineStr">
        <is>
          <t>CLI-2403</t>
        </is>
      </c>
      <c r="B2405" t="inlineStr">
        <is>
          <t>Camila Pérez Peláez</t>
        </is>
      </c>
      <c r="C2405" t="inlineStr">
        <is>
          <t>3107660793</t>
        </is>
      </c>
      <c r="D2405" t="inlineStr">
        <is>
          <t>camila.perez50@gmail.com</t>
        </is>
      </c>
      <c r="E2405" t="inlineStr">
        <is>
          <t>Envigado</t>
        </is>
      </c>
      <c r="F2405" t="inlineStr">
        <is>
          <t>PRY-007</t>
        </is>
      </c>
      <c r="G2405" t="inlineStr">
        <is>
          <t>Feria Inmobiliaria</t>
        </is>
      </c>
      <c r="H2405" t="inlineStr">
        <is>
          <t>Sofía Prada</t>
        </is>
      </c>
      <c r="I2405" t="inlineStr">
        <is>
          <t>Perdido</t>
        </is>
      </c>
      <c r="J2405" s="28" t="n">
        <v>46006</v>
      </c>
      <c r="K2405" s="28" t="n">
        <v>46016</v>
      </c>
      <c r="L2405" t="inlineStr">
        <is>
          <t>Presupuesto insuficiente</t>
        </is>
      </c>
    </row>
    <row r="2406">
      <c r="A2406" t="inlineStr">
        <is>
          <t>CLI-2404</t>
        </is>
      </c>
      <c r="B2406" t="inlineStr">
        <is>
          <t>Emilio Toro Salcedo</t>
        </is>
      </c>
      <c r="C2406" t="inlineStr">
        <is>
          <t>3143120880</t>
        </is>
      </c>
      <c r="D2406" t="inlineStr">
        <is>
          <t>emilio.toro92@outlook.com</t>
        </is>
      </c>
      <c r="E2406" t="inlineStr">
        <is>
          <t>Rionegro</t>
        </is>
      </c>
      <c r="F2406" t="inlineStr">
        <is>
          <t>PRY-005</t>
        </is>
      </c>
      <c r="G2406" t="inlineStr">
        <is>
          <t>Portal Web</t>
        </is>
      </c>
      <c r="H2406" t="inlineStr">
        <is>
          <t>Santiago Muñoz</t>
        </is>
      </c>
      <c r="I2406" t="inlineStr">
        <is>
          <t>Perdido</t>
        </is>
      </c>
      <c r="J2406" s="28" t="n">
        <v>46006</v>
      </c>
      <c r="K2406" s="28" t="n">
        <v>46012</v>
      </c>
      <c r="L2406" t="inlineStr">
        <is>
          <t>Sin respuesta tras 3 contactos</t>
        </is>
      </c>
    </row>
    <row r="2407">
      <c r="A2407" t="inlineStr">
        <is>
          <t>CLI-2405</t>
        </is>
      </c>
      <c r="B2407" t="inlineStr">
        <is>
          <t>Valentina Cifuentes Giraldo</t>
        </is>
      </c>
      <c r="C2407" t="inlineStr">
        <is>
          <t>3234560543</t>
        </is>
      </c>
      <c r="D2407" t="inlineStr">
        <is>
          <t>valentina.cifuentes51@hotmail.com</t>
        </is>
      </c>
      <c r="E2407" t="inlineStr">
        <is>
          <t>Medellín</t>
        </is>
      </c>
      <c r="F2407" t="inlineStr">
        <is>
          <t>PRY-003</t>
        </is>
      </c>
      <c r="G2407" t="inlineStr">
        <is>
          <t>Instagram</t>
        </is>
      </c>
      <c r="H2407" t="inlineStr">
        <is>
          <t>Paula Arenas</t>
        </is>
      </c>
      <c r="I2407" t="inlineStr">
        <is>
          <t>Perdido</t>
        </is>
      </c>
      <c r="J2407" s="28" t="n">
        <v>46006</v>
      </c>
      <c r="K2407" s="28" t="n">
        <v>46024</v>
      </c>
      <c r="L2407" t="inlineStr">
        <is>
          <t>Buscaba arriendo, no compra</t>
        </is>
      </c>
    </row>
    <row r="2408">
      <c r="A2408" t="inlineStr">
        <is>
          <t>CLI-2406</t>
        </is>
      </c>
      <c r="B2408" t="inlineStr">
        <is>
          <t>Valeria Toro Bedoya</t>
        </is>
      </c>
      <c r="C2408" t="inlineStr">
        <is>
          <t>3243986875</t>
        </is>
      </c>
      <c r="D2408" t="inlineStr">
        <is>
          <t>valeria.toro85@hotmail.com</t>
        </is>
      </c>
      <c r="E2408" t="inlineStr">
        <is>
          <t>Medellín</t>
        </is>
      </c>
      <c r="F2408" t="inlineStr">
        <is>
          <t>PRY-001</t>
        </is>
      </c>
      <c r="G2408" t="inlineStr">
        <is>
          <t>Portal Web</t>
        </is>
      </c>
      <c r="H2408" t="inlineStr">
        <is>
          <t>Luis Bedoya</t>
        </is>
      </c>
      <c r="I2408" t="inlineStr">
        <is>
          <t>Perdido</t>
        </is>
      </c>
      <c r="J2408" s="28" t="n">
        <v>46007</v>
      </c>
      <c r="K2408" s="28" t="n">
        <v>46059</v>
      </c>
      <c r="L2408" t="inlineStr">
        <is>
          <t>Eligió otro proyecto</t>
        </is>
      </c>
    </row>
    <row r="2409">
      <c r="A2409" t="inlineStr">
        <is>
          <t>CLI-2407</t>
        </is>
      </c>
      <c r="B2409" t="inlineStr">
        <is>
          <t>Carolina Pérez Agudelo</t>
        </is>
      </c>
      <c r="C2409" t="inlineStr">
        <is>
          <t>3239002402</t>
        </is>
      </c>
      <c r="D2409" t="inlineStr">
        <is>
          <t>carolina.perez15@yahoo.com</t>
        </is>
      </c>
      <c r="E2409" t="inlineStr">
        <is>
          <t>La Estrella</t>
        </is>
      </c>
      <c r="F2409" t="inlineStr">
        <is>
          <t>PRY-001</t>
        </is>
      </c>
      <c r="G2409" t="inlineStr">
        <is>
          <t>Feria Inmobiliaria</t>
        </is>
      </c>
      <c r="H2409" t="inlineStr">
        <is>
          <t>Sofía Prada</t>
        </is>
      </c>
      <c r="I2409" t="inlineStr">
        <is>
          <t>Ganado</t>
        </is>
      </c>
      <c r="J2409" s="28" t="n">
        <v>46007</v>
      </c>
      <c r="K2409" s="28" t="n">
        <v>46120</v>
      </c>
      <c r="L2409" t="inlineStr">
        <is>
          <t>Compró Apto 1606 en Torres del Poblado</t>
        </is>
      </c>
    </row>
    <row r="2410">
      <c r="A2410" t="inlineStr">
        <is>
          <t>CLI-2408</t>
        </is>
      </c>
      <c r="B2410" t="inlineStr">
        <is>
          <t>Gloria Londoño Montes</t>
        </is>
      </c>
      <c r="C2410" t="inlineStr">
        <is>
          <t>3224540944</t>
        </is>
      </c>
      <c r="D2410" t="inlineStr">
        <is>
          <t>gloria.londono46@gmail.com</t>
        </is>
      </c>
      <c r="E2410" t="inlineStr">
        <is>
          <t>Envigado</t>
        </is>
      </c>
      <c r="F2410" t="inlineStr">
        <is>
          <t>PRY-007</t>
        </is>
      </c>
      <c r="G2410" t="inlineStr">
        <is>
          <t>Llamada directa</t>
        </is>
      </c>
      <c r="H2410" t="inlineStr">
        <is>
          <t>Andrés Torres</t>
        </is>
      </c>
      <c r="I2410" t="inlineStr">
        <is>
          <t>Perdido</t>
        </is>
      </c>
      <c r="J2410" s="28" t="n">
        <v>46007</v>
      </c>
      <c r="K2410" s="28" t="n">
        <v>46019</v>
      </c>
      <c r="L2410" t="inlineStr">
        <is>
          <t>Datos de contacto errados</t>
        </is>
      </c>
    </row>
    <row r="2411">
      <c r="A2411" t="inlineStr">
        <is>
          <t>CLI-2409</t>
        </is>
      </c>
      <c r="B2411" t="inlineStr">
        <is>
          <t>Mariana Peláez Arango</t>
        </is>
      </c>
      <c r="C2411" t="inlineStr">
        <is>
          <t>3046730928</t>
        </is>
      </c>
      <c r="D2411" t="inlineStr">
        <is>
          <t>mariana.pelaez8@hotmail.com</t>
        </is>
      </c>
      <c r="E2411" t="inlineStr">
        <is>
          <t>Medellín</t>
        </is>
      </c>
      <c r="F2411" t="inlineStr">
        <is>
          <t>PRY-001</t>
        </is>
      </c>
      <c r="G2411" t="inlineStr">
        <is>
          <t>Facebook</t>
        </is>
      </c>
      <c r="H2411" t="inlineStr">
        <is>
          <t>Andrés Torres</t>
        </is>
      </c>
      <c r="I2411" t="inlineStr">
        <is>
          <t>Perdido</t>
        </is>
      </c>
      <c r="J2411" s="28" t="n">
        <v>46007</v>
      </c>
      <c r="K2411" s="28" t="n">
        <v>46036</v>
      </c>
      <c r="L2411" t="inlineStr">
        <is>
          <t>Buscaba arriendo, no compra</t>
        </is>
      </c>
    </row>
    <row r="2412">
      <c r="A2412" t="inlineStr">
        <is>
          <t>CLI-2410</t>
        </is>
      </c>
      <c r="B2412" t="inlineStr">
        <is>
          <t>Gabriel Cifuentes Henao</t>
        </is>
      </c>
      <c r="C2412" t="inlineStr">
        <is>
          <t>3136281755</t>
        </is>
      </c>
      <c r="D2412" t="inlineStr">
        <is>
          <t>gabriel.cifuentes45@hotmail.com</t>
        </is>
      </c>
      <c r="E2412" t="inlineStr">
        <is>
          <t>Envigado</t>
        </is>
      </c>
      <c r="F2412" t="inlineStr">
        <is>
          <t>PRY-006</t>
        </is>
      </c>
      <c r="G2412" t="inlineStr">
        <is>
          <t>Portal Web</t>
        </is>
      </c>
      <c r="H2412" t="inlineStr">
        <is>
          <t>Luis Bedoya</t>
        </is>
      </c>
      <c r="I2412" t="inlineStr">
        <is>
          <t>Ganado</t>
        </is>
      </c>
      <c r="J2412" s="28" t="n">
        <v>46008</v>
      </c>
      <c r="K2412" s="28" t="n">
        <v>46114</v>
      </c>
      <c r="L2412" t="inlineStr">
        <is>
          <t>Compró Local 25 en Plaza Bello</t>
        </is>
      </c>
    </row>
    <row r="2413">
      <c r="A2413" t="inlineStr">
        <is>
          <t>CLI-2411</t>
        </is>
      </c>
      <c r="B2413" t="inlineStr">
        <is>
          <t>Felipe Echeverri Osorio</t>
        </is>
      </c>
      <c r="C2413" t="inlineStr">
        <is>
          <t>3209754434</t>
        </is>
      </c>
      <c r="D2413" t="inlineStr">
        <is>
          <t>felipe.echeverri22@hotmail.com</t>
        </is>
      </c>
      <c r="E2413" t="inlineStr">
        <is>
          <t>Medellín</t>
        </is>
      </c>
      <c r="F2413" t="inlineStr">
        <is>
          <t>PRY-003</t>
        </is>
      </c>
      <c r="G2413" t="inlineStr">
        <is>
          <t>Portal Web</t>
        </is>
      </c>
      <c r="H2413" t="inlineStr">
        <is>
          <t>Sofía Prada</t>
        </is>
      </c>
      <c r="I2413" t="inlineStr">
        <is>
          <t>Perdido</t>
        </is>
      </c>
      <c r="J2413" s="28" t="n">
        <v>46009</v>
      </c>
      <c r="K2413" s="28" t="n">
        <v>46030</v>
      </c>
      <c r="L2413" t="inlineStr">
        <is>
          <t>Presupuesto insuficiente</t>
        </is>
      </c>
    </row>
    <row r="2414">
      <c r="A2414" t="inlineStr">
        <is>
          <t>CLI-2412</t>
        </is>
      </c>
      <c r="B2414" t="inlineStr">
        <is>
          <t>Wilson Arango Gómez</t>
        </is>
      </c>
      <c r="C2414" t="inlineStr">
        <is>
          <t>3249653909</t>
        </is>
      </c>
      <c r="D2414" t="inlineStr">
        <is>
          <t>wilson.arango84@outlook.com</t>
        </is>
      </c>
      <c r="E2414" t="inlineStr">
        <is>
          <t>Bello</t>
        </is>
      </c>
      <c r="F2414" t="inlineStr">
        <is>
          <t>PRY-006</t>
        </is>
      </c>
      <c r="G2414" t="inlineStr">
        <is>
          <t>Portal Web</t>
        </is>
      </c>
      <c r="H2414" t="inlineStr">
        <is>
          <t>Sofía Prada</t>
        </is>
      </c>
      <c r="I2414" t="inlineStr">
        <is>
          <t>Perdido</t>
        </is>
      </c>
      <c r="J2414" s="28" t="n">
        <v>46010</v>
      </c>
      <c r="K2414" s="28" t="n">
        <v>46103</v>
      </c>
      <c r="L2414" t="inlineStr">
        <is>
          <t>Precio fuera de presupuesto</t>
        </is>
      </c>
    </row>
    <row r="2415">
      <c r="A2415" t="inlineStr">
        <is>
          <t>CLI-2413</t>
        </is>
      </c>
      <c r="B2415" t="inlineStr">
        <is>
          <t>Sofía Escobar López</t>
        </is>
      </c>
      <c r="C2415" t="inlineStr">
        <is>
          <t>3015227804</t>
        </is>
      </c>
      <c r="D2415" t="inlineStr">
        <is>
          <t>sofia.escobar45@gmail.com</t>
        </is>
      </c>
      <c r="E2415" t="inlineStr">
        <is>
          <t>Envigado</t>
        </is>
      </c>
      <c r="F2415" t="inlineStr">
        <is>
          <t>PRY-007</t>
        </is>
      </c>
      <c r="G2415" t="inlineStr">
        <is>
          <t>Instagram</t>
        </is>
      </c>
      <c r="H2415" t="inlineStr">
        <is>
          <t>Paula Arenas</t>
        </is>
      </c>
      <c r="I2415" t="inlineStr">
        <is>
          <t>Perdido</t>
        </is>
      </c>
      <c r="J2415" s="28" t="n">
        <v>46011</v>
      </c>
      <c r="K2415" s="28" t="n">
        <v>46020</v>
      </c>
      <c r="L2415" t="inlineStr">
        <is>
          <t>No calificó para crédito</t>
        </is>
      </c>
    </row>
    <row r="2416">
      <c r="A2416" t="inlineStr">
        <is>
          <t>CLI-2414</t>
        </is>
      </c>
      <c r="B2416" t="inlineStr">
        <is>
          <t>Sofía López Ramírez</t>
        </is>
      </c>
      <c r="C2416" t="inlineStr">
        <is>
          <t>3177775027</t>
        </is>
      </c>
      <c r="D2416" t="inlineStr">
        <is>
          <t>sofia.lopez94@outlook.com</t>
        </is>
      </c>
      <c r="E2416" t="inlineStr">
        <is>
          <t>Rionegro</t>
        </is>
      </c>
      <c r="F2416" t="inlineStr">
        <is>
          <t>PRY-005</t>
        </is>
      </c>
      <c r="G2416" t="inlineStr">
        <is>
          <t>Portal Web</t>
        </is>
      </c>
      <c r="H2416" t="inlineStr">
        <is>
          <t>Sofía Prada</t>
        </is>
      </c>
      <c r="I2416" t="inlineStr">
        <is>
          <t>Perdido</t>
        </is>
      </c>
      <c r="J2416" s="28" t="n">
        <v>46011</v>
      </c>
      <c r="K2416" s="28" t="n">
        <v>46040</v>
      </c>
      <c r="L2416" t="inlineStr">
        <is>
          <t>Presupuesto insuficiente</t>
        </is>
      </c>
    </row>
    <row r="2417">
      <c r="A2417" t="inlineStr">
        <is>
          <t>CLI-2415</t>
        </is>
      </c>
      <c r="B2417" t="inlineStr">
        <is>
          <t>Alejandro Espinosa Londoño</t>
        </is>
      </c>
      <c r="C2417" t="inlineStr">
        <is>
          <t>3007476322</t>
        </is>
      </c>
      <c r="D2417" t="inlineStr">
        <is>
          <t>alejandro.espinosa99@hotmail.com</t>
        </is>
      </c>
      <c r="E2417" t="inlineStr">
        <is>
          <t>Envigado</t>
        </is>
      </c>
      <c r="F2417" t="inlineStr">
        <is>
          <t>PRY-008</t>
        </is>
      </c>
      <c r="G2417" t="inlineStr">
        <is>
          <t>Llamada directa</t>
        </is>
      </c>
      <c r="H2417" t="inlineStr">
        <is>
          <t>Juliana Vélez</t>
        </is>
      </c>
      <c r="I2417" t="inlineStr">
        <is>
          <t>Perdido</t>
        </is>
      </c>
      <c r="J2417" s="28" t="n">
        <v>46011</v>
      </c>
      <c r="K2417" s="28" t="n">
        <v>46024</v>
      </c>
      <c r="L2417" t="inlineStr">
        <is>
          <t>No calificó para crédito</t>
        </is>
      </c>
    </row>
    <row r="2418">
      <c r="A2418" t="inlineStr">
        <is>
          <t>CLI-2416</t>
        </is>
      </c>
      <c r="B2418" t="inlineStr">
        <is>
          <t>Fernando Marín Arango</t>
        </is>
      </c>
      <c r="C2418" t="inlineStr">
        <is>
          <t>3227203319</t>
        </is>
      </c>
      <c r="D2418" t="inlineStr">
        <is>
          <t>fernando.marin93@hotmail.com</t>
        </is>
      </c>
      <c r="E2418" t="inlineStr">
        <is>
          <t>Itagüí</t>
        </is>
      </c>
      <c r="F2418" t="inlineStr">
        <is>
          <t>PRY-008</t>
        </is>
      </c>
      <c r="G2418" t="inlineStr">
        <is>
          <t>Portal Web</t>
        </is>
      </c>
      <c r="H2418" t="inlineStr">
        <is>
          <t>Ana Quintero</t>
        </is>
      </c>
      <c r="I2418" t="inlineStr">
        <is>
          <t>Perdido</t>
        </is>
      </c>
      <c r="J2418" s="28" t="n">
        <v>46012</v>
      </c>
      <c r="K2418" s="28" t="n">
        <v>46062</v>
      </c>
      <c r="L2418" t="inlineStr">
        <is>
          <t>Crédito no aprobado</t>
        </is>
      </c>
    </row>
    <row r="2419">
      <c r="A2419" t="inlineStr">
        <is>
          <t>CLI-2417</t>
        </is>
      </c>
      <c r="B2419" t="inlineStr">
        <is>
          <t>Diana Agudelo Vélez</t>
        </is>
      </c>
      <c r="C2419" t="inlineStr">
        <is>
          <t>3206399940</t>
        </is>
      </c>
      <c r="D2419" t="inlineStr">
        <is>
          <t>diana.agudelo1@hotmail.com</t>
        </is>
      </c>
      <c r="E2419" t="inlineStr">
        <is>
          <t>Itagüí</t>
        </is>
      </c>
      <c r="F2419" t="inlineStr">
        <is>
          <t>PRY-008</t>
        </is>
      </c>
      <c r="G2419" t="inlineStr">
        <is>
          <t>Facebook</t>
        </is>
      </c>
      <c r="H2419" t="inlineStr">
        <is>
          <t>Miguel Salazar</t>
        </is>
      </c>
      <c r="I2419" t="inlineStr">
        <is>
          <t>Perdido</t>
        </is>
      </c>
      <c r="J2419" s="28" t="n">
        <v>46012</v>
      </c>
      <c r="K2419" s="28" t="n">
        <v>46033</v>
      </c>
      <c r="L2419" t="inlineStr">
        <is>
          <t>Buscaba arriendo, no compra</t>
        </is>
      </c>
    </row>
    <row r="2420">
      <c r="A2420" t="inlineStr">
        <is>
          <t>CLI-2418</t>
        </is>
      </c>
      <c r="B2420" t="inlineStr">
        <is>
          <t>Jhon Zapata Espinosa</t>
        </is>
      </c>
      <c r="C2420" t="inlineStr">
        <is>
          <t>3017718217</t>
        </is>
      </c>
      <c r="D2420" t="inlineStr">
        <is>
          <t>jhon.zapata18@outlook.com</t>
        </is>
      </c>
      <c r="E2420" t="inlineStr">
        <is>
          <t>Medellín</t>
        </is>
      </c>
      <c r="F2420" t="inlineStr">
        <is>
          <t>PRY-003</t>
        </is>
      </c>
      <c r="G2420" t="inlineStr">
        <is>
          <t>Llamada directa</t>
        </is>
      </c>
      <c r="H2420" t="inlineStr">
        <is>
          <t>Daniela Ríos</t>
        </is>
      </c>
      <c r="I2420" t="inlineStr">
        <is>
          <t>Perdido</t>
        </is>
      </c>
      <c r="J2420" s="28" t="n">
        <v>46012</v>
      </c>
      <c r="K2420" s="28" t="n">
        <v>46022</v>
      </c>
      <c r="L2420" t="inlineStr">
        <is>
          <t>Buscaba arriendo, no compra</t>
        </is>
      </c>
    </row>
    <row r="2421">
      <c r="A2421" t="inlineStr">
        <is>
          <t>CLI-2419</t>
        </is>
      </c>
      <c r="B2421" t="inlineStr">
        <is>
          <t>Manuela Echeverri Gaviria</t>
        </is>
      </c>
      <c r="C2421" t="inlineStr">
        <is>
          <t>3107574890</t>
        </is>
      </c>
      <c r="D2421" t="inlineStr">
        <is>
          <t>manuela.echeverri5@hotmail.com</t>
        </is>
      </c>
      <c r="E2421" t="inlineStr">
        <is>
          <t>Rionegro</t>
        </is>
      </c>
      <c r="F2421" t="inlineStr">
        <is>
          <t>PRY-007</t>
        </is>
      </c>
      <c r="G2421" t="inlineStr">
        <is>
          <t>Instagram</t>
        </is>
      </c>
      <c r="H2421" t="inlineStr">
        <is>
          <t>Miguel Salazar</t>
        </is>
      </c>
      <c r="I2421" t="inlineStr">
        <is>
          <t>Ganado</t>
        </is>
      </c>
      <c r="J2421" s="28" t="n">
        <v>46013</v>
      </c>
      <c r="K2421" s="28" t="n">
        <v>46134</v>
      </c>
      <c r="L2421" t="inlineStr">
        <is>
          <t>Compró Apto 1401 en Mirador de Envigado</t>
        </is>
      </c>
    </row>
    <row r="2422">
      <c r="A2422" t="inlineStr">
        <is>
          <t>CLI-2420</t>
        </is>
      </c>
      <c r="B2422" t="inlineStr">
        <is>
          <t>Daniel Londoño Muñoz</t>
        </is>
      </c>
      <c r="C2422" t="inlineStr">
        <is>
          <t>3202238808</t>
        </is>
      </c>
      <c r="D2422" t="inlineStr">
        <is>
          <t>daniel.londono65@outlook.com</t>
        </is>
      </c>
      <c r="E2422" t="inlineStr">
        <is>
          <t>Itagüí</t>
        </is>
      </c>
      <c r="F2422" t="inlineStr">
        <is>
          <t>PRY-002</t>
        </is>
      </c>
      <c r="G2422" t="inlineStr">
        <is>
          <t>Facebook</t>
        </is>
      </c>
      <c r="H2422" t="inlineStr">
        <is>
          <t>Luis Bedoya</t>
        </is>
      </c>
      <c r="I2422" t="inlineStr">
        <is>
          <t>Perdido</t>
        </is>
      </c>
      <c r="J2422" s="28" t="n">
        <v>46013</v>
      </c>
      <c r="K2422" s="28" t="n">
        <v>46022</v>
      </c>
      <c r="L2422" t="inlineStr">
        <is>
          <t>No calificó para crédito</t>
        </is>
      </c>
    </row>
    <row r="2423">
      <c r="A2423" t="inlineStr">
        <is>
          <t>CLI-2421</t>
        </is>
      </c>
      <c r="B2423" t="inlineStr">
        <is>
          <t>José Restrepo Ramírez</t>
        </is>
      </c>
      <c r="C2423" t="inlineStr">
        <is>
          <t>3146598608</t>
        </is>
      </c>
      <c r="D2423" t="inlineStr">
        <is>
          <t>jose.restrepo66@outlook.com</t>
        </is>
      </c>
      <c r="E2423" t="inlineStr">
        <is>
          <t>Itagüí</t>
        </is>
      </c>
      <c r="F2423" t="inlineStr">
        <is>
          <t>PRY-008</t>
        </is>
      </c>
      <c r="G2423" t="inlineStr">
        <is>
          <t>Portal Web</t>
        </is>
      </c>
      <c r="H2423" t="inlineStr">
        <is>
          <t>Daniela Ríos</t>
        </is>
      </c>
      <c r="I2423" t="inlineStr">
        <is>
          <t>Perdido</t>
        </is>
      </c>
      <c r="J2423" s="28" t="n">
        <v>46013</v>
      </c>
      <c r="K2423" s="28" t="n">
        <v>46028</v>
      </c>
      <c r="L2423" t="inlineStr">
        <is>
          <t>No calificó para crédito</t>
        </is>
      </c>
    </row>
    <row r="2424">
      <c r="A2424" t="inlineStr">
        <is>
          <t>CLI-2422</t>
        </is>
      </c>
      <c r="B2424" t="inlineStr">
        <is>
          <t>Óscar Quintero Pérez</t>
        </is>
      </c>
      <c r="C2424" t="inlineStr">
        <is>
          <t>3144519038</t>
        </is>
      </c>
      <c r="D2424" t="inlineStr">
        <is>
          <t>oscar.quintero79@outlook.com</t>
        </is>
      </c>
      <c r="E2424" t="inlineStr">
        <is>
          <t>Medellín</t>
        </is>
      </c>
      <c r="F2424" t="inlineStr">
        <is>
          <t>PRY-007</t>
        </is>
      </c>
      <c r="G2424" t="inlineStr">
        <is>
          <t>Facebook</t>
        </is>
      </c>
      <c r="H2424" t="inlineStr">
        <is>
          <t>Juliana Vélez</t>
        </is>
      </c>
      <c r="I2424" t="inlineStr">
        <is>
          <t>Perdido</t>
        </is>
      </c>
      <c r="J2424" s="28" t="n">
        <v>46014</v>
      </c>
      <c r="K2424" s="28" t="n">
        <v>46041</v>
      </c>
      <c r="L2424" t="inlineStr">
        <is>
          <t>Sin respuesta tras 3 contactos</t>
        </is>
      </c>
    </row>
    <row r="2425">
      <c r="A2425" t="inlineStr">
        <is>
          <t>CLI-2423</t>
        </is>
      </c>
      <c r="B2425" t="inlineStr">
        <is>
          <t>Paola Quintero Salcedo</t>
        </is>
      </c>
      <c r="C2425" t="inlineStr">
        <is>
          <t>3234265858</t>
        </is>
      </c>
      <c r="D2425" t="inlineStr">
        <is>
          <t>paola.quintero46@yahoo.com</t>
        </is>
      </c>
      <c r="E2425" t="inlineStr">
        <is>
          <t>Itagüí</t>
        </is>
      </c>
      <c r="F2425" t="inlineStr">
        <is>
          <t>PRY-008</t>
        </is>
      </c>
      <c r="G2425" t="inlineStr">
        <is>
          <t>Portal Web</t>
        </is>
      </c>
      <c r="H2425" t="inlineStr">
        <is>
          <t>Santiago Muñoz</t>
        </is>
      </c>
      <c r="I2425" t="inlineStr">
        <is>
          <t>Perdido</t>
        </is>
      </c>
      <c r="J2425" s="28" t="n">
        <v>46014</v>
      </c>
      <c r="K2425" s="28" t="n">
        <v>46026</v>
      </c>
      <c r="L2425" t="inlineStr">
        <is>
          <t>Datos de contacto errados</t>
        </is>
      </c>
    </row>
    <row r="2426">
      <c r="A2426" t="inlineStr">
        <is>
          <t>CLI-2424</t>
        </is>
      </c>
      <c r="B2426" t="inlineStr">
        <is>
          <t>María Espinosa Franco</t>
        </is>
      </c>
      <c r="C2426" t="inlineStr">
        <is>
          <t>3248322155</t>
        </is>
      </c>
      <c r="D2426" t="inlineStr">
        <is>
          <t>maria.espinosa49@gmail.com</t>
        </is>
      </c>
      <c r="E2426" t="inlineStr">
        <is>
          <t>Medellín</t>
        </is>
      </c>
      <c r="F2426" t="inlineStr">
        <is>
          <t>PRY-003</t>
        </is>
      </c>
      <c r="G2426" t="inlineStr">
        <is>
          <t>Referido</t>
        </is>
      </c>
      <c r="H2426" t="inlineStr">
        <is>
          <t>Andrés Torres</t>
        </is>
      </c>
      <c r="I2426" t="inlineStr">
        <is>
          <t>Ganado</t>
        </is>
      </c>
      <c r="J2426" s="28" t="n">
        <v>46015</v>
      </c>
      <c r="K2426" s="28" t="n">
        <v>46122</v>
      </c>
      <c r="L2426" t="inlineStr">
        <is>
          <t>Compró Apto 1105 en Conecta Laureles</t>
        </is>
      </c>
    </row>
    <row r="2427">
      <c r="A2427" t="inlineStr">
        <is>
          <t>CLI-2425</t>
        </is>
      </c>
      <c r="B2427" t="inlineStr">
        <is>
          <t>Ricardo Salazar Palacio</t>
        </is>
      </c>
      <c r="C2427" t="inlineStr">
        <is>
          <t>3245548446</t>
        </is>
      </c>
      <c r="D2427" t="inlineStr">
        <is>
          <t>ricardo.salazar65@yahoo.com</t>
        </is>
      </c>
      <c r="E2427" t="inlineStr">
        <is>
          <t>Envigado</t>
        </is>
      </c>
      <c r="F2427" t="inlineStr">
        <is>
          <t>PRY-007</t>
        </is>
      </c>
      <c r="G2427" t="inlineStr">
        <is>
          <t>Llamada directa</t>
        </is>
      </c>
      <c r="H2427" t="inlineStr">
        <is>
          <t>Andrés Torres</t>
        </is>
      </c>
      <c r="I2427" t="inlineStr">
        <is>
          <t>Perdido</t>
        </is>
      </c>
      <c r="J2427" s="28" t="n">
        <v>46015</v>
      </c>
      <c r="K2427" s="28" t="n">
        <v>46141</v>
      </c>
      <c r="L2427" t="inlineStr">
        <is>
          <t>Crédito no aprobado</t>
        </is>
      </c>
    </row>
    <row r="2428">
      <c r="A2428" t="inlineStr">
        <is>
          <t>CLI-2426</t>
        </is>
      </c>
      <c r="B2428" t="inlineStr">
        <is>
          <t>Paola Marín Betancur</t>
        </is>
      </c>
      <c r="C2428" t="inlineStr">
        <is>
          <t>3228282952</t>
        </is>
      </c>
      <c r="D2428" t="inlineStr">
        <is>
          <t>paola.marin40@hotmail.com</t>
        </is>
      </c>
      <c r="E2428" t="inlineStr">
        <is>
          <t>Envigado</t>
        </is>
      </c>
      <c r="F2428" t="inlineStr">
        <is>
          <t>PRY-007</t>
        </is>
      </c>
      <c r="G2428" t="inlineStr">
        <is>
          <t>Facebook</t>
        </is>
      </c>
      <c r="H2428" t="inlineStr">
        <is>
          <t>Paula Arenas</t>
        </is>
      </c>
      <c r="I2428" t="inlineStr">
        <is>
          <t>Perdido</t>
        </is>
      </c>
      <c r="J2428" s="28" t="n">
        <v>46015</v>
      </c>
      <c r="K2428" s="28" t="n">
        <v>46040</v>
      </c>
      <c r="L2428" t="inlineStr">
        <is>
          <t>Datos de contacto errados</t>
        </is>
      </c>
    </row>
    <row r="2429">
      <c r="A2429" t="inlineStr">
        <is>
          <t>CLI-2427</t>
        </is>
      </c>
      <c r="B2429" t="inlineStr">
        <is>
          <t>Gloria Espinosa Restrepo</t>
        </is>
      </c>
      <c r="C2429" t="inlineStr">
        <is>
          <t>3109003499</t>
        </is>
      </c>
      <c r="D2429" t="inlineStr">
        <is>
          <t>gloria.espinosa35@hotmail.com</t>
        </is>
      </c>
      <c r="E2429" t="inlineStr">
        <is>
          <t>Envigado</t>
        </is>
      </c>
      <c r="F2429" t="inlineStr">
        <is>
          <t>PRY-007</t>
        </is>
      </c>
      <c r="G2429" t="inlineStr">
        <is>
          <t>Portal Web</t>
        </is>
      </c>
      <c r="H2429" t="inlineStr">
        <is>
          <t>Paula Arenas</t>
        </is>
      </c>
      <c r="I2429" t="inlineStr">
        <is>
          <t>Perdido</t>
        </is>
      </c>
      <c r="J2429" s="28" t="n">
        <v>46015</v>
      </c>
      <c r="K2429" s="28" t="n">
        <v>46037</v>
      </c>
      <c r="L2429" t="inlineStr">
        <is>
          <t>No calificó para crédito</t>
        </is>
      </c>
    </row>
    <row r="2430">
      <c r="A2430" t="inlineStr">
        <is>
          <t>CLI-2428</t>
        </is>
      </c>
      <c r="B2430" t="inlineStr">
        <is>
          <t>Gloria Muñoz Henao</t>
        </is>
      </c>
      <c r="C2430" t="inlineStr">
        <is>
          <t>3237799641</t>
        </is>
      </c>
      <c r="D2430" t="inlineStr">
        <is>
          <t>gloria.munoz65@hotmail.com</t>
        </is>
      </c>
      <c r="E2430" t="inlineStr">
        <is>
          <t>Rionegro</t>
        </is>
      </c>
      <c r="F2430" t="inlineStr">
        <is>
          <t>PRY-007</t>
        </is>
      </c>
      <c r="G2430" t="inlineStr">
        <is>
          <t>Feria Inmobiliaria</t>
        </is>
      </c>
      <c r="H2430" t="inlineStr">
        <is>
          <t>Daniela Ríos</t>
        </is>
      </c>
      <c r="I2430" t="inlineStr">
        <is>
          <t>Perdido</t>
        </is>
      </c>
      <c r="J2430" s="28" t="n">
        <v>46015</v>
      </c>
      <c r="K2430" s="28" t="n">
        <v>46023</v>
      </c>
      <c r="L2430" t="inlineStr">
        <is>
          <t>Sin respuesta tras 3 contactos</t>
        </is>
      </c>
    </row>
    <row r="2431">
      <c r="A2431" t="inlineStr">
        <is>
          <t>CLI-2429</t>
        </is>
      </c>
      <c r="B2431" t="inlineStr">
        <is>
          <t>Esteban Uribe Pérez</t>
        </is>
      </c>
      <c r="C2431" t="inlineStr">
        <is>
          <t>3042797276</t>
        </is>
      </c>
      <c r="D2431" t="inlineStr">
        <is>
          <t>esteban.uribe54@yahoo.com</t>
        </is>
      </c>
      <c r="E2431" t="inlineStr">
        <is>
          <t>Itagüí</t>
        </is>
      </c>
      <c r="F2431" t="inlineStr">
        <is>
          <t>PRY-007</t>
        </is>
      </c>
      <c r="G2431" t="inlineStr">
        <is>
          <t>Feria Inmobiliaria</t>
        </is>
      </c>
      <c r="H2431" t="inlineStr">
        <is>
          <t>Paula Arenas</t>
        </is>
      </c>
      <c r="I2431" t="inlineStr">
        <is>
          <t>Perdido</t>
        </is>
      </c>
      <c r="J2431" s="28" t="n">
        <v>46015</v>
      </c>
      <c r="K2431" s="28" t="n">
        <v>46033</v>
      </c>
      <c r="L2431" t="inlineStr">
        <is>
          <t>No calificó para crédito</t>
        </is>
      </c>
    </row>
    <row r="2432">
      <c r="A2432" t="inlineStr">
        <is>
          <t>CLI-2430</t>
        </is>
      </c>
      <c r="B2432" t="inlineStr">
        <is>
          <t>Gabriel Palacio Gaviria</t>
        </is>
      </c>
      <c r="C2432" t="inlineStr">
        <is>
          <t>3178164010</t>
        </is>
      </c>
      <c r="D2432" t="inlineStr">
        <is>
          <t>gabriel.palacio93@hotmail.com</t>
        </is>
      </c>
      <c r="E2432" t="inlineStr">
        <is>
          <t>Rionegro</t>
        </is>
      </c>
      <c r="F2432" t="inlineStr">
        <is>
          <t>PRY-001</t>
        </is>
      </c>
      <c r="G2432" t="inlineStr">
        <is>
          <t>Portal Web</t>
        </is>
      </c>
      <c r="H2432" t="inlineStr">
        <is>
          <t>Luis Bedoya</t>
        </is>
      </c>
      <c r="I2432" t="inlineStr">
        <is>
          <t>Perdido</t>
        </is>
      </c>
      <c r="J2432" s="28" t="n">
        <v>46015</v>
      </c>
      <c r="K2432" s="28" t="n">
        <v>46045</v>
      </c>
      <c r="L2432" t="inlineStr">
        <is>
          <t>No calificó para crédito</t>
        </is>
      </c>
    </row>
    <row r="2433">
      <c r="A2433" t="inlineStr">
        <is>
          <t>CLI-2431</t>
        </is>
      </c>
      <c r="B2433" t="inlineStr">
        <is>
          <t>Simón Escobar Correa</t>
        </is>
      </c>
      <c r="C2433" t="inlineStr">
        <is>
          <t>3243052744</t>
        </is>
      </c>
      <c r="D2433" t="inlineStr">
        <is>
          <t>simon.escobar95@hotmail.com</t>
        </is>
      </c>
      <c r="E2433" t="inlineStr">
        <is>
          <t>Rionegro</t>
        </is>
      </c>
      <c r="F2433" t="inlineStr">
        <is>
          <t>PRY-005</t>
        </is>
      </c>
      <c r="G2433" t="inlineStr">
        <is>
          <t>Referido</t>
        </is>
      </c>
      <c r="H2433" t="inlineStr">
        <is>
          <t>Paula Arenas</t>
        </is>
      </c>
      <c r="I2433" t="inlineStr">
        <is>
          <t>Perdido</t>
        </is>
      </c>
      <c r="J2433" s="28" t="n">
        <v>46016</v>
      </c>
      <c r="K2433" s="28" t="n">
        <v>46021</v>
      </c>
      <c r="L2433" t="inlineStr">
        <is>
          <t>Sin respuesta tras 3 contactos</t>
        </is>
      </c>
    </row>
    <row r="2434">
      <c r="A2434" t="inlineStr">
        <is>
          <t>CLI-2432</t>
        </is>
      </c>
      <c r="B2434" t="inlineStr">
        <is>
          <t>Ximena Vargas Gaviria</t>
        </is>
      </c>
      <c r="C2434" t="inlineStr">
        <is>
          <t>3243962232</t>
        </is>
      </c>
      <c r="D2434" t="inlineStr">
        <is>
          <t>ximena.vargas4@yahoo.com</t>
        </is>
      </c>
      <c r="E2434" t="inlineStr">
        <is>
          <t>Medellín</t>
        </is>
      </c>
      <c r="F2434" t="inlineStr">
        <is>
          <t>PRY-002</t>
        </is>
      </c>
      <c r="G2434" t="inlineStr">
        <is>
          <t>Llamada directa</t>
        </is>
      </c>
      <c r="H2434" t="inlineStr">
        <is>
          <t>Luis Bedoya</t>
        </is>
      </c>
      <c r="I2434" t="inlineStr">
        <is>
          <t>Perdido</t>
        </is>
      </c>
      <c r="J2434" s="28" t="n">
        <v>46017</v>
      </c>
      <c r="K2434" s="28" t="n">
        <v>46167</v>
      </c>
      <c r="L2434" t="inlineStr">
        <is>
          <t>Precio fuera de presupuesto</t>
        </is>
      </c>
    </row>
    <row r="2435">
      <c r="A2435" t="inlineStr">
        <is>
          <t>CLI-2433</t>
        </is>
      </c>
      <c r="B2435" t="inlineStr">
        <is>
          <t>Fernando Sánchez Valencia</t>
        </is>
      </c>
      <c r="C2435" t="inlineStr">
        <is>
          <t>3222563984</t>
        </is>
      </c>
      <c r="D2435" t="inlineStr">
        <is>
          <t>fernando.sanchez53@hotmail.com</t>
        </is>
      </c>
      <c r="E2435" t="inlineStr">
        <is>
          <t>Medellín</t>
        </is>
      </c>
      <c r="F2435" t="inlineStr">
        <is>
          <t>PRY-001</t>
        </is>
      </c>
      <c r="G2435" t="inlineStr">
        <is>
          <t>Facebook</t>
        </is>
      </c>
      <c r="H2435" t="inlineStr">
        <is>
          <t>Ana Quintero</t>
        </is>
      </c>
      <c r="I2435" t="inlineStr">
        <is>
          <t>Ganado</t>
        </is>
      </c>
      <c r="J2435" s="28" t="n">
        <v>46017</v>
      </c>
      <c r="K2435" s="28" t="n">
        <v>46162</v>
      </c>
      <c r="L2435" t="inlineStr">
        <is>
          <t>Compró Apto 1802 en Torres del Poblado</t>
        </is>
      </c>
    </row>
    <row r="2436">
      <c r="A2436" t="inlineStr">
        <is>
          <t>CLI-2434</t>
        </is>
      </c>
      <c r="B2436" t="inlineStr">
        <is>
          <t>Hernán Duque Castaño</t>
        </is>
      </c>
      <c r="C2436" t="inlineStr">
        <is>
          <t>3241241332</t>
        </is>
      </c>
      <c r="D2436" t="inlineStr">
        <is>
          <t>hernan.duque63@outlook.com</t>
        </is>
      </c>
      <c r="E2436" t="inlineStr">
        <is>
          <t>Bello</t>
        </is>
      </c>
      <c r="F2436" t="inlineStr">
        <is>
          <t>PRY-008</t>
        </is>
      </c>
      <c r="G2436" t="inlineStr">
        <is>
          <t>Feria Inmobiliaria</t>
        </is>
      </c>
      <c r="H2436" t="inlineStr">
        <is>
          <t>Luis Bedoya</t>
        </is>
      </c>
      <c r="I2436" t="inlineStr">
        <is>
          <t>Ganado</t>
        </is>
      </c>
      <c r="J2436" s="28" t="n">
        <v>46018</v>
      </c>
      <c r="K2436" s="28" t="n">
        <v>46108</v>
      </c>
      <c r="L2436" t="inlineStr">
        <is>
          <t>Compró Casa 38 en Valle Verde Itagüí</t>
        </is>
      </c>
    </row>
    <row r="2437">
      <c r="A2437" t="inlineStr">
        <is>
          <t>CLI-2435</t>
        </is>
      </c>
      <c r="B2437" t="inlineStr">
        <is>
          <t>Mónica Salcedo Giraldo</t>
        </is>
      </c>
      <c r="C2437" t="inlineStr">
        <is>
          <t>3236687586</t>
        </is>
      </c>
      <c r="D2437" t="inlineStr">
        <is>
          <t>monica.salcedo55@outlook.com</t>
        </is>
      </c>
      <c r="E2437" t="inlineStr">
        <is>
          <t>Envigado</t>
        </is>
      </c>
      <c r="F2437" t="inlineStr">
        <is>
          <t>PRY-006</t>
        </is>
      </c>
      <c r="G2437" t="inlineStr">
        <is>
          <t>Facebook</t>
        </is>
      </c>
      <c r="H2437" t="inlineStr">
        <is>
          <t>Paula Arenas</t>
        </is>
      </c>
      <c r="I2437" t="inlineStr">
        <is>
          <t>Perdido</t>
        </is>
      </c>
      <c r="J2437" s="28" t="n">
        <v>46018</v>
      </c>
      <c r="K2437" s="28" t="n">
        <v>46032</v>
      </c>
      <c r="L2437" t="inlineStr">
        <is>
          <t>Sin respuesta tras 3 contactos</t>
        </is>
      </c>
    </row>
    <row r="2438">
      <c r="A2438" t="inlineStr">
        <is>
          <t>CLI-2436</t>
        </is>
      </c>
      <c r="B2438" t="inlineStr">
        <is>
          <t>Paula Salazar Quintero</t>
        </is>
      </c>
      <c r="C2438" t="inlineStr">
        <is>
          <t>3041222651</t>
        </is>
      </c>
      <c r="D2438" t="inlineStr">
        <is>
          <t>paula.salazar71@gmail.com</t>
        </is>
      </c>
      <c r="E2438" t="inlineStr">
        <is>
          <t>Bello</t>
        </is>
      </c>
      <c r="F2438" t="inlineStr">
        <is>
          <t>PRY-006</t>
        </is>
      </c>
      <c r="G2438" t="inlineStr">
        <is>
          <t>Facebook</t>
        </is>
      </c>
      <c r="H2438" t="inlineStr">
        <is>
          <t>Santiago Muñoz</t>
        </is>
      </c>
      <c r="I2438" t="inlineStr">
        <is>
          <t>Perdido</t>
        </is>
      </c>
      <c r="J2438" s="28" t="n">
        <v>46019</v>
      </c>
      <c r="K2438" s="28" t="n">
        <v>46036</v>
      </c>
      <c r="L2438" t="inlineStr">
        <is>
          <t>Presupuesto insuficiente</t>
        </is>
      </c>
    </row>
    <row r="2439">
      <c r="A2439" t="inlineStr">
        <is>
          <t>CLI-2437</t>
        </is>
      </c>
      <c r="B2439" t="inlineStr">
        <is>
          <t>David Rojas Ramírez</t>
        </is>
      </c>
      <c r="C2439" t="inlineStr">
        <is>
          <t>3043997035</t>
        </is>
      </c>
      <c r="D2439" t="inlineStr">
        <is>
          <t>david.rojas49@yahoo.com</t>
        </is>
      </c>
      <c r="E2439" t="inlineStr">
        <is>
          <t>Sabaneta</t>
        </is>
      </c>
      <c r="F2439" t="inlineStr">
        <is>
          <t>PRY-008</t>
        </is>
      </c>
      <c r="G2439" t="inlineStr">
        <is>
          <t>Instagram</t>
        </is>
      </c>
      <c r="H2439" t="inlineStr">
        <is>
          <t>Ana Quintero</t>
        </is>
      </c>
      <c r="I2439" t="inlineStr">
        <is>
          <t>Perdido</t>
        </is>
      </c>
      <c r="J2439" s="28" t="n">
        <v>46020</v>
      </c>
      <c r="K2439" s="28" t="n">
        <v>46039</v>
      </c>
      <c r="L2439" t="inlineStr">
        <is>
          <t>Buscaba arriendo, no compra</t>
        </is>
      </c>
    </row>
    <row r="2440">
      <c r="A2440" t="inlineStr">
        <is>
          <t>CLI-2438</t>
        </is>
      </c>
      <c r="B2440" t="inlineStr">
        <is>
          <t>Mauricio Ríos Osorio</t>
        </is>
      </c>
      <c r="C2440" t="inlineStr">
        <is>
          <t>3017762016</t>
        </is>
      </c>
      <c r="D2440" t="inlineStr">
        <is>
          <t>mauricio.rios23@gmail.com</t>
        </is>
      </c>
      <c r="E2440" t="inlineStr">
        <is>
          <t>Medellín</t>
        </is>
      </c>
      <c r="F2440" t="inlineStr">
        <is>
          <t>PRY-005</t>
        </is>
      </c>
      <c r="G2440" t="inlineStr">
        <is>
          <t>Portal Web</t>
        </is>
      </c>
      <c r="H2440" t="inlineStr">
        <is>
          <t>Luis Bedoya</t>
        </is>
      </c>
      <c r="I2440" t="inlineStr">
        <is>
          <t>Perdido</t>
        </is>
      </c>
      <c r="J2440" s="28" t="n">
        <v>46021</v>
      </c>
      <c r="K2440" s="28" t="n">
        <v>46127</v>
      </c>
      <c r="L2440" t="inlineStr">
        <is>
          <t>Crédito no aprobado</t>
        </is>
      </c>
    </row>
    <row r="2441">
      <c r="A2441" t="inlineStr">
        <is>
          <t>CLI-2439</t>
        </is>
      </c>
      <c r="B2441" t="inlineStr">
        <is>
          <t>Diana Ochoa Correa</t>
        </is>
      </c>
      <c r="C2441" t="inlineStr">
        <is>
          <t>3007169880</t>
        </is>
      </c>
      <c r="D2441" t="inlineStr">
        <is>
          <t>diana.ochoa67@outlook.com</t>
        </is>
      </c>
      <c r="E2441" t="inlineStr">
        <is>
          <t>Bello</t>
        </is>
      </c>
      <c r="F2441" t="inlineStr">
        <is>
          <t>PRY-006</t>
        </is>
      </c>
      <c r="G2441" t="inlineStr">
        <is>
          <t>Facebook</t>
        </is>
      </c>
      <c r="H2441" t="inlineStr">
        <is>
          <t>Daniela Ríos</t>
        </is>
      </c>
      <c r="I2441" t="inlineStr">
        <is>
          <t>Perdido</t>
        </is>
      </c>
      <c r="J2441" s="28" t="n">
        <v>46021</v>
      </c>
      <c r="K2441" s="28" t="n">
        <v>46051</v>
      </c>
      <c r="L2441" t="inlineStr">
        <is>
          <t>Presupuesto insuficiente</t>
        </is>
      </c>
    </row>
    <row r="2442">
      <c r="A2442" t="inlineStr">
        <is>
          <t>CLI-2440</t>
        </is>
      </c>
      <c r="B2442" t="inlineStr">
        <is>
          <t>Valentina Gaviria Restrepo</t>
        </is>
      </c>
      <c r="C2442" t="inlineStr">
        <is>
          <t>3104246220</t>
        </is>
      </c>
      <c r="D2442" t="inlineStr">
        <is>
          <t>valentina.gaviria79@outlook.com</t>
        </is>
      </c>
      <c r="E2442" t="inlineStr">
        <is>
          <t>Bello</t>
        </is>
      </c>
      <c r="F2442" t="inlineStr">
        <is>
          <t>PRY-006</t>
        </is>
      </c>
      <c r="G2442" t="inlineStr">
        <is>
          <t>Facebook</t>
        </is>
      </c>
      <c r="H2442" t="inlineStr">
        <is>
          <t>Andrés Torres</t>
        </is>
      </c>
      <c r="I2442" t="inlineStr">
        <is>
          <t>Perdido</t>
        </is>
      </c>
      <c r="J2442" s="28" t="n">
        <v>46021</v>
      </c>
      <c r="K2442" s="28" t="n">
        <v>46037</v>
      </c>
      <c r="L2442" t="inlineStr">
        <is>
          <t>Sin respuesta tras 3 contactos</t>
        </is>
      </c>
    </row>
    <row r="2443">
      <c r="A2443" t="inlineStr">
        <is>
          <t>CLI-2441</t>
        </is>
      </c>
      <c r="B2443" t="inlineStr">
        <is>
          <t>Lorena Escobar Vargas</t>
        </is>
      </c>
      <c r="C2443" t="inlineStr">
        <is>
          <t>3248225029</t>
        </is>
      </c>
      <c r="D2443" t="inlineStr">
        <is>
          <t>lorena.escobar8@gmail.com</t>
        </is>
      </c>
      <c r="E2443" t="inlineStr">
        <is>
          <t>Itagüí</t>
        </is>
      </c>
      <c r="F2443" t="inlineStr">
        <is>
          <t>PRY-001</t>
        </is>
      </c>
      <c r="G2443" t="inlineStr">
        <is>
          <t>Llamada directa</t>
        </is>
      </c>
      <c r="H2443" t="inlineStr">
        <is>
          <t>Ana Quintero</t>
        </is>
      </c>
      <c r="I2443" t="inlineStr">
        <is>
          <t>Perdido</t>
        </is>
      </c>
      <c r="J2443" s="28" t="n">
        <v>46021</v>
      </c>
      <c r="K2443" s="28" t="n">
        <v>46026</v>
      </c>
      <c r="L2443" t="inlineStr">
        <is>
          <t>No calificó para crédito</t>
        </is>
      </c>
    </row>
    <row r="2444">
      <c r="A2444" t="inlineStr">
        <is>
          <t>CLI-2442</t>
        </is>
      </c>
      <c r="B2444" t="inlineStr">
        <is>
          <t>Camila Vásquez Ochoa</t>
        </is>
      </c>
      <c r="C2444" t="inlineStr">
        <is>
          <t>3041175707</t>
        </is>
      </c>
      <c r="D2444" t="inlineStr">
        <is>
          <t>camila.vasquez78@outlook.com</t>
        </is>
      </c>
      <c r="E2444" t="inlineStr">
        <is>
          <t>Sabaneta</t>
        </is>
      </c>
      <c r="F2444" t="inlineStr">
        <is>
          <t>PRY-002</t>
        </is>
      </c>
      <c r="G2444" t="inlineStr">
        <is>
          <t>Referido</t>
        </is>
      </c>
      <c r="H2444" t="inlineStr">
        <is>
          <t>Luis Bedoya</t>
        </is>
      </c>
      <c r="I2444" t="inlineStr">
        <is>
          <t>Ganado</t>
        </is>
      </c>
      <c r="J2444" s="28" t="n">
        <v>46022</v>
      </c>
      <c r="K2444" s="28" t="n">
        <v>46119</v>
      </c>
      <c r="L2444" t="inlineStr">
        <is>
          <t>Compró Casa 53 en Reserva Santa Elena</t>
        </is>
      </c>
    </row>
    <row r="2445">
      <c r="A2445" t="inlineStr">
        <is>
          <t>CLI-2443</t>
        </is>
      </c>
      <c r="B2445" t="inlineStr">
        <is>
          <t>David Duque Ramírez</t>
        </is>
      </c>
      <c r="C2445" t="inlineStr">
        <is>
          <t>3136592238</t>
        </is>
      </c>
      <c r="D2445" t="inlineStr">
        <is>
          <t>david.duque32@gmail.com</t>
        </is>
      </c>
      <c r="E2445" t="inlineStr">
        <is>
          <t>Bello</t>
        </is>
      </c>
      <c r="F2445" t="inlineStr">
        <is>
          <t>PRY-007</t>
        </is>
      </c>
      <c r="G2445" t="inlineStr">
        <is>
          <t>Portal Web</t>
        </is>
      </c>
      <c r="H2445" t="inlineStr">
        <is>
          <t>Mateo Herrera</t>
        </is>
      </c>
      <c r="I2445" t="inlineStr">
        <is>
          <t>Perdido</t>
        </is>
      </c>
      <c r="J2445" s="28" t="n">
        <v>46022</v>
      </c>
      <c r="K2445" s="28" t="n">
        <v>46090</v>
      </c>
      <c r="L2445" t="inlineStr">
        <is>
          <t>Desistió de la compra</t>
        </is>
      </c>
    </row>
    <row r="2446">
      <c r="A2446" t="inlineStr">
        <is>
          <t>CLI-2444</t>
        </is>
      </c>
      <c r="B2446" t="inlineStr">
        <is>
          <t>Tomás Echeverri Gómez</t>
        </is>
      </c>
      <c r="C2446" t="inlineStr">
        <is>
          <t>3154616226</t>
        </is>
      </c>
      <c r="D2446" t="inlineStr">
        <is>
          <t>tomas.echeverri90@gmail.com</t>
        </is>
      </c>
      <c r="E2446" t="inlineStr">
        <is>
          <t>Itagüí</t>
        </is>
      </c>
      <c r="F2446" t="inlineStr">
        <is>
          <t>PRY-008</t>
        </is>
      </c>
      <c r="G2446" t="inlineStr">
        <is>
          <t>Feria Inmobiliaria</t>
        </is>
      </c>
      <c r="H2446" t="inlineStr">
        <is>
          <t>Miguel Salazar</t>
        </is>
      </c>
      <c r="I2446" t="inlineStr">
        <is>
          <t>Ganado</t>
        </is>
      </c>
      <c r="J2446" s="28" t="n">
        <v>46022</v>
      </c>
      <c r="K2446" s="28" t="n">
        <v>46093</v>
      </c>
      <c r="L2446" t="inlineStr">
        <is>
          <t>Compró Casa 82 en Valle Verde Itagüí</t>
        </is>
      </c>
    </row>
    <row r="2447">
      <c r="A2447" t="inlineStr">
        <is>
          <t>CLI-2445</t>
        </is>
      </c>
      <c r="B2447" t="inlineStr">
        <is>
          <t>Camila Londoño Zuluaga</t>
        </is>
      </c>
      <c r="C2447" t="inlineStr">
        <is>
          <t>3228111294</t>
        </is>
      </c>
      <c r="D2447" t="inlineStr">
        <is>
          <t>camila.londono28@outlook.com</t>
        </is>
      </c>
      <c r="E2447" t="inlineStr">
        <is>
          <t>Rionegro</t>
        </is>
      </c>
      <c r="F2447" t="inlineStr">
        <is>
          <t>PRY-001</t>
        </is>
      </c>
      <c r="G2447" t="inlineStr">
        <is>
          <t>Referido</t>
        </is>
      </c>
      <c r="H2447" t="inlineStr">
        <is>
          <t>Luis Bedoya</t>
        </is>
      </c>
      <c r="I2447" t="inlineStr">
        <is>
          <t>Ganado</t>
        </is>
      </c>
      <c r="J2447" s="28" t="n">
        <v>46022</v>
      </c>
      <c r="K2447" s="28" t="n">
        <v>46189</v>
      </c>
      <c r="L2447" t="inlineStr">
        <is>
          <t>Compró Apto 603 en Torres del Poblado</t>
        </is>
      </c>
    </row>
    <row r="2448">
      <c r="A2448" t="inlineStr">
        <is>
          <t>CLI-2446</t>
        </is>
      </c>
      <c r="B2448" t="inlineStr">
        <is>
          <t>Alejandro Ríos Gómez</t>
        </is>
      </c>
      <c r="C2448" t="inlineStr">
        <is>
          <t>3009085777</t>
        </is>
      </c>
      <c r="D2448" t="inlineStr">
        <is>
          <t>alejandro.rios82@yahoo.com</t>
        </is>
      </c>
      <c r="E2448" t="inlineStr">
        <is>
          <t>Sabaneta</t>
        </is>
      </c>
      <c r="F2448" t="inlineStr">
        <is>
          <t>PRY-001</t>
        </is>
      </c>
      <c r="G2448" t="inlineStr">
        <is>
          <t>Referido</t>
        </is>
      </c>
      <c r="H2448" t="inlineStr">
        <is>
          <t>Daniela Ríos</t>
        </is>
      </c>
      <c r="I2448" t="inlineStr">
        <is>
          <t>Perdido</t>
        </is>
      </c>
      <c r="J2448" s="28" t="n">
        <v>46022</v>
      </c>
      <c r="K2448" s="28" t="n">
        <v>46037</v>
      </c>
      <c r="L2448" t="inlineStr">
        <is>
          <t>Datos de contacto errados</t>
        </is>
      </c>
    </row>
    <row r="2449">
      <c r="A2449" t="inlineStr">
        <is>
          <t>CLI-2447</t>
        </is>
      </c>
      <c r="B2449" t="inlineStr">
        <is>
          <t>Lorena Quintero Toro</t>
        </is>
      </c>
      <c r="C2449" t="inlineStr">
        <is>
          <t>3235968943</t>
        </is>
      </c>
      <c r="D2449" t="inlineStr">
        <is>
          <t>lorena.quintero48@hotmail.com</t>
        </is>
      </c>
      <c r="E2449" t="inlineStr">
        <is>
          <t>Itagüí</t>
        </is>
      </c>
      <c r="F2449" t="inlineStr">
        <is>
          <t>PRY-008</t>
        </is>
      </c>
      <c r="G2449" t="inlineStr">
        <is>
          <t>Feria Inmobiliaria</t>
        </is>
      </c>
      <c r="H2449" t="inlineStr">
        <is>
          <t>Santiago Muñoz</t>
        </is>
      </c>
      <c r="I2449" t="inlineStr">
        <is>
          <t>Perdido</t>
        </is>
      </c>
      <c r="J2449" s="28" t="n">
        <v>46022</v>
      </c>
      <c r="K2449" s="28" t="n">
        <v>46040</v>
      </c>
      <c r="L2449" t="inlineStr">
        <is>
          <t>Presupuesto insuficiente</t>
        </is>
      </c>
    </row>
    <row r="2450">
      <c r="A2450" t="inlineStr">
        <is>
          <t>CLI-2448</t>
        </is>
      </c>
      <c r="B2450" t="inlineStr">
        <is>
          <t>Lorena Gaviria Escobar</t>
        </is>
      </c>
      <c r="C2450" t="inlineStr">
        <is>
          <t>3179789523</t>
        </is>
      </c>
      <c r="D2450" t="inlineStr">
        <is>
          <t>lorena.gaviria19@yahoo.com</t>
        </is>
      </c>
      <c r="E2450" t="inlineStr">
        <is>
          <t>Medellín</t>
        </is>
      </c>
      <c r="F2450" t="inlineStr">
        <is>
          <t>PRY-003</t>
        </is>
      </c>
      <c r="G2450" t="inlineStr">
        <is>
          <t>Llamada directa</t>
        </is>
      </c>
      <c r="H2450" t="inlineStr">
        <is>
          <t>Daniela Ríos</t>
        </is>
      </c>
      <c r="I2450" t="inlineStr">
        <is>
          <t>Ganado</t>
        </is>
      </c>
      <c r="J2450" s="28" t="n">
        <v>46023</v>
      </c>
      <c r="K2450" s="28" t="n">
        <v>46090</v>
      </c>
      <c r="L2450" t="inlineStr">
        <is>
          <t>Compró Apto 1708 en Conecta Laureles</t>
        </is>
      </c>
    </row>
    <row r="2451">
      <c r="A2451" t="inlineStr">
        <is>
          <t>CLI-2449</t>
        </is>
      </c>
      <c r="B2451" t="inlineStr">
        <is>
          <t>Luisa Echeverri Franco</t>
        </is>
      </c>
      <c r="C2451" t="inlineStr">
        <is>
          <t>3004245918</t>
        </is>
      </c>
      <c r="D2451" t="inlineStr">
        <is>
          <t>luisa.echeverri35@yahoo.com</t>
        </is>
      </c>
      <c r="E2451" t="inlineStr">
        <is>
          <t>Rionegro</t>
        </is>
      </c>
      <c r="F2451" t="inlineStr">
        <is>
          <t>PRY-005</t>
        </is>
      </c>
      <c r="G2451" t="inlineStr">
        <is>
          <t>Referido</t>
        </is>
      </c>
      <c r="H2451" t="inlineStr">
        <is>
          <t>Miguel Salazar</t>
        </is>
      </c>
      <c r="I2451" t="inlineStr">
        <is>
          <t>Ganado</t>
        </is>
      </c>
      <c r="J2451" s="28" t="n">
        <v>46023</v>
      </c>
      <c r="K2451" s="28" t="n">
        <v>46105</v>
      </c>
      <c r="L2451" t="inlineStr">
        <is>
          <t>Compró Apto 503 en Ciudadela Rionegro</t>
        </is>
      </c>
    </row>
    <row r="2452">
      <c r="A2452" t="inlineStr">
        <is>
          <t>CLI-2450</t>
        </is>
      </c>
      <c r="B2452" t="inlineStr">
        <is>
          <t>María Quintero Espinosa</t>
        </is>
      </c>
      <c r="C2452" t="inlineStr">
        <is>
          <t>3132422297</t>
        </is>
      </c>
      <c r="D2452" t="inlineStr">
        <is>
          <t>maria.quintero10@hotmail.com</t>
        </is>
      </c>
      <c r="E2452" t="inlineStr">
        <is>
          <t>Envigado</t>
        </is>
      </c>
      <c r="F2452" t="inlineStr">
        <is>
          <t>PRY-007</t>
        </is>
      </c>
      <c r="G2452" t="inlineStr">
        <is>
          <t>Portal Web</t>
        </is>
      </c>
      <c r="H2452" t="inlineStr">
        <is>
          <t>Santiago Muñoz</t>
        </is>
      </c>
      <c r="I2452" t="inlineStr">
        <is>
          <t>Ganado</t>
        </is>
      </c>
      <c r="J2452" s="28" t="n">
        <v>46023</v>
      </c>
      <c r="K2452" s="28" t="n">
        <v>46164</v>
      </c>
      <c r="L2452" t="inlineStr">
        <is>
          <t>Compró Apto 801 en Mirador de Envigado</t>
        </is>
      </c>
    </row>
    <row r="2453">
      <c r="A2453" t="inlineStr">
        <is>
          <t>CLI-2451</t>
        </is>
      </c>
      <c r="B2453" t="inlineStr">
        <is>
          <t>Ximena Ramírez Betancur</t>
        </is>
      </c>
      <c r="C2453" t="inlineStr">
        <is>
          <t>3102183030</t>
        </is>
      </c>
      <c r="D2453" t="inlineStr">
        <is>
          <t>ximena.ramirez77@outlook.com</t>
        </is>
      </c>
      <c r="E2453" t="inlineStr">
        <is>
          <t>Medellín</t>
        </is>
      </c>
      <c r="F2453" t="inlineStr">
        <is>
          <t>PRY-001</t>
        </is>
      </c>
      <c r="G2453" t="inlineStr">
        <is>
          <t>Feria Inmobiliaria</t>
        </is>
      </c>
      <c r="H2453" t="inlineStr">
        <is>
          <t>Miguel Salazar</t>
        </is>
      </c>
      <c r="I2453" t="inlineStr">
        <is>
          <t>Perdido</t>
        </is>
      </c>
      <c r="J2453" s="28" t="n">
        <v>46023</v>
      </c>
      <c r="K2453" s="28" t="n">
        <v>46030</v>
      </c>
      <c r="L2453" t="inlineStr">
        <is>
          <t>No calificó para crédito</t>
        </is>
      </c>
    </row>
    <row r="2454">
      <c r="A2454" t="inlineStr">
        <is>
          <t>CLI-2452</t>
        </is>
      </c>
      <c r="B2454" t="inlineStr">
        <is>
          <t>Cristian Quintero Restrepo</t>
        </is>
      </c>
      <c r="C2454" t="inlineStr">
        <is>
          <t>3206598441</t>
        </is>
      </c>
      <c r="D2454" t="inlineStr">
        <is>
          <t>cristian.quintero46@gmail.com</t>
        </is>
      </c>
      <c r="E2454" t="inlineStr">
        <is>
          <t>La Estrella</t>
        </is>
      </c>
      <c r="F2454" t="inlineStr">
        <is>
          <t>PRY-005</t>
        </is>
      </c>
      <c r="G2454" t="inlineStr">
        <is>
          <t>Llamada directa</t>
        </is>
      </c>
      <c r="H2454" t="inlineStr">
        <is>
          <t>Sofía Prada</t>
        </is>
      </c>
      <c r="I2454" t="inlineStr">
        <is>
          <t>Perdido</t>
        </is>
      </c>
      <c r="J2454" s="28" t="n">
        <v>46024</v>
      </c>
      <c r="K2454" s="28" t="n">
        <v>46069</v>
      </c>
      <c r="L2454" t="inlineStr">
        <is>
          <t>Crédito no aprobado</t>
        </is>
      </c>
    </row>
    <row r="2455">
      <c r="A2455" t="inlineStr">
        <is>
          <t>CLI-2453</t>
        </is>
      </c>
      <c r="B2455" t="inlineStr">
        <is>
          <t>Mónica Ríos Ramírez</t>
        </is>
      </c>
      <c r="C2455" t="inlineStr">
        <is>
          <t>3043527741</t>
        </is>
      </c>
      <c r="D2455" t="inlineStr">
        <is>
          <t>monica.rios47@outlook.com</t>
        </is>
      </c>
      <c r="E2455" t="inlineStr">
        <is>
          <t>Medellín</t>
        </is>
      </c>
      <c r="F2455" t="inlineStr">
        <is>
          <t>PRY-001</t>
        </is>
      </c>
      <c r="G2455" t="inlineStr">
        <is>
          <t>Portal Web</t>
        </is>
      </c>
      <c r="H2455" t="inlineStr">
        <is>
          <t>Paula Arenas</t>
        </is>
      </c>
      <c r="I2455" t="inlineStr">
        <is>
          <t>Perdido</t>
        </is>
      </c>
      <c r="J2455" s="28" t="n">
        <v>46024</v>
      </c>
      <c r="K2455" s="28" t="n">
        <v>46033</v>
      </c>
      <c r="L2455" t="inlineStr">
        <is>
          <t>Datos de contacto errados</t>
        </is>
      </c>
    </row>
    <row r="2456">
      <c r="A2456" t="inlineStr">
        <is>
          <t>CLI-2454</t>
        </is>
      </c>
      <c r="B2456" t="inlineStr">
        <is>
          <t>Isabel Ramírez Arango</t>
        </is>
      </c>
      <c r="C2456" t="inlineStr">
        <is>
          <t>3105981118</t>
        </is>
      </c>
      <c r="D2456" t="inlineStr">
        <is>
          <t>isabel.ramirez91@hotmail.com</t>
        </is>
      </c>
      <c r="E2456" t="inlineStr">
        <is>
          <t>Bello</t>
        </is>
      </c>
      <c r="F2456" t="inlineStr">
        <is>
          <t>PRY-003</t>
        </is>
      </c>
      <c r="G2456" t="inlineStr">
        <is>
          <t>Facebook</t>
        </is>
      </c>
      <c r="H2456" t="inlineStr">
        <is>
          <t>Luis Bedoya</t>
        </is>
      </c>
      <c r="I2456" t="inlineStr">
        <is>
          <t>Perdido</t>
        </is>
      </c>
      <c r="J2456" s="28" t="n">
        <v>46024</v>
      </c>
      <c r="K2456" s="28" t="n">
        <v>46054</v>
      </c>
      <c r="L2456" t="inlineStr">
        <is>
          <t>No calificó para crédito</t>
        </is>
      </c>
    </row>
    <row r="2457">
      <c r="A2457" t="inlineStr">
        <is>
          <t>CLI-2455</t>
        </is>
      </c>
      <c r="B2457" t="inlineStr">
        <is>
          <t>Valentina Rojas Ríos</t>
        </is>
      </c>
      <c r="C2457" t="inlineStr">
        <is>
          <t>3013440856</t>
        </is>
      </c>
      <c r="D2457" t="inlineStr">
        <is>
          <t>valentina.rojas56@gmail.com</t>
        </is>
      </c>
      <c r="E2457" t="inlineStr">
        <is>
          <t>Medellín</t>
        </is>
      </c>
      <c r="F2457" t="inlineStr">
        <is>
          <t>PRY-003</t>
        </is>
      </c>
      <c r="G2457" t="inlineStr">
        <is>
          <t>Llamada directa</t>
        </is>
      </c>
      <c r="H2457" t="inlineStr">
        <is>
          <t>Ana Quintero</t>
        </is>
      </c>
      <c r="I2457" t="inlineStr">
        <is>
          <t>Perdido</t>
        </is>
      </c>
      <c r="J2457" s="28" t="n">
        <v>46024</v>
      </c>
      <c r="K2457" s="28" t="n">
        <v>46042</v>
      </c>
      <c r="L2457" t="inlineStr">
        <is>
          <t>Presupuesto insuficiente</t>
        </is>
      </c>
    </row>
    <row r="2458">
      <c r="A2458" t="inlineStr">
        <is>
          <t>CLI-2456</t>
        </is>
      </c>
      <c r="B2458" t="inlineStr">
        <is>
          <t>Diego Hernández Palacio</t>
        </is>
      </c>
      <c r="C2458" t="inlineStr">
        <is>
          <t>3043851816</t>
        </is>
      </c>
      <c r="D2458" t="inlineStr">
        <is>
          <t>diego.hernandez57@gmail.com</t>
        </is>
      </c>
      <c r="E2458" t="inlineStr">
        <is>
          <t>Rionegro</t>
        </is>
      </c>
      <c r="F2458" t="inlineStr">
        <is>
          <t>PRY-005</t>
        </is>
      </c>
      <c r="G2458" t="inlineStr">
        <is>
          <t>Portal Web</t>
        </is>
      </c>
      <c r="H2458" t="inlineStr">
        <is>
          <t>Miguel Salazar</t>
        </is>
      </c>
      <c r="I2458" t="inlineStr">
        <is>
          <t>Perdido</t>
        </is>
      </c>
      <c r="J2458" s="28" t="n">
        <v>46024</v>
      </c>
      <c r="K2458" s="28" t="n">
        <v>46036</v>
      </c>
      <c r="L2458" t="inlineStr">
        <is>
          <t>No calificó para crédito</t>
        </is>
      </c>
    </row>
    <row r="2459">
      <c r="A2459" t="inlineStr">
        <is>
          <t>CLI-2457</t>
        </is>
      </c>
      <c r="B2459" t="inlineStr">
        <is>
          <t>Camila Zapata Correa</t>
        </is>
      </c>
      <c r="C2459" t="inlineStr">
        <is>
          <t>3235613604</t>
        </is>
      </c>
      <c r="D2459" t="inlineStr">
        <is>
          <t>camila.zapata30@yahoo.com</t>
        </is>
      </c>
      <c r="E2459" t="inlineStr">
        <is>
          <t>La Estrella</t>
        </is>
      </c>
      <c r="F2459" t="inlineStr">
        <is>
          <t>PRY-002</t>
        </is>
      </c>
      <c r="G2459" t="inlineStr">
        <is>
          <t>Portal Web</t>
        </is>
      </c>
      <c r="H2459" t="inlineStr">
        <is>
          <t>Juliana Vélez</t>
        </is>
      </c>
      <c r="I2459" t="inlineStr">
        <is>
          <t>Perdido</t>
        </is>
      </c>
      <c r="J2459" s="28" t="n">
        <v>46025</v>
      </c>
      <c r="K2459" s="28" t="n">
        <v>46034</v>
      </c>
      <c r="L2459" t="inlineStr">
        <is>
          <t>Sin respuesta tras 3 contactos</t>
        </is>
      </c>
    </row>
    <row r="2460">
      <c r="A2460" t="inlineStr">
        <is>
          <t>CLI-2458</t>
        </is>
      </c>
      <c r="B2460" t="inlineStr">
        <is>
          <t>Carolina Mejía Vásquez</t>
        </is>
      </c>
      <c r="C2460" t="inlineStr">
        <is>
          <t>3201547191</t>
        </is>
      </c>
      <c r="D2460" t="inlineStr">
        <is>
          <t>carolina.mejia74@hotmail.com</t>
        </is>
      </c>
      <c r="E2460" t="inlineStr">
        <is>
          <t>Rionegro</t>
        </is>
      </c>
      <c r="F2460" t="inlineStr">
        <is>
          <t>PRY-003</t>
        </is>
      </c>
      <c r="G2460" t="inlineStr">
        <is>
          <t>Portal Web</t>
        </is>
      </c>
      <c r="H2460" t="inlineStr">
        <is>
          <t>Daniela Ríos</t>
        </is>
      </c>
      <c r="I2460" t="inlineStr">
        <is>
          <t>Perdido</t>
        </is>
      </c>
      <c r="J2460" s="28" t="n">
        <v>46025</v>
      </c>
      <c r="K2460" s="28" t="n">
        <v>46034</v>
      </c>
      <c r="L2460" t="inlineStr">
        <is>
          <t>Sin respuesta tras 3 contactos</t>
        </is>
      </c>
    </row>
    <row r="2461">
      <c r="A2461" t="inlineStr">
        <is>
          <t>CLI-2459</t>
        </is>
      </c>
      <c r="B2461" t="inlineStr">
        <is>
          <t>Natalia Sánchez Palacio</t>
        </is>
      </c>
      <c r="C2461" t="inlineStr">
        <is>
          <t>3001652067</t>
        </is>
      </c>
      <c r="D2461" t="inlineStr">
        <is>
          <t>natalia.sanchez69@gmail.com</t>
        </is>
      </c>
      <c r="E2461" t="inlineStr">
        <is>
          <t>Medellín</t>
        </is>
      </c>
      <c r="F2461" t="inlineStr">
        <is>
          <t>PRY-001</t>
        </is>
      </c>
      <c r="G2461" t="inlineStr">
        <is>
          <t>Facebook</t>
        </is>
      </c>
      <c r="H2461" t="inlineStr">
        <is>
          <t>Daniela Ríos</t>
        </is>
      </c>
      <c r="I2461" t="inlineStr">
        <is>
          <t>Perdido</t>
        </is>
      </c>
      <c r="J2461" s="28" t="n">
        <v>46025</v>
      </c>
      <c r="K2461" s="28" t="n">
        <v>46046</v>
      </c>
      <c r="L2461" t="inlineStr">
        <is>
          <t>Sin respuesta tras 3 contactos</t>
        </is>
      </c>
    </row>
    <row r="2462">
      <c r="A2462" t="inlineStr">
        <is>
          <t>CLI-2460</t>
        </is>
      </c>
      <c r="B2462" t="inlineStr">
        <is>
          <t>Mariana Valencia Quintero</t>
        </is>
      </c>
      <c r="C2462" t="inlineStr">
        <is>
          <t>3108827460</t>
        </is>
      </c>
      <c r="D2462" t="inlineStr">
        <is>
          <t>mariana.valencia9@outlook.com</t>
        </is>
      </c>
      <c r="E2462" t="inlineStr">
        <is>
          <t>La Estrella</t>
        </is>
      </c>
      <c r="F2462" t="inlineStr">
        <is>
          <t>PRY-007</t>
        </is>
      </c>
      <c r="G2462" t="inlineStr">
        <is>
          <t>Facebook</t>
        </is>
      </c>
      <c r="H2462" t="inlineStr">
        <is>
          <t>Daniela Ríos</t>
        </is>
      </c>
      <c r="I2462" t="inlineStr">
        <is>
          <t>Perdido</t>
        </is>
      </c>
      <c r="J2462" s="28" t="n">
        <v>46027</v>
      </c>
      <c r="K2462" s="28" t="n">
        <v>46051</v>
      </c>
      <c r="L2462" t="inlineStr">
        <is>
          <t>Sin respuesta tras 3 contactos</t>
        </is>
      </c>
    </row>
    <row r="2463">
      <c r="A2463" t="inlineStr">
        <is>
          <t>CLI-2461</t>
        </is>
      </c>
      <c r="B2463" t="inlineStr">
        <is>
          <t>Daniela Valencia Pérez</t>
        </is>
      </c>
      <c r="C2463" t="inlineStr">
        <is>
          <t>3047717526</t>
        </is>
      </c>
      <c r="D2463" t="inlineStr">
        <is>
          <t>daniela.valencia58@hotmail.com</t>
        </is>
      </c>
      <c r="E2463" t="inlineStr">
        <is>
          <t>Bello</t>
        </is>
      </c>
      <c r="F2463" t="inlineStr">
        <is>
          <t>PRY-005</t>
        </is>
      </c>
      <c r="G2463" t="inlineStr">
        <is>
          <t>Llamada directa</t>
        </is>
      </c>
      <c r="H2463" t="inlineStr">
        <is>
          <t>Ana Quintero</t>
        </is>
      </c>
      <c r="I2463" t="inlineStr">
        <is>
          <t>Perdido</t>
        </is>
      </c>
      <c r="J2463" s="28" t="n">
        <v>46027</v>
      </c>
      <c r="K2463" s="28" t="n">
        <v>46054</v>
      </c>
      <c r="L2463" t="inlineStr">
        <is>
          <t>Buscaba arriendo, no compra</t>
        </is>
      </c>
    </row>
    <row r="2464">
      <c r="A2464" t="inlineStr">
        <is>
          <t>CLI-2462</t>
        </is>
      </c>
      <c r="B2464" t="inlineStr">
        <is>
          <t>Andrés Correa Higuita</t>
        </is>
      </c>
      <c r="C2464" t="inlineStr">
        <is>
          <t>3234346119</t>
        </is>
      </c>
      <c r="D2464" t="inlineStr">
        <is>
          <t>andres.correa40@yahoo.com</t>
        </is>
      </c>
      <c r="E2464" t="inlineStr">
        <is>
          <t>Medellín</t>
        </is>
      </c>
      <c r="F2464" t="inlineStr">
        <is>
          <t>PRY-007</t>
        </is>
      </c>
      <c r="G2464" t="inlineStr">
        <is>
          <t>Portal Web</t>
        </is>
      </c>
      <c r="H2464" t="inlineStr">
        <is>
          <t>Andrés Torres</t>
        </is>
      </c>
      <c r="I2464" t="inlineStr">
        <is>
          <t>Perdido</t>
        </is>
      </c>
      <c r="J2464" s="28" t="n">
        <v>46027</v>
      </c>
      <c r="K2464" s="28" t="n">
        <v>46052</v>
      </c>
      <c r="L2464" t="inlineStr">
        <is>
          <t>Buscaba arriendo, no compra</t>
        </is>
      </c>
    </row>
    <row r="2465">
      <c r="A2465" t="inlineStr">
        <is>
          <t>CLI-2463</t>
        </is>
      </c>
      <c r="B2465" t="inlineStr">
        <is>
          <t>Camila Restrepo Espinosa</t>
        </is>
      </c>
      <c r="C2465" t="inlineStr">
        <is>
          <t>3239636710</t>
        </is>
      </c>
      <c r="D2465" t="inlineStr">
        <is>
          <t>camila.restrepo89@outlook.com</t>
        </is>
      </c>
      <c r="E2465" t="inlineStr">
        <is>
          <t>La Estrella</t>
        </is>
      </c>
      <c r="F2465" t="inlineStr">
        <is>
          <t>PRY-005</t>
        </is>
      </c>
      <c r="G2465" t="inlineStr">
        <is>
          <t>Instagram</t>
        </is>
      </c>
      <c r="H2465" t="inlineStr">
        <is>
          <t>Ana Quintero</t>
        </is>
      </c>
      <c r="I2465" t="inlineStr">
        <is>
          <t>Perdido</t>
        </is>
      </c>
      <c r="J2465" s="28" t="n">
        <v>46028</v>
      </c>
      <c r="K2465" s="28" t="n">
        <v>46095</v>
      </c>
      <c r="L2465" t="inlineStr">
        <is>
          <t>Precio fuera de presupuesto</t>
        </is>
      </c>
    </row>
    <row r="2466">
      <c r="A2466" t="inlineStr">
        <is>
          <t>CLI-2464</t>
        </is>
      </c>
      <c r="B2466" t="inlineStr">
        <is>
          <t>Simón Cardona Palacio</t>
        </is>
      </c>
      <c r="C2466" t="inlineStr">
        <is>
          <t>3009168747</t>
        </is>
      </c>
      <c r="D2466" t="inlineStr">
        <is>
          <t>simon.cardona66@gmail.com</t>
        </is>
      </c>
      <c r="E2466" t="inlineStr">
        <is>
          <t>Rionegro</t>
        </is>
      </c>
      <c r="F2466" t="inlineStr">
        <is>
          <t>PRY-006</t>
        </is>
      </c>
      <c r="G2466" t="inlineStr">
        <is>
          <t>Referido</t>
        </is>
      </c>
      <c r="H2466" t="inlineStr">
        <is>
          <t>Andrés Torres</t>
        </is>
      </c>
      <c r="I2466" t="inlineStr">
        <is>
          <t>Perdido</t>
        </is>
      </c>
      <c r="J2466" s="28" t="n">
        <v>46028</v>
      </c>
      <c r="K2466" s="28" t="n">
        <v>46053</v>
      </c>
      <c r="L2466" t="inlineStr">
        <is>
          <t>No calificó para crédito</t>
        </is>
      </c>
    </row>
    <row r="2467">
      <c r="A2467" t="inlineStr">
        <is>
          <t>CLI-2465</t>
        </is>
      </c>
      <c r="B2467" t="inlineStr">
        <is>
          <t>Manuela Arango Londoño</t>
        </is>
      </c>
      <c r="C2467" t="inlineStr">
        <is>
          <t>3001317407</t>
        </is>
      </c>
      <c r="D2467" t="inlineStr">
        <is>
          <t>manuela.arango87@hotmail.com</t>
        </is>
      </c>
      <c r="E2467" t="inlineStr">
        <is>
          <t>Itagüí</t>
        </is>
      </c>
      <c r="F2467" t="inlineStr">
        <is>
          <t>PRY-005</t>
        </is>
      </c>
      <c r="G2467" t="inlineStr">
        <is>
          <t>Referido</t>
        </is>
      </c>
      <c r="H2467" t="inlineStr">
        <is>
          <t>Sofía Prada</t>
        </is>
      </c>
      <c r="I2467" t="inlineStr">
        <is>
          <t>Ganado</t>
        </is>
      </c>
      <c r="J2467" s="28" t="n">
        <v>46029</v>
      </c>
      <c r="K2467" s="28" t="n">
        <v>46115</v>
      </c>
      <c r="L2467" t="inlineStr">
        <is>
          <t>Compró Apto 604 en Ciudadela Rionegro</t>
        </is>
      </c>
    </row>
    <row r="2468">
      <c r="A2468" t="inlineStr">
        <is>
          <t>CLI-2466</t>
        </is>
      </c>
      <c r="B2468" t="inlineStr">
        <is>
          <t>Sofía Muñoz Vargas</t>
        </is>
      </c>
      <c r="C2468" t="inlineStr">
        <is>
          <t>3204013666</t>
        </is>
      </c>
      <c r="D2468" t="inlineStr">
        <is>
          <t>sofia.munoz86@gmail.com</t>
        </is>
      </c>
      <c r="E2468" t="inlineStr">
        <is>
          <t>Itagüí</t>
        </is>
      </c>
      <c r="F2468" t="inlineStr">
        <is>
          <t>PRY-008</t>
        </is>
      </c>
      <c r="G2468" t="inlineStr">
        <is>
          <t>Referido</t>
        </is>
      </c>
      <c r="H2468" t="inlineStr">
        <is>
          <t>Daniela Ríos</t>
        </is>
      </c>
      <c r="I2468" t="inlineStr">
        <is>
          <t>Perdido</t>
        </is>
      </c>
      <c r="J2468" s="28" t="n">
        <v>46029</v>
      </c>
      <c r="K2468" s="28" t="n">
        <v>46035</v>
      </c>
      <c r="L2468" t="inlineStr">
        <is>
          <t>Sin respuesta tras 3 contactos</t>
        </is>
      </c>
    </row>
    <row r="2469">
      <c r="A2469" t="inlineStr">
        <is>
          <t>CLI-2467</t>
        </is>
      </c>
      <c r="B2469" t="inlineStr">
        <is>
          <t>Manuela Montoya Ríos</t>
        </is>
      </c>
      <c r="C2469" t="inlineStr">
        <is>
          <t>3108185461</t>
        </is>
      </c>
      <c r="D2469" t="inlineStr">
        <is>
          <t>manuela.montoya97@hotmail.com</t>
        </is>
      </c>
      <c r="E2469" t="inlineStr">
        <is>
          <t>Sabaneta</t>
        </is>
      </c>
      <c r="F2469" t="inlineStr">
        <is>
          <t>PRY-006</t>
        </is>
      </c>
      <c r="G2469" t="inlineStr">
        <is>
          <t>Portal Web</t>
        </is>
      </c>
      <c r="H2469" t="inlineStr">
        <is>
          <t>Luis Bedoya</t>
        </is>
      </c>
      <c r="I2469" t="inlineStr">
        <is>
          <t>Ganado</t>
        </is>
      </c>
      <c r="J2469" s="28" t="n">
        <v>46030</v>
      </c>
      <c r="K2469" s="28" t="n">
        <v>46160</v>
      </c>
      <c r="L2469" t="inlineStr">
        <is>
          <t>Compró Local 34 en Plaza Bello</t>
        </is>
      </c>
    </row>
    <row r="2470">
      <c r="A2470" t="inlineStr">
        <is>
          <t>CLI-2468</t>
        </is>
      </c>
      <c r="B2470" t="inlineStr">
        <is>
          <t>Santiago Montoya Muñoz</t>
        </is>
      </c>
      <c r="C2470" t="inlineStr">
        <is>
          <t>3012539548</t>
        </is>
      </c>
      <c r="D2470" t="inlineStr">
        <is>
          <t>santiago.montoya3@yahoo.com</t>
        </is>
      </c>
      <c r="E2470" t="inlineStr">
        <is>
          <t>Bello</t>
        </is>
      </c>
      <c r="F2470" t="inlineStr">
        <is>
          <t>PRY-007</t>
        </is>
      </c>
      <c r="G2470" t="inlineStr">
        <is>
          <t>Referido</t>
        </is>
      </c>
      <c r="H2470" t="inlineStr">
        <is>
          <t>Sofía Prada</t>
        </is>
      </c>
      <c r="I2470" t="inlineStr">
        <is>
          <t>Ganado</t>
        </is>
      </c>
      <c r="J2470" s="28" t="n">
        <v>46030</v>
      </c>
      <c r="K2470" s="28" t="n">
        <v>46173</v>
      </c>
      <c r="L2470" t="inlineStr">
        <is>
          <t>Compró Apto 905 en Mirador de Envigado</t>
        </is>
      </c>
    </row>
    <row r="2471">
      <c r="A2471" t="inlineStr">
        <is>
          <t>CLI-2469</t>
        </is>
      </c>
      <c r="B2471" t="inlineStr">
        <is>
          <t>Rodrigo Marín Hernández</t>
        </is>
      </c>
      <c r="C2471" t="inlineStr">
        <is>
          <t>3108801927</t>
        </is>
      </c>
      <c r="D2471" t="inlineStr">
        <is>
          <t>rodrigo.marin4@yahoo.com</t>
        </is>
      </c>
      <c r="E2471" t="inlineStr">
        <is>
          <t>Bello</t>
        </is>
      </c>
      <c r="F2471" t="inlineStr">
        <is>
          <t>PRY-006</t>
        </is>
      </c>
      <c r="G2471" t="inlineStr">
        <is>
          <t>Feria Inmobiliaria</t>
        </is>
      </c>
      <c r="H2471" t="inlineStr">
        <is>
          <t>Santiago Muñoz</t>
        </is>
      </c>
      <c r="I2471" t="inlineStr">
        <is>
          <t>Ganado</t>
        </is>
      </c>
      <c r="J2471" s="28" t="n">
        <v>46030</v>
      </c>
      <c r="K2471" s="28" t="n">
        <v>46135</v>
      </c>
      <c r="L2471" t="inlineStr">
        <is>
          <t>Compró Local 31 en Plaza Bello</t>
        </is>
      </c>
    </row>
    <row r="2472">
      <c r="A2472" t="inlineStr">
        <is>
          <t>CLI-2470</t>
        </is>
      </c>
      <c r="B2472" t="inlineStr">
        <is>
          <t>Alejandro Espinosa Peláez</t>
        </is>
      </c>
      <c r="C2472" t="inlineStr">
        <is>
          <t>3204955028</t>
        </is>
      </c>
      <c r="D2472" t="inlineStr">
        <is>
          <t>alejandro.espinosa24@hotmail.com</t>
        </is>
      </c>
      <c r="E2472" t="inlineStr">
        <is>
          <t>Sabaneta</t>
        </is>
      </c>
      <c r="F2472" t="inlineStr">
        <is>
          <t>PRY-003</t>
        </is>
      </c>
      <c r="G2472" t="inlineStr">
        <is>
          <t>Llamada directa</t>
        </is>
      </c>
      <c r="H2472" t="inlineStr">
        <is>
          <t>Mateo Herrera</t>
        </is>
      </c>
      <c r="I2472" t="inlineStr">
        <is>
          <t>Perdido</t>
        </is>
      </c>
      <c r="J2472" s="28" t="n">
        <v>46030</v>
      </c>
      <c r="K2472" s="28" t="n">
        <v>46035</v>
      </c>
      <c r="L2472" t="inlineStr">
        <is>
          <t>Sin respuesta tras 3 contactos</t>
        </is>
      </c>
    </row>
    <row r="2473">
      <c r="A2473" t="inlineStr">
        <is>
          <t>CLI-2471</t>
        </is>
      </c>
      <c r="B2473" t="inlineStr">
        <is>
          <t>Ricardo Franco Castaño</t>
        </is>
      </c>
      <c r="C2473" t="inlineStr">
        <is>
          <t>3006653037</t>
        </is>
      </c>
      <c r="D2473" t="inlineStr">
        <is>
          <t>ricardo.franco95@yahoo.com</t>
        </is>
      </c>
      <c r="E2473" t="inlineStr">
        <is>
          <t>Envigado</t>
        </is>
      </c>
      <c r="F2473" t="inlineStr">
        <is>
          <t>PRY-007</t>
        </is>
      </c>
      <c r="G2473" t="inlineStr">
        <is>
          <t>Facebook</t>
        </is>
      </c>
      <c r="H2473" t="inlineStr">
        <is>
          <t>Miguel Salazar</t>
        </is>
      </c>
      <c r="I2473" t="inlineStr">
        <is>
          <t>Perdido</t>
        </is>
      </c>
      <c r="J2473" s="28" t="n">
        <v>46030</v>
      </c>
      <c r="K2473" s="28" t="n">
        <v>46048</v>
      </c>
      <c r="L2473" t="inlineStr">
        <is>
          <t>Presupuesto insuficiente</t>
        </is>
      </c>
    </row>
    <row r="2474">
      <c r="A2474" t="inlineStr">
        <is>
          <t>CLI-2472</t>
        </is>
      </c>
      <c r="B2474" t="inlineStr">
        <is>
          <t>Natalia Valencia Muñoz</t>
        </is>
      </c>
      <c r="C2474" t="inlineStr">
        <is>
          <t>3225949482</t>
        </is>
      </c>
      <c r="D2474" t="inlineStr">
        <is>
          <t>natalia.valencia28@outlook.com</t>
        </is>
      </c>
      <c r="E2474" t="inlineStr">
        <is>
          <t>Rionegro</t>
        </is>
      </c>
      <c r="F2474" t="inlineStr">
        <is>
          <t>PRY-005</t>
        </is>
      </c>
      <c r="G2474" t="inlineStr">
        <is>
          <t>Portal Web</t>
        </is>
      </c>
      <c r="H2474" t="inlineStr">
        <is>
          <t>Sofía Prada</t>
        </is>
      </c>
      <c r="I2474" t="inlineStr">
        <is>
          <t>Perdido</t>
        </is>
      </c>
      <c r="J2474" s="28" t="n">
        <v>46031</v>
      </c>
      <c r="K2474" s="28" t="n">
        <v>46058</v>
      </c>
      <c r="L2474" t="inlineStr">
        <is>
          <t>Sin respuesta tras 3 contactos</t>
        </is>
      </c>
    </row>
    <row r="2475">
      <c r="A2475" t="inlineStr">
        <is>
          <t>CLI-2473</t>
        </is>
      </c>
      <c r="B2475" t="inlineStr">
        <is>
          <t>Patricia Hernández Franco</t>
        </is>
      </c>
      <c r="C2475" t="inlineStr">
        <is>
          <t>3175583438</t>
        </is>
      </c>
      <c r="D2475" t="inlineStr">
        <is>
          <t>patricia.hernandez67@outlook.com</t>
        </is>
      </c>
      <c r="E2475" t="inlineStr">
        <is>
          <t>Itagüí</t>
        </is>
      </c>
      <c r="F2475" t="inlineStr">
        <is>
          <t>PRY-001</t>
        </is>
      </c>
      <c r="G2475" t="inlineStr">
        <is>
          <t>Portal Web</t>
        </is>
      </c>
      <c r="H2475" t="inlineStr">
        <is>
          <t>Ana Quintero</t>
        </is>
      </c>
      <c r="I2475" t="inlineStr">
        <is>
          <t>Perdido</t>
        </is>
      </c>
      <c r="J2475" s="28" t="n">
        <v>46032</v>
      </c>
      <c r="K2475" s="28" t="n">
        <v>46059</v>
      </c>
      <c r="L2475" t="inlineStr">
        <is>
          <t>Sin respuesta tras 3 contactos</t>
        </is>
      </c>
    </row>
    <row r="2476">
      <c r="A2476" t="inlineStr">
        <is>
          <t>CLI-2474</t>
        </is>
      </c>
      <c r="B2476" t="inlineStr">
        <is>
          <t>Laura Gaviria Castaño</t>
        </is>
      </c>
      <c r="C2476" t="inlineStr">
        <is>
          <t>3232181311</t>
        </is>
      </c>
      <c r="D2476" t="inlineStr">
        <is>
          <t>laura.gaviria46@outlook.com</t>
        </is>
      </c>
      <c r="E2476" t="inlineStr">
        <is>
          <t>Envigado</t>
        </is>
      </c>
      <c r="F2476" t="inlineStr">
        <is>
          <t>PRY-008</t>
        </is>
      </c>
      <c r="G2476" t="inlineStr">
        <is>
          <t>Facebook</t>
        </is>
      </c>
      <c r="H2476" t="inlineStr">
        <is>
          <t>Luis Bedoya</t>
        </is>
      </c>
      <c r="I2476" t="inlineStr">
        <is>
          <t>Perdido</t>
        </is>
      </c>
      <c r="J2476" s="28" t="n">
        <v>46032</v>
      </c>
      <c r="K2476" s="28" t="n">
        <v>46043</v>
      </c>
      <c r="L2476" t="inlineStr">
        <is>
          <t>No calificó para crédito</t>
        </is>
      </c>
    </row>
    <row r="2477">
      <c r="A2477" t="inlineStr">
        <is>
          <t>CLI-2475</t>
        </is>
      </c>
      <c r="B2477" t="inlineStr">
        <is>
          <t>Alejandro Jaramillo Echeverri</t>
        </is>
      </c>
      <c r="C2477" t="inlineStr">
        <is>
          <t>3131345014</t>
        </is>
      </c>
      <c r="D2477" t="inlineStr">
        <is>
          <t>alejandro.jaramillo32@yahoo.com</t>
        </is>
      </c>
      <c r="E2477" t="inlineStr">
        <is>
          <t>La Estrella</t>
        </is>
      </c>
      <c r="F2477" t="inlineStr">
        <is>
          <t>PRY-001</t>
        </is>
      </c>
      <c r="G2477" t="inlineStr">
        <is>
          <t>Portal Web</t>
        </is>
      </c>
      <c r="H2477" t="inlineStr">
        <is>
          <t>Juliana Vélez</t>
        </is>
      </c>
      <c r="I2477" t="inlineStr">
        <is>
          <t>Perdido</t>
        </is>
      </c>
      <c r="J2477" s="28" t="n">
        <v>46033</v>
      </c>
      <c r="K2477" s="28" t="n">
        <v>46158</v>
      </c>
      <c r="L2477" t="inlineStr">
        <is>
          <t>Crédito no aprobado</t>
        </is>
      </c>
    </row>
    <row r="2478">
      <c r="A2478" t="inlineStr">
        <is>
          <t>CLI-2476</t>
        </is>
      </c>
      <c r="B2478" t="inlineStr">
        <is>
          <t>Alejandra Muñoz Cifuentes</t>
        </is>
      </c>
      <c r="C2478" t="inlineStr">
        <is>
          <t>3046845889</t>
        </is>
      </c>
      <c r="D2478" t="inlineStr">
        <is>
          <t>alejandra.munoz82@hotmail.com</t>
        </is>
      </c>
      <c r="E2478" t="inlineStr">
        <is>
          <t>Medellín</t>
        </is>
      </c>
      <c r="F2478" t="inlineStr">
        <is>
          <t>PRY-001</t>
        </is>
      </c>
      <c r="G2478" t="inlineStr">
        <is>
          <t>Portal Web</t>
        </is>
      </c>
      <c r="H2478" t="inlineStr">
        <is>
          <t>Luis Bedoya</t>
        </is>
      </c>
      <c r="I2478" t="inlineStr">
        <is>
          <t>Perdido</t>
        </is>
      </c>
      <c r="J2478" s="28" t="n">
        <v>46034</v>
      </c>
      <c r="K2478" s="28" t="n">
        <v>46096</v>
      </c>
      <c r="L2478" t="inlineStr">
        <is>
          <t>Precio fuera de presupuesto</t>
        </is>
      </c>
    </row>
    <row r="2479">
      <c r="A2479" t="inlineStr">
        <is>
          <t>CLI-2477</t>
        </is>
      </c>
      <c r="B2479" t="inlineStr">
        <is>
          <t>Paola Franco Pérez</t>
        </is>
      </c>
      <c r="C2479" t="inlineStr">
        <is>
          <t>3205500233</t>
        </is>
      </c>
      <c r="D2479" t="inlineStr">
        <is>
          <t>paola.franco29@hotmail.com</t>
        </is>
      </c>
      <c r="E2479" t="inlineStr">
        <is>
          <t>Medellín</t>
        </is>
      </c>
      <c r="F2479" t="inlineStr">
        <is>
          <t>PRY-001</t>
        </is>
      </c>
      <c r="G2479" t="inlineStr">
        <is>
          <t>Portal Web</t>
        </is>
      </c>
      <c r="H2479" t="inlineStr">
        <is>
          <t>Ana Quintero</t>
        </is>
      </c>
      <c r="I2479" t="inlineStr">
        <is>
          <t>Perdido</t>
        </is>
      </c>
      <c r="J2479" s="28" t="n">
        <v>46034</v>
      </c>
      <c r="K2479" s="28" t="n">
        <v>46050</v>
      </c>
      <c r="L2479" t="inlineStr">
        <is>
          <t>Buscaba arriendo, no compra</t>
        </is>
      </c>
    </row>
    <row r="2480">
      <c r="A2480" t="inlineStr">
        <is>
          <t>CLI-2478</t>
        </is>
      </c>
      <c r="B2480" t="inlineStr">
        <is>
          <t>Sara Franco Pérez</t>
        </is>
      </c>
      <c r="C2480" t="inlineStr">
        <is>
          <t>3144001870</t>
        </is>
      </c>
      <c r="D2480" t="inlineStr">
        <is>
          <t>sara.franco19@outlook.com</t>
        </is>
      </c>
      <c r="E2480" t="inlineStr">
        <is>
          <t>La Estrella</t>
        </is>
      </c>
      <c r="F2480" t="inlineStr">
        <is>
          <t>PRY-002</t>
        </is>
      </c>
      <c r="G2480" t="inlineStr">
        <is>
          <t>Referido</t>
        </is>
      </c>
      <c r="H2480" t="inlineStr">
        <is>
          <t>Ana Quintero</t>
        </is>
      </c>
      <c r="I2480" t="inlineStr">
        <is>
          <t>Ganado</t>
        </is>
      </c>
      <c r="J2480" s="28" t="n">
        <v>46035</v>
      </c>
      <c r="K2480" s="28" t="n">
        <v>46187</v>
      </c>
      <c r="L2480" t="inlineStr">
        <is>
          <t>Compró Casa 42 en Reserva Santa Elena</t>
        </is>
      </c>
    </row>
    <row r="2481">
      <c r="A2481" t="inlineStr">
        <is>
          <t>CLI-2479</t>
        </is>
      </c>
      <c r="B2481" t="inlineStr">
        <is>
          <t>Sara Londoño Cardona</t>
        </is>
      </c>
      <c r="C2481" t="inlineStr">
        <is>
          <t>3175807769</t>
        </is>
      </c>
      <c r="D2481" t="inlineStr">
        <is>
          <t>sara.londono60@hotmail.com</t>
        </is>
      </c>
      <c r="E2481" t="inlineStr">
        <is>
          <t>Itagüí</t>
        </is>
      </c>
      <c r="F2481" t="inlineStr">
        <is>
          <t>PRY-003</t>
        </is>
      </c>
      <c r="G2481" t="inlineStr">
        <is>
          <t>Referido</t>
        </is>
      </c>
      <c r="H2481" t="inlineStr">
        <is>
          <t>Luis Bedoya</t>
        </is>
      </c>
      <c r="I2481" t="inlineStr">
        <is>
          <t>Ganado</t>
        </is>
      </c>
      <c r="J2481" s="28" t="n">
        <v>46036</v>
      </c>
      <c r="K2481" s="28" t="n">
        <v>46139</v>
      </c>
      <c r="L2481" t="inlineStr">
        <is>
          <t>Compró Apto 2103 en Conecta Laureles</t>
        </is>
      </c>
    </row>
    <row r="2482">
      <c r="A2482" t="inlineStr">
        <is>
          <t>CLI-2480</t>
        </is>
      </c>
      <c r="B2482" t="inlineStr">
        <is>
          <t>Catalina Palacio Montes</t>
        </is>
      </c>
      <c r="C2482" t="inlineStr">
        <is>
          <t>3202574852</t>
        </is>
      </c>
      <c r="D2482" t="inlineStr">
        <is>
          <t>catalina.palacio8@yahoo.com</t>
        </is>
      </c>
      <c r="E2482" t="inlineStr">
        <is>
          <t>Envigado</t>
        </is>
      </c>
      <c r="F2482" t="inlineStr">
        <is>
          <t>PRY-007</t>
        </is>
      </c>
      <c r="G2482" t="inlineStr">
        <is>
          <t>Facebook</t>
        </is>
      </c>
      <c r="H2482" t="inlineStr">
        <is>
          <t>Andrés Torres</t>
        </is>
      </c>
      <c r="I2482" t="inlineStr">
        <is>
          <t>Perdido</t>
        </is>
      </c>
      <c r="J2482" s="28" t="n">
        <v>46036</v>
      </c>
      <c r="K2482" s="28" t="n">
        <v>46044</v>
      </c>
      <c r="L2482" t="inlineStr">
        <is>
          <t>No calificó para crédito</t>
        </is>
      </c>
    </row>
    <row r="2483">
      <c r="A2483" t="inlineStr">
        <is>
          <t>CLI-2481</t>
        </is>
      </c>
      <c r="B2483" t="inlineStr">
        <is>
          <t>David Peláez Quintero</t>
        </is>
      </c>
      <c r="C2483" t="inlineStr">
        <is>
          <t>3011218519</t>
        </is>
      </c>
      <c r="D2483" t="inlineStr">
        <is>
          <t>david.pelaez40@yahoo.com</t>
        </is>
      </c>
      <c r="E2483" t="inlineStr">
        <is>
          <t>Medellín</t>
        </is>
      </c>
      <c r="F2483" t="inlineStr">
        <is>
          <t>PRY-001</t>
        </is>
      </c>
      <c r="G2483" t="inlineStr">
        <is>
          <t>Portal Web</t>
        </is>
      </c>
      <c r="H2483" t="inlineStr">
        <is>
          <t>Miguel Salazar</t>
        </is>
      </c>
      <c r="I2483" t="inlineStr">
        <is>
          <t>Perdido</t>
        </is>
      </c>
      <c r="J2483" s="28" t="n">
        <v>46036</v>
      </c>
      <c r="K2483" s="28" t="n">
        <v>46043</v>
      </c>
      <c r="L2483" t="inlineStr">
        <is>
          <t>No calificó para crédito</t>
        </is>
      </c>
    </row>
    <row r="2484">
      <c r="A2484" t="inlineStr">
        <is>
          <t>CLI-2482</t>
        </is>
      </c>
      <c r="B2484" t="inlineStr">
        <is>
          <t>Paula Higuita Quintero</t>
        </is>
      </c>
      <c r="C2484" t="inlineStr">
        <is>
          <t>3146790184</t>
        </is>
      </c>
      <c r="D2484" t="inlineStr">
        <is>
          <t>paula.higuita58@yahoo.com</t>
        </is>
      </c>
      <c r="E2484" t="inlineStr">
        <is>
          <t>Medellín</t>
        </is>
      </c>
      <c r="F2484" t="inlineStr">
        <is>
          <t>PRY-003</t>
        </is>
      </c>
      <c r="G2484" t="inlineStr">
        <is>
          <t>Portal Web</t>
        </is>
      </c>
      <c r="H2484" t="inlineStr">
        <is>
          <t>Andrés Torres</t>
        </is>
      </c>
      <c r="I2484" t="inlineStr">
        <is>
          <t>Perdido</t>
        </is>
      </c>
      <c r="J2484" s="28" t="n">
        <v>46036</v>
      </c>
      <c r="K2484" s="28" t="n">
        <v>46041</v>
      </c>
      <c r="L2484" t="inlineStr">
        <is>
          <t>Buscaba arriendo, no compra</t>
        </is>
      </c>
    </row>
    <row r="2485">
      <c r="A2485" t="inlineStr">
        <is>
          <t>CLI-2483</t>
        </is>
      </c>
      <c r="B2485" t="inlineStr">
        <is>
          <t>Verónica Pérez Correa</t>
        </is>
      </c>
      <c r="C2485" t="inlineStr">
        <is>
          <t>3014167419</t>
        </is>
      </c>
      <c r="D2485" t="inlineStr">
        <is>
          <t>veronica.perez48@outlook.com</t>
        </is>
      </c>
      <c r="E2485" t="inlineStr">
        <is>
          <t>Medellín</t>
        </is>
      </c>
      <c r="F2485" t="inlineStr">
        <is>
          <t>PRY-003</t>
        </is>
      </c>
      <c r="G2485" t="inlineStr">
        <is>
          <t>Instagram</t>
        </is>
      </c>
      <c r="H2485" t="inlineStr">
        <is>
          <t>Juliana Vélez</t>
        </is>
      </c>
      <c r="I2485" t="inlineStr">
        <is>
          <t>Ganado</t>
        </is>
      </c>
      <c r="J2485" s="28" t="n">
        <v>46037</v>
      </c>
      <c r="K2485" s="28" t="n">
        <v>46127</v>
      </c>
      <c r="L2485" t="inlineStr">
        <is>
          <t>Compró Apto 2302 en Conecta Laureles</t>
        </is>
      </c>
    </row>
    <row r="2486">
      <c r="A2486" t="inlineStr">
        <is>
          <t>CLI-2484</t>
        </is>
      </c>
      <c r="B2486" t="inlineStr">
        <is>
          <t>Liliana Salcedo Gómez</t>
        </is>
      </c>
      <c r="C2486" t="inlineStr">
        <is>
          <t>3177871239</t>
        </is>
      </c>
      <c r="D2486" t="inlineStr">
        <is>
          <t>liliana.salcedo40@yahoo.com</t>
        </is>
      </c>
      <c r="E2486" t="inlineStr">
        <is>
          <t>Bello</t>
        </is>
      </c>
      <c r="F2486" t="inlineStr">
        <is>
          <t>PRY-006</t>
        </is>
      </c>
      <c r="G2486" t="inlineStr">
        <is>
          <t>Instagram</t>
        </is>
      </c>
      <c r="H2486" t="inlineStr">
        <is>
          <t>Mateo Herrera</t>
        </is>
      </c>
      <c r="I2486" t="inlineStr">
        <is>
          <t>Perdido</t>
        </is>
      </c>
      <c r="J2486" s="28" t="n">
        <v>46037</v>
      </c>
      <c r="K2486" s="28" t="n">
        <v>46064</v>
      </c>
      <c r="L2486" t="inlineStr">
        <is>
          <t>No calificó para crédito</t>
        </is>
      </c>
    </row>
    <row r="2487">
      <c r="A2487" t="inlineStr">
        <is>
          <t>CLI-2485</t>
        </is>
      </c>
      <c r="B2487" t="inlineStr">
        <is>
          <t>Mateo Álvarez Peláez</t>
        </is>
      </c>
      <c r="C2487" t="inlineStr">
        <is>
          <t>3009593542</t>
        </is>
      </c>
      <c r="D2487" t="inlineStr">
        <is>
          <t>mateo.alvarez55@outlook.com</t>
        </is>
      </c>
      <c r="E2487" t="inlineStr">
        <is>
          <t>Medellín</t>
        </is>
      </c>
      <c r="F2487" t="inlineStr">
        <is>
          <t>PRY-003</t>
        </is>
      </c>
      <c r="G2487" t="inlineStr">
        <is>
          <t>Llamada directa</t>
        </is>
      </c>
      <c r="H2487" t="inlineStr">
        <is>
          <t>Andrés Torres</t>
        </is>
      </c>
      <c r="I2487" t="inlineStr">
        <is>
          <t>Ganado</t>
        </is>
      </c>
      <c r="J2487" s="28" t="n">
        <v>46038</v>
      </c>
      <c r="K2487" s="28" t="n">
        <v>46160</v>
      </c>
      <c r="L2487" t="inlineStr">
        <is>
          <t>Compró Apto 2006 en Conecta Laureles</t>
        </is>
      </c>
    </row>
    <row r="2488">
      <c r="A2488" t="inlineStr">
        <is>
          <t>CLI-2486</t>
        </is>
      </c>
      <c r="B2488" t="inlineStr">
        <is>
          <t>Rodrigo Franco Montoya</t>
        </is>
      </c>
      <c r="C2488" t="inlineStr">
        <is>
          <t>3102755850</t>
        </is>
      </c>
      <c r="D2488" t="inlineStr">
        <is>
          <t>rodrigo.franco33@hotmail.com</t>
        </is>
      </c>
      <c r="E2488" t="inlineStr">
        <is>
          <t>Rionegro</t>
        </is>
      </c>
      <c r="F2488" t="inlineStr">
        <is>
          <t>PRY-005</t>
        </is>
      </c>
      <c r="G2488" t="inlineStr">
        <is>
          <t>Portal Web</t>
        </is>
      </c>
      <c r="H2488" t="inlineStr">
        <is>
          <t>Juliana Vélez</t>
        </is>
      </c>
      <c r="I2488" t="inlineStr">
        <is>
          <t>Perdido</t>
        </is>
      </c>
      <c r="J2488" s="28" t="n">
        <v>46038</v>
      </c>
      <c r="K2488" s="28" t="n">
        <v>46053</v>
      </c>
      <c r="L2488" t="inlineStr">
        <is>
          <t>No calificó para crédito</t>
        </is>
      </c>
    </row>
    <row r="2489">
      <c r="A2489" t="inlineStr">
        <is>
          <t>CLI-2487</t>
        </is>
      </c>
      <c r="B2489" t="inlineStr">
        <is>
          <t>Ximena Cifuentes Salcedo</t>
        </is>
      </c>
      <c r="C2489" t="inlineStr">
        <is>
          <t>3103982489</t>
        </is>
      </c>
      <c r="D2489" t="inlineStr">
        <is>
          <t>ximena.cifuentes12@outlook.com</t>
        </is>
      </c>
      <c r="E2489" t="inlineStr">
        <is>
          <t>Itagüí</t>
        </is>
      </c>
      <c r="F2489" t="inlineStr">
        <is>
          <t>PRY-008</t>
        </is>
      </c>
      <c r="G2489" t="inlineStr">
        <is>
          <t>Instagram</t>
        </is>
      </c>
      <c r="H2489" t="inlineStr">
        <is>
          <t>Andrés Torres</t>
        </is>
      </c>
      <c r="I2489" t="inlineStr">
        <is>
          <t>Perdido</t>
        </is>
      </c>
      <c r="J2489" s="28" t="n">
        <v>46038</v>
      </c>
      <c r="K2489" s="28" t="n">
        <v>46068</v>
      </c>
      <c r="L2489" t="inlineStr">
        <is>
          <t>Sin respuesta tras 3 contactos</t>
        </is>
      </c>
    </row>
    <row r="2490">
      <c r="A2490" t="inlineStr">
        <is>
          <t>CLI-2488</t>
        </is>
      </c>
      <c r="B2490" t="inlineStr">
        <is>
          <t>Wilson Salcedo Franco</t>
        </is>
      </c>
      <c r="C2490" t="inlineStr">
        <is>
          <t>3244795926</t>
        </is>
      </c>
      <c r="D2490" t="inlineStr">
        <is>
          <t>wilson.salcedo24@outlook.com</t>
        </is>
      </c>
      <c r="E2490" t="inlineStr">
        <is>
          <t>Itagüí</t>
        </is>
      </c>
      <c r="F2490" t="inlineStr">
        <is>
          <t>PRY-008</t>
        </is>
      </c>
      <c r="G2490" t="inlineStr">
        <is>
          <t>Referido</t>
        </is>
      </c>
      <c r="H2490" t="inlineStr">
        <is>
          <t>Mateo Herrera</t>
        </is>
      </c>
      <c r="I2490" t="inlineStr">
        <is>
          <t>Ganado</t>
        </is>
      </c>
      <c r="J2490" s="28" t="n">
        <v>46039</v>
      </c>
      <c r="K2490" s="28" t="n">
        <v>46137</v>
      </c>
      <c r="L2490" t="inlineStr">
        <is>
          <t>Compró Casa 87 en Valle Verde Itagüí</t>
        </is>
      </c>
    </row>
    <row r="2491">
      <c r="A2491" t="inlineStr">
        <is>
          <t>CLI-2489</t>
        </is>
      </c>
      <c r="B2491" t="inlineStr">
        <is>
          <t>Isabel Vélez Gómez</t>
        </is>
      </c>
      <c r="C2491" t="inlineStr">
        <is>
          <t>3001344059</t>
        </is>
      </c>
      <c r="D2491" t="inlineStr">
        <is>
          <t>isabel.velez4@hotmail.com</t>
        </is>
      </c>
      <c r="E2491" t="inlineStr">
        <is>
          <t>Medellín</t>
        </is>
      </c>
      <c r="F2491" t="inlineStr">
        <is>
          <t>PRY-001</t>
        </is>
      </c>
      <c r="G2491" t="inlineStr">
        <is>
          <t>Facebook</t>
        </is>
      </c>
      <c r="H2491" t="inlineStr">
        <is>
          <t>Paula Arenas</t>
        </is>
      </c>
      <c r="I2491" t="inlineStr">
        <is>
          <t>Perdido</t>
        </is>
      </c>
      <c r="J2491" s="28" t="n">
        <v>46039</v>
      </c>
      <c r="K2491" s="28" t="n">
        <v>46104</v>
      </c>
      <c r="L2491" t="inlineStr">
        <is>
          <t>Precio fuera de presupuesto</t>
        </is>
      </c>
    </row>
    <row r="2492">
      <c r="A2492" t="inlineStr">
        <is>
          <t>CLI-2490</t>
        </is>
      </c>
      <c r="B2492" t="inlineStr">
        <is>
          <t>Camila Osorio Vargas</t>
        </is>
      </c>
      <c r="C2492" t="inlineStr">
        <is>
          <t>3046830707</t>
        </is>
      </c>
      <c r="D2492" t="inlineStr">
        <is>
          <t>camila.osorio68@gmail.com</t>
        </is>
      </c>
      <c r="E2492" t="inlineStr">
        <is>
          <t>Itagüí</t>
        </is>
      </c>
      <c r="F2492" t="inlineStr">
        <is>
          <t>PRY-008</t>
        </is>
      </c>
      <c r="G2492" t="inlineStr">
        <is>
          <t>Llamada directa</t>
        </is>
      </c>
      <c r="H2492" t="inlineStr">
        <is>
          <t>Miguel Salazar</t>
        </is>
      </c>
      <c r="I2492" t="inlineStr">
        <is>
          <t>Perdido</t>
        </is>
      </c>
      <c r="J2492" s="28" t="n">
        <v>46039</v>
      </c>
      <c r="K2492" s="28" t="n">
        <v>46052</v>
      </c>
      <c r="L2492" t="inlineStr">
        <is>
          <t>Datos de contacto errados</t>
        </is>
      </c>
    </row>
    <row r="2493">
      <c r="A2493" t="inlineStr">
        <is>
          <t>CLI-2491</t>
        </is>
      </c>
      <c r="B2493" t="inlineStr">
        <is>
          <t>Alejandro Castaño Echeverri</t>
        </is>
      </c>
      <c r="C2493" t="inlineStr">
        <is>
          <t>3204616143</t>
        </is>
      </c>
      <c r="D2493" t="inlineStr">
        <is>
          <t>alejandro.castano35@yahoo.com</t>
        </is>
      </c>
      <c r="E2493" t="inlineStr">
        <is>
          <t>Bello</t>
        </is>
      </c>
      <c r="F2493" t="inlineStr">
        <is>
          <t>PRY-003</t>
        </is>
      </c>
      <c r="G2493" t="inlineStr">
        <is>
          <t>Facebook</t>
        </is>
      </c>
      <c r="H2493" t="inlineStr">
        <is>
          <t>Daniela Ríos</t>
        </is>
      </c>
      <c r="I2493" t="inlineStr">
        <is>
          <t>Perdido</t>
        </is>
      </c>
      <c r="J2493" s="28" t="n">
        <v>46040</v>
      </c>
      <c r="K2493" s="28" t="n">
        <v>46068</v>
      </c>
      <c r="L2493" t="inlineStr">
        <is>
          <t>Precio fuera de presupuesto</t>
        </is>
      </c>
    </row>
    <row r="2494">
      <c r="A2494" t="inlineStr">
        <is>
          <t>CLI-2492</t>
        </is>
      </c>
      <c r="B2494" t="inlineStr">
        <is>
          <t>Sebastián Salazar Restrepo</t>
        </is>
      </c>
      <c r="C2494" t="inlineStr">
        <is>
          <t>3241803402</t>
        </is>
      </c>
      <c r="D2494" t="inlineStr">
        <is>
          <t>sebastian.salazar43@hotmail.com</t>
        </is>
      </c>
      <c r="E2494" t="inlineStr">
        <is>
          <t>Rionegro</t>
        </is>
      </c>
      <c r="F2494" t="inlineStr">
        <is>
          <t>PRY-005</t>
        </is>
      </c>
      <c r="G2494" t="inlineStr">
        <is>
          <t>Llamada directa</t>
        </is>
      </c>
      <c r="H2494" t="inlineStr">
        <is>
          <t>Luis Bedoya</t>
        </is>
      </c>
      <c r="I2494" t="inlineStr">
        <is>
          <t>Perdido</t>
        </is>
      </c>
      <c r="J2494" s="28" t="n">
        <v>46040</v>
      </c>
      <c r="K2494" s="28" t="n">
        <v>46156</v>
      </c>
      <c r="L2494" t="inlineStr">
        <is>
          <t>No volvió a responder</t>
        </is>
      </c>
    </row>
    <row r="2495">
      <c r="A2495" t="inlineStr">
        <is>
          <t>CLI-2493</t>
        </is>
      </c>
      <c r="B2495" t="inlineStr">
        <is>
          <t>Jhon Arango Quintero</t>
        </is>
      </c>
      <c r="C2495" t="inlineStr">
        <is>
          <t>3204978256</t>
        </is>
      </c>
      <c r="D2495" t="inlineStr">
        <is>
          <t>jhon.arango84@hotmail.com</t>
        </is>
      </c>
      <c r="E2495" t="inlineStr">
        <is>
          <t>Medellín</t>
        </is>
      </c>
      <c r="F2495" t="inlineStr">
        <is>
          <t>PRY-003</t>
        </is>
      </c>
      <c r="G2495" t="inlineStr">
        <is>
          <t>Llamada directa</t>
        </is>
      </c>
      <c r="H2495" t="inlineStr">
        <is>
          <t>Ana Quintero</t>
        </is>
      </c>
      <c r="I2495" t="inlineStr">
        <is>
          <t>Ganado</t>
        </is>
      </c>
      <c r="J2495" s="28" t="n">
        <v>46040</v>
      </c>
      <c r="K2495" s="28" t="n">
        <v>46131</v>
      </c>
      <c r="L2495" t="inlineStr">
        <is>
          <t>Compró Apto 406 en Conecta Laureles</t>
        </is>
      </c>
    </row>
    <row r="2496">
      <c r="A2496" t="inlineStr">
        <is>
          <t>CLI-2494</t>
        </is>
      </c>
      <c r="B2496" t="inlineStr">
        <is>
          <t>Alejandra Pérez Cifuentes</t>
        </is>
      </c>
      <c r="C2496" t="inlineStr">
        <is>
          <t>3247597083</t>
        </is>
      </c>
      <c r="D2496" t="inlineStr">
        <is>
          <t>alejandra.perez36@gmail.com</t>
        </is>
      </c>
      <c r="E2496" t="inlineStr">
        <is>
          <t>Medellín</t>
        </is>
      </c>
      <c r="F2496" t="inlineStr">
        <is>
          <t>PRY-002</t>
        </is>
      </c>
      <c r="G2496" t="inlineStr">
        <is>
          <t>Portal Web</t>
        </is>
      </c>
      <c r="H2496" t="inlineStr">
        <is>
          <t>Santiago Muñoz</t>
        </is>
      </c>
      <c r="I2496" t="inlineStr">
        <is>
          <t>Ganado</t>
        </is>
      </c>
      <c r="J2496" s="28" t="n">
        <v>46040</v>
      </c>
      <c r="K2496" s="28" t="n">
        <v>46233</v>
      </c>
      <c r="L2496" t="inlineStr">
        <is>
          <t>Compró Casa 15 en Reserva Santa Elena</t>
        </is>
      </c>
    </row>
    <row r="2497">
      <c r="A2497" t="inlineStr">
        <is>
          <t>CLI-2495</t>
        </is>
      </c>
      <c r="B2497" t="inlineStr">
        <is>
          <t>Alejandro Arango Restrepo</t>
        </is>
      </c>
      <c r="C2497" t="inlineStr">
        <is>
          <t>3157296577</t>
        </is>
      </c>
      <c r="D2497" t="inlineStr">
        <is>
          <t>alejandro.arango48@outlook.com</t>
        </is>
      </c>
      <c r="E2497" t="inlineStr">
        <is>
          <t>Medellín</t>
        </is>
      </c>
      <c r="F2497" t="inlineStr">
        <is>
          <t>PRY-003</t>
        </is>
      </c>
      <c r="G2497" t="inlineStr">
        <is>
          <t>Instagram</t>
        </is>
      </c>
      <c r="H2497" t="inlineStr">
        <is>
          <t>Miguel Salazar</t>
        </is>
      </c>
      <c r="I2497" t="inlineStr">
        <is>
          <t>Perdido</t>
        </is>
      </c>
      <c r="J2497" s="28" t="n">
        <v>46040</v>
      </c>
      <c r="K2497" s="28" t="n">
        <v>46067</v>
      </c>
      <c r="L2497" t="inlineStr">
        <is>
          <t>Sin respuesta tras 3 contactos</t>
        </is>
      </c>
    </row>
    <row r="2498">
      <c r="A2498" t="inlineStr">
        <is>
          <t>CLI-2496</t>
        </is>
      </c>
      <c r="B2498" t="inlineStr">
        <is>
          <t>Diana Mejía Osorio</t>
        </is>
      </c>
      <c r="C2498" t="inlineStr">
        <is>
          <t>3221963155</t>
        </is>
      </c>
      <c r="D2498" t="inlineStr">
        <is>
          <t>diana.mejia31@outlook.com</t>
        </is>
      </c>
      <c r="E2498" t="inlineStr">
        <is>
          <t>Itagüí</t>
        </is>
      </c>
      <c r="F2498" t="inlineStr">
        <is>
          <t>PRY-001</t>
        </is>
      </c>
      <c r="G2498" t="inlineStr">
        <is>
          <t>Feria Inmobiliaria</t>
        </is>
      </c>
      <c r="H2498" t="inlineStr">
        <is>
          <t>Ana Quintero</t>
        </is>
      </c>
      <c r="I2498" t="inlineStr">
        <is>
          <t>Perdido</t>
        </is>
      </c>
      <c r="J2498" s="28" t="n">
        <v>46041</v>
      </c>
      <c r="K2498" s="28" t="n">
        <v>46066</v>
      </c>
      <c r="L2498" t="inlineStr">
        <is>
          <t>No calificó para crédito</t>
        </is>
      </c>
    </row>
    <row r="2499">
      <c r="A2499" t="inlineStr">
        <is>
          <t>CLI-2497</t>
        </is>
      </c>
      <c r="B2499" t="inlineStr">
        <is>
          <t>Verónica Escobar Montoya</t>
        </is>
      </c>
      <c r="C2499" t="inlineStr">
        <is>
          <t>3173918374</t>
        </is>
      </c>
      <c r="D2499" t="inlineStr">
        <is>
          <t>veronica.escobar59@yahoo.com</t>
        </is>
      </c>
      <c r="E2499" t="inlineStr">
        <is>
          <t>Medellín</t>
        </is>
      </c>
      <c r="F2499" t="inlineStr">
        <is>
          <t>PRY-006</t>
        </is>
      </c>
      <c r="G2499" t="inlineStr">
        <is>
          <t>Facebook</t>
        </is>
      </c>
      <c r="H2499" t="inlineStr">
        <is>
          <t>Luis Bedoya</t>
        </is>
      </c>
      <c r="I2499" t="inlineStr">
        <is>
          <t>Perdido</t>
        </is>
      </c>
      <c r="J2499" s="28" t="n">
        <v>46041</v>
      </c>
      <c r="K2499" s="28" t="n">
        <v>46065</v>
      </c>
      <c r="L2499" t="inlineStr">
        <is>
          <t>No calificó para crédito</t>
        </is>
      </c>
    </row>
    <row r="2500">
      <c r="A2500" t="inlineStr">
        <is>
          <t>CLI-2498</t>
        </is>
      </c>
      <c r="B2500" t="inlineStr">
        <is>
          <t>Alejandra Betancur Zuluaga</t>
        </is>
      </c>
      <c r="C2500" t="inlineStr">
        <is>
          <t>3008686051</t>
        </is>
      </c>
      <c r="D2500" t="inlineStr">
        <is>
          <t>alejandra.betancur73@gmail.com</t>
        </is>
      </c>
      <c r="E2500" t="inlineStr">
        <is>
          <t>Sabaneta</t>
        </is>
      </c>
      <c r="F2500" t="inlineStr">
        <is>
          <t>PRY-003</t>
        </is>
      </c>
      <c r="G2500" t="inlineStr">
        <is>
          <t>Facebook</t>
        </is>
      </c>
      <c r="H2500" t="inlineStr">
        <is>
          <t>Paula Arenas</t>
        </is>
      </c>
      <c r="I2500" t="inlineStr">
        <is>
          <t>Perdido</t>
        </is>
      </c>
      <c r="J2500" s="28" t="n">
        <v>46042</v>
      </c>
      <c r="K2500" s="28" t="n">
        <v>46112</v>
      </c>
      <c r="L2500" t="inlineStr">
        <is>
          <t>Eligió otro proyecto</t>
        </is>
      </c>
    </row>
    <row r="2501">
      <c r="A2501" t="inlineStr">
        <is>
          <t>CLI-2499</t>
        </is>
      </c>
      <c r="B2501" t="inlineStr">
        <is>
          <t>Gloria Montoya Castaño</t>
        </is>
      </c>
      <c r="C2501" t="inlineStr">
        <is>
          <t>3047016542</t>
        </is>
      </c>
      <c r="D2501" t="inlineStr">
        <is>
          <t>gloria.montoya85@outlook.com</t>
        </is>
      </c>
      <c r="E2501" t="inlineStr">
        <is>
          <t>Rionegro</t>
        </is>
      </c>
      <c r="F2501" t="inlineStr">
        <is>
          <t>PRY-005</t>
        </is>
      </c>
      <c r="G2501" t="inlineStr">
        <is>
          <t>Feria Inmobiliaria</t>
        </is>
      </c>
      <c r="H2501" t="inlineStr">
        <is>
          <t>Juliana Vélez</t>
        </is>
      </c>
      <c r="I2501" t="inlineStr">
        <is>
          <t>Ganado</t>
        </is>
      </c>
      <c r="J2501" s="28" t="n">
        <v>46042</v>
      </c>
      <c r="K2501" s="28" t="n">
        <v>46171</v>
      </c>
      <c r="L2501" t="inlineStr">
        <is>
          <t>Compró Apto 1303 en Ciudadela Rionegro</t>
        </is>
      </c>
    </row>
    <row r="2502">
      <c r="A2502" t="inlineStr">
        <is>
          <t>CLI-2500</t>
        </is>
      </c>
      <c r="B2502" t="inlineStr">
        <is>
          <t>Felipe Agudelo Betancur</t>
        </is>
      </c>
      <c r="C2502" t="inlineStr">
        <is>
          <t>3175150294</t>
        </is>
      </c>
      <c r="D2502" t="inlineStr">
        <is>
          <t>felipe.agudelo78@gmail.com</t>
        </is>
      </c>
      <c r="E2502" t="inlineStr">
        <is>
          <t>Itagüí</t>
        </is>
      </c>
      <c r="F2502" t="inlineStr">
        <is>
          <t>PRY-008</t>
        </is>
      </c>
      <c r="G2502" t="inlineStr">
        <is>
          <t>Instagram</t>
        </is>
      </c>
      <c r="H2502" t="inlineStr">
        <is>
          <t>Luis Bedoya</t>
        </is>
      </c>
      <c r="I2502" t="inlineStr">
        <is>
          <t>Perdido</t>
        </is>
      </c>
      <c r="J2502" s="28" t="n">
        <v>46042</v>
      </c>
      <c r="K2502" s="28" t="n">
        <v>46048</v>
      </c>
      <c r="L2502" t="inlineStr">
        <is>
          <t>Datos de contacto errados</t>
        </is>
      </c>
    </row>
    <row r="2503">
      <c r="A2503" t="inlineStr">
        <is>
          <t>CLI-2501</t>
        </is>
      </c>
      <c r="B2503" t="inlineStr">
        <is>
          <t>María Cardona Echeverri</t>
        </is>
      </c>
      <c r="C2503" t="inlineStr">
        <is>
          <t>3145656190</t>
        </is>
      </c>
      <c r="D2503" t="inlineStr">
        <is>
          <t>maria.cardona29@gmail.com</t>
        </is>
      </c>
      <c r="E2503" t="inlineStr">
        <is>
          <t>Sabaneta</t>
        </is>
      </c>
      <c r="F2503" t="inlineStr">
        <is>
          <t>PRY-006</t>
        </is>
      </c>
      <c r="G2503" t="inlineStr">
        <is>
          <t>Facebook</t>
        </is>
      </c>
      <c r="H2503" t="inlineStr">
        <is>
          <t>Sofía Prada</t>
        </is>
      </c>
      <c r="I2503" t="inlineStr">
        <is>
          <t>Perdido</t>
        </is>
      </c>
      <c r="J2503" s="28" t="n">
        <v>46042</v>
      </c>
      <c r="K2503" s="28" t="n">
        <v>46069</v>
      </c>
      <c r="L2503" t="inlineStr">
        <is>
          <t>Sin respuesta tras 3 contactos</t>
        </is>
      </c>
    </row>
    <row r="2504">
      <c r="A2504" t="inlineStr">
        <is>
          <t>CLI-2502</t>
        </is>
      </c>
      <c r="B2504" t="inlineStr">
        <is>
          <t>Paola Vélez Osorio</t>
        </is>
      </c>
      <c r="C2504" t="inlineStr">
        <is>
          <t>3132882094</t>
        </is>
      </c>
      <c r="D2504" t="inlineStr">
        <is>
          <t>paola.velez84@gmail.com</t>
        </is>
      </c>
      <c r="E2504" t="inlineStr">
        <is>
          <t>Itagüí</t>
        </is>
      </c>
      <c r="F2504" t="inlineStr">
        <is>
          <t>PRY-008</t>
        </is>
      </c>
      <c r="G2504" t="inlineStr">
        <is>
          <t>Instagram</t>
        </is>
      </c>
      <c r="H2504" t="inlineStr">
        <is>
          <t>Miguel Salazar</t>
        </is>
      </c>
      <c r="I2504" t="inlineStr">
        <is>
          <t>Perdido</t>
        </is>
      </c>
      <c r="J2504" s="28" t="n">
        <v>46042</v>
      </c>
      <c r="K2504" s="28" t="n">
        <v>46057</v>
      </c>
      <c r="L2504" t="inlineStr">
        <is>
          <t>No calificó para crédito</t>
        </is>
      </c>
    </row>
    <row r="2505">
      <c r="A2505" t="inlineStr">
        <is>
          <t>CLI-2503</t>
        </is>
      </c>
      <c r="B2505" t="inlineStr">
        <is>
          <t>Alejandra Salcedo Osorio</t>
        </is>
      </c>
      <c r="C2505" t="inlineStr">
        <is>
          <t>3006478389</t>
        </is>
      </c>
      <c r="D2505" t="inlineStr">
        <is>
          <t>alejandra.salcedo29@outlook.com</t>
        </is>
      </c>
      <c r="E2505" t="inlineStr">
        <is>
          <t>Medellín</t>
        </is>
      </c>
      <c r="F2505" t="inlineStr">
        <is>
          <t>PRY-003</t>
        </is>
      </c>
      <c r="G2505" t="inlineStr">
        <is>
          <t>Instagram</t>
        </is>
      </c>
      <c r="H2505" t="inlineStr">
        <is>
          <t>Santiago Muñoz</t>
        </is>
      </c>
      <c r="I2505" t="inlineStr">
        <is>
          <t>Perdido</t>
        </is>
      </c>
      <c r="J2505" s="28" t="n">
        <v>46042</v>
      </c>
      <c r="K2505" s="28" t="n">
        <v>46053</v>
      </c>
      <c r="L2505" t="inlineStr">
        <is>
          <t>No calificó para crédito</t>
        </is>
      </c>
    </row>
    <row r="2506">
      <c r="A2506" t="inlineStr">
        <is>
          <t>CLI-2504</t>
        </is>
      </c>
      <c r="B2506" t="inlineStr">
        <is>
          <t>Nicolás Arango Franco</t>
        </is>
      </c>
      <c r="C2506" t="inlineStr">
        <is>
          <t>3154364873</t>
        </is>
      </c>
      <c r="D2506" t="inlineStr">
        <is>
          <t>nicolas.arango56@gmail.com</t>
        </is>
      </c>
      <c r="E2506" t="inlineStr">
        <is>
          <t>Medellín</t>
        </is>
      </c>
      <c r="F2506" t="inlineStr">
        <is>
          <t>PRY-002</t>
        </is>
      </c>
      <c r="G2506" t="inlineStr">
        <is>
          <t>Instagram</t>
        </is>
      </c>
      <c r="H2506" t="inlineStr">
        <is>
          <t>Sofía Prada</t>
        </is>
      </c>
      <c r="I2506" t="inlineStr">
        <is>
          <t>Negociación</t>
        </is>
      </c>
      <c r="J2506" s="28" t="n">
        <v>46043</v>
      </c>
      <c r="K2506" s="28" t="n">
        <v>46206</v>
      </c>
      <c r="L2506" t="inlineStr">
        <is>
          <t>Separación en trámite</t>
        </is>
      </c>
    </row>
    <row r="2507">
      <c r="A2507" t="inlineStr">
        <is>
          <t>CLI-2505</t>
        </is>
      </c>
      <c r="B2507" t="inlineStr">
        <is>
          <t>Valentina Salcedo Castaño</t>
        </is>
      </c>
      <c r="C2507" t="inlineStr">
        <is>
          <t>3008943476</t>
        </is>
      </c>
      <c r="D2507" t="inlineStr">
        <is>
          <t>valentina.salcedo29@outlook.com</t>
        </is>
      </c>
      <c r="E2507" t="inlineStr">
        <is>
          <t>Bello</t>
        </is>
      </c>
      <c r="F2507" t="inlineStr">
        <is>
          <t>PRY-006</t>
        </is>
      </c>
      <c r="G2507" t="inlineStr">
        <is>
          <t>Portal Web</t>
        </is>
      </c>
      <c r="H2507" t="inlineStr">
        <is>
          <t>Sofía Prada</t>
        </is>
      </c>
      <c r="I2507" t="inlineStr">
        <is>
          <t>Ganado</t>
        </is>
      </c>
      <c r="J2507" s="28" t="n">
        <v>46044</v>
      </c>
      <c r="K2507" s="28" t="n">
        <v>46176</v>
      </c>
      <c r="L2507" t="inlineStr">
        <is>
          <t>Compró Local 22 en Plaza Bello</t>
        </is>
      </c>
    </row>
    <row r="2508">
      <c r="A2508" t="inlineStr">
        <is>
          <t>CLI-2506</t>
        </is>
      </c>
      <c r="B2508" t="inlineStr">
        <is>
          <t>Gloria Espinosa Cano</t>
        </is>
      </c>
      <c r="C2508" t="inlineStr">
        <is>
          <t>3222432417</t>
        </is>
      </c>
      <c r="D2508" t="inlineStr">
        <is>
          <t>gloria.espinosa99@gmail.com</t>
        </is>
      </c>
      <c r="E2508" t="inlineStr">
        <is>
          <t>Itagüí</t>
        </is>
      </c>
      <c r="F2508" t="inlineStr">
        <is>
          <t>PRY-008</t>
        </is>
      </c>
      <c r="G2508" t="inlineStr">
        <is>
          <t>Llamada directa</t>
        </is>
      </c>
      <c r="H2508" t="inlineStr">
        <is>
          <t>Santiago Muñoz</t>
        </is>
      </c>
      <c r="I2508" t="inlineStr">
        <is>
          <t>Perdido</t>
        </is>
      </c>
      <c r="J2508" s="28" t="n">
        <v>46044</v>
      </c>
      <c r="K2508" s="28" t="n">
        <v>46094</v>
      </c>
      <c r="L2508" t="inlineStr">
        <is>
          <t>Desistió de la compra</t>
        </is>
      </c>
    </row>
    <row r="2509">
      <c r="A2509" t="inlineStr">
        <is>
          <t>CLI-2507</t>
        </is>
      </c>
      <c r="B2509" t="inlineStr">
        <is>
          <t>Sandra Echeverri Ramírez</t>
        </is>
      </c>
      <c r="C2509" t="inlineStr">
        <is>
          <t>3239127457</t>
        </is>
      </c>
      <c r="D2509" t="inlineStr">
        <is>
          <t>sandra.echeverri72@gmail.com</t>
        </is>
      </c>
      <c r="E2509" t="inlineStr">
        <is>
          <t>La Estrella</t>
        </is>
      </c>
      <c r="F2509" t="inlineStr">
        <is>
          <t>PRY-005</t>
        </is>
      </c>
      <c r="G2509" t="inlineStr">
        <is>
          <t>Referido</t>
        </is>
      </c>
      <c r="H2509" t="inlineStr">
        <is>
          <t>Daniela Ríos</t>
        </is>
      </c>
      <c r="I2509" t="inlineStr">
        <is>
          <t>Ganado</t>
        </is>
      </c>
      <c r="J2509" s="28" t="n">
        <v>46044</v>
      </c>
      <c r="K2509" s="28" t="n">
        <v>46181</v>
      </c>
      <c r="L2509" t="inlineStr">
        <is>
          <t>Compró Apto 402 en Ciudadela Rionegro</t>
        </is>
      </c>
    </row>
    <row r="2510">
      <c r="A2510" t="inlineStr">
        <is>
          <t>CLI-2508</t>
        </is>
      </c>
      <c r="B2510" t="inlineStr">
        <is>
          <t>Juliana Arango Pérez</t>
        </is>
      </c>
      <c r="C2510" t="inlineStr">
        <is>
          <t>3142987536</t>
        </is>
      </c>
      <c r="D2510" t="inlineStr">
        <is>
          <t>juliana.arango23@outlook.com</t>
        </is>
      </c>
      <c r="E2510" t="inlineStr">
        <is>
          <t>Medellín</t>
        </is>
      </c>
      <c r="F2510" t="inlineStr">
        <is>
          <t>PRY-003</t>
        </is>
      </c>
      <c r="G2510" t="inlineStr">
        <is>
          <t>Portal Web</t>
        </is>
      </c>
      <c r="H2510" t="inlineStr">
        <is>
          <t>Daniela Ríos</t>
        </is>
      </c>
      <c r="I2510" t="inlineStr">
        <is>
          <t>Perdido</t>
        </is>
      </c>
      <c r="J2510" s="28" t="n">
        <v>46044</v>
      </c>
      <c r="K2510" s="28" t="n">
        <v>46098</v>
      </c>
      <c r="L2510" t="inlineStr">
        <is>
          <t>No volvió a responder</t>
        </is>
      </c>
    </row>
    <row r="2511">
      <c r="A2511" t="inlineStr">
        <is>
          <t>CLI-2509</t>
        </is>
      </c>
      <c r="B2511" t="inlineStr">
        <is>
          <t>Jorge Pérez Salazar</t>
        </is>
      </c>
      <c r="C2511" t="inlineStr">
        <is>
          <t>3146480395</t>
        </is>
      </c>
      <c r="D2511" t="inlineStr">
        <is>
          <t>jorge.perez24@hotmail.com</t>
        </is>
      </c>
      <c r="E2511" t="inlineStr">
        <is>
          <t>Rionegro</t>
        </is>
      </c>
      <c r="F2511" t="inlineStr">
        <is>
          <t>PRY-005</t>
        </is>
      </c>
      <c r="G2511" t="inlineStr">
        <is>
          <t>Portal Web</t>
        </is>
      </c>
      <c r="H2511" t="inlineStr">
        <is>
          <t>Mateo Herrera</t>
        </is>
      </c>
      <c r="I2511" t="inlineStr">
        <is>
          <t>Ganado</t>
        </is>
      </c>
      <c r="J2511" s="28" t="n">
        <v>46044</v>
      </c>
      <c r="K2511" s="28" t="n">
        <v>46140</v>
      </c>
      <c r="L2511" t="inlineStr">
        <is>
          <t>Compró Casa 45 en Ciudadela Rionegro</t>
        </is>
      </c>
    </row>
    <row r="2512">
      <c r="A2512" t="inlineStr">
        <is>
          <t>CLI-2510</t>
        </is>
      </c>
      <c r="B2512" t="inlineStr">
        <is>
          <t>Sebastián Cifuentes Gaviria</t>
        </is>
      </c>
      <c r="C2512" t="inlineStr">
        <is>
          <t>3154342145</t>
        </is>
      </c>
      <c r="D2512" t="inlineStr">
        <is>
          <t>sebastian.cifuentes80@yahoo.com</t>
        </is>
      </c>
      <c r="E2512" t="inlineStr">
        <is>
          <t>Rionegro</t>
        </is>
      </c>
      <c r="F2512" t="inlineStr">
        <is>
          <t>PRY-008</t>
        </is>
      </c>
      <c r="G2512" t="inlineStr">
        <is>
          <t>Instagram</t>
        </is>
      </c>
      <c r="H2512" t="inlineStr">
        <is>
          <t>Andrés Torres</t>
        </is>
      </c>
      <c r="I2512" t="inlineStr">
        <is>
          <t>Perdido</t>
        </is>
      </c>
      <c r="J2512" s="28" t="n">
        <v>46044</v>
      </c>
      <c r="K2512" s="28" t="n">
        <v>46058</v>
      </c>
      <c r="L2512" t="inlineStr">
        <is>
          <t>Sin respuesta tras 3 contactos</t>
        </is>
      </c>
    </row>
    <row r="2513">
      <c r="A2513" t="inlineStr">
        <is>
          <t>CLI-2511</t>
        </is>
      </c>
      <c r="B2513" t="inlineStr">
        <is>
          <t>Marcela Toro Arango</t>
        </is>
      </c>
      <c r="C2513" t="inlineStr">
        <is>
          <t>3229233789</t>
        </is>
      </c>
      <c r="D2513" t="inlineStr">
        <is>
          <t>marcela.toro66@outlook.com</t>
        </is>
      </c>
      <c r="E2513" t="inlineStr">
        <is>
          <t>Rionegro</t>
        </is>
      </c>
      <c r="F2513" t="inlineStr">
        <is>
          <t>PRY-005</t>
        </is>
      </c>
      <c r="G2513" t="inlineStr">
        <is>
          <t>Portal Web</t>
        </is>
      </c>
      <c r="H2513" t="inlineStr">
        <is>
          <t>Paula Arenas</t>
        </is>
      </c>
      <c r="I2513" t="inlineStr">
        <is>
          <t>Perdido</t>
        </is>
      </c>
      <c r="J2513" s="28" t="n">
        <v>46045</v>
      </c>
      <c r="K2513" s="28" t="n">
        <v>46067</v>
      </c>
      <c r="L2513" t="inlineStr">
        <is>
          <t>Presupuesto insuficiente</t>
        </is>
      </c>
    </row>
    <row r="2514">
      <c r="A2514" t="inlineStr">
        <is>
          <t>CLI-2512</t>
        </is>
      </c>
      <c r="B2514" t="inlineStr">
        <is>
          <t>Jorge Cano Zuluaga</t>
        </is>
      </c>
      <c r="C2514" t="inlineStr">
        <is>
          <t>3046165250</t>
        </is>
      </c>
      <c r="D2514" t="inlineStr">
        <is>
          <t>jorge.cano54@hotmail.com</t>
        </is>
      </c>
      <c r="E2514" t="inlineStr">
        <is>
          <t>Sabaneta</t>
        </is>
      </c>
      <c r="F2514" t="inlineStr">
        <is>
          <t>PRY-005</t>
        </is>
      </c>
      <c r="G2514" t="inlineStr">
        <is>
          <t>Portal Web</t>
        </is>
      </c>
      <c r="H2514" t="inlineStr">
        <is>
          <t>Luis Bedoya</t>
        </is>
      </c>
      <c r="I2514" t="inlineStr">
        <is>
          <t>Perdido</t>
        </is>
      </c>
      <c r="J2514" s="28" t="n">
        <v>46045</v>
      </c>
      <c r="K2514" s="28" t="n">
        <v>46052</v>
      </c>
      <c r="L2514" t="inlineStr">
        <is>
          <t>No calificó para crédito</t>
        </is>
      </c>
    </row>
    <row r="2515">
      <c r="A2515" t="inlineStr">
        <is>
          <t>CLI-2513</t>
        </is>
      </c>
      <c r="B2515" t="inlineStr">
        <is>
          <t>Katherine Giraldo Muñoz</t>
        </is>
      </c>
      <c r="C2515" t="inlineStr">
        <is>
          <t>3016159369</t>
        </is>
      </c>
      <c r="D2515" t="inlineStr">
        <is>
          <t>katherine.giraldo91@gmail.com</t>
        </is>
      </c>
      <c r="E2515" t="inlineStr">
        <is>
          <t>Bello</t>
        </is>
      </c>
      <c r="F2515" t="inlineStr">
        <is>
          <t>PRY-007</t>
        </is>
      </c>
      <c r="G2515" t="inlineStr">
        <is>
          <t>Llamada directa</t>
        </is>
      </c>
      <c r="H2515" t="inlineStr">
        <is>
          <t>Paula Arenas</t>
        </is>
      </c>
      <c r="I2515" t="inlineStr">
        <is>
          <t>Ganado</t>
        </is>
      </c>
      <c r="J2515" s="28" t="n">
        <v>46046</v>
      </c>
      <c r="K2515" s="28" t="n">
        <v>46124</v>
      </c>
      <c r="L2515" t="inlineStr">
        <is>
          <t>Compró Apto 1304 en Mirador de Envigado</t>
        </is>
      </c>
    </row>
    <row r="2516">
      <c r="A2516" t="inlineStr">
        <is>
          <t>CLI-2514</t>
        </is>
      </c>
      <c r="B2516" t="inlineStr">
        <is>
          <t>Marcela Higuita Rojas</t>
        </is>
      </c>
      <c r="C2516" t="inlineStr">
        <is>
          <t>3247805681</t>
        </is>
      </c>
      <c r="D2516" t="inlineStr">
        <is>
          <t>marcela.higuita33@yahoo.com</t>
        </is>
      </c>
      <c r="E2516" t="inlineStr">
        <is>
          <t>Itagüí</t>
        </is>
      </c>
      <c r="F2516" t="inlineStr">
        <is>
          <t>PRY-008</t>
        </is>
      </c>
      <c r="G2516" t="inlineStr">
        <is>
          <t>Facebook</t>
        </is>
      </c>
      <c r="H2516" t="inlineStr">
        <is>
          <t>Juliana Vélez</t>
        </is>
      </c>
      <c r="I2516" t="inlineStr">
        <is>
          <t>Ganado</t>
        </is>
      </c>
      <c r="J2516" s="28" t="n">
        <v>46046</v>
      </c>
      <c r="K2516" s="28" t="n">
        <v>46120</v>
      </c>
      <c r="L2516" t="inlineStr">
        <is>
          <t>Compró Casa 24 en Valle Verde Itagüí</t>
        </is>
      </c>
    </row>
    <row r="2517">
      <c r="A2517" t="inlineStr">
        <is>
          <t>CLI-2515</t>
        </is>
      </c>
      <c r="B2517" t="inlineStr">
        <is>
          <t>Gloria Henao Muñoz</t>
        </is>
      </c>
      <c r="C2517" t="inlineStr">
        <is>
          <t>3207210251</t>
        </is>
      </c>
      <c r="D2517" t="inlineStr">
        <is>
          <t>gloria.henao34@outlook.com</t>
        </is>
      </c>
      <c r="E2517" t="inlineStr">
        <is>
          <t>Envigado</t>
        </is>
      </c>
      <c r="F2517" t="inlineStr">
        <is>
          <t>PRY-007</t>
        </is>
      </c>
      <c r="G2517" t="inlineStr">
        <is>
          <t>Instagram</t>
        </is>
      </c>
      <c r="H2517" t="inlineStr">
        <is>
          <t>Santiago Muñoz</t>
        </is>
      </c>
      <c r="I2517" t="inlineStr">
        <is>
          <t>Perdido</t>
        </is>
      </c>
      <c r="J2517" s="28" t="n">
        <v>46046</v>
      </c>
      <c r="K2517" s="28" t="n">
        <v>46061</v>
      </c>
      <c r="L2517" t="inlineStr">
        <is>
          <t>Presupuesto insuficiente</t>
        </is>
      </c>
    </row>
    <row r="2518">
      <c r="A2518" t="inlineStr">
        <is>
          <t>CLI-2516</t>
        </is>
      </c>
      <c r="B2518" t="inlineStr">
        <is>
          <t>Diego Zuluaga Espinosa</t>
        </is>
      </c>
      <c r="C2518" t="inlineStr">
        <is>
          <t>3105482561</t>
        </is>
      </c>
      <c r="D2518" t="inlineStr">
        <is>
          <t>diego.zuluaga26@yahoo.com</t>
        </is>
      </c>
      <c r="E2518" t="inlineStr">
        <is>
          <t>Medellín</t>
        </is>
      </c>
      <c r="F2518" t="inlineStr">
        <is>
          <t>PRY-006</t>
        </is>
      </c>
      <c r="G2518" t="inlineStr">
        <is>
          <t>Portal Web</t>
        </is>
      </c>
      <c r="H2518" t="inlineStr">
        <is>
          <t>Sofía Prada</t>
        </is>
      </c>
      <c r="I2518" t="inlineStr">
        <is>
          <t>Perdido</t>
        </is>
      </c>
      <c r="J2518" s="28" t="n">
        <v>46046</v>
      </c>
      <c r="K2518" s="28" t="n">
        <v>46058</v>
      </c>
      <c r="L2518" t="inlineStr">
        <is>
          <t>Buscaba arriendo, no compra</t>
        </is>
      </c>
    </row>
    <row r="2519">
      <c r="A2519" t="inlineStr">
        <is>
          <t>CLI-2517</t>
        </is>
      </c>
      <c r="B2519" t="inlineStr">
        <is>
          <t>Lorena Gómez Espinosa</t>
        </is>
      </c>
      <c r="C2519" t="inlineStr">
        <is>
          <t>3141095209</t>
        </is>
      </c>
      <c r="D2519" t="inlineStr">
        <is>
          <t>lorena.gomez72@outlook.com</t>
        </is>
      </c>
      <c r="E2519" t="inlineStr">
        <is>
          <t>Itagüí</t>
        </is>
      </c>
      <c r="F2519" t="inlineStr">
        <is>
          <t>PRY-007</t>
        </is>
      </c>
      <c r="G2519" t="inlineStr">
        <is>
          <t>Portal Web</t>
        </is>
      </c>
      <c r="H2519" t="inlineStr">
        <is>
          <t>Luis Bedoya</t>
        </is>
      </c>
      <c r="I2519" t="inlineStr">
        <is>
          <t>Perdido</t>
        </is>
      </c>
      <c r="J2519" s="28" t="n">
        <v>46046</v>
      </c>
      <c r="K2519" s="28" t="n">
        <v>46068</v>
      </c>
      <c r="L2519" t="inlineStr">
        <is>
          <t>No calificó para crédito</t>
        </is>
      </c>
    </row>
    <row r="2520">
      <c r="A2520" t="inlineStr">
        <is>
          <t>CLI-2518</t>
        </is>
      </c>
      <c r="B2520" t="inlineStr">
        <is>
          <t>Carlos Agudelo Osorio</t>
        </is>
      </c>
      <c r="C2520" t="inlineStr">
        <is>
          <t>3017677717</t>
        </is>
      </c>
      <c r="D2520" t="inlineStr">
        <is>
          <t>carlos.agudelo20@gmail.com</t>
        </is>
      </c>
      <c r="E2520" t="inlineStr">
        <is>
          <t>Rionegro</t>
        </is>
      </c>
      <c r="F2520" t="inlineStr">
        <is>
          <t>PRY-005</t>
        </is>
      </c>
      <c r="G2520" t="inlineStr">
        <is>
          <t>Portal Web</t>
        </is>
      </c>
      <c r="H2520" t="inlineStr">
        <is>
          <t>Andrés Torres</t>
        </is>
      </c>
      <c r="I2520" t="inlineStr">
        <is>
          <t>Perdido</t>
        </is>
      </c>
      <c r="J2520" s="28" t="n">
        <v>46046</v>
      </c>
      <c r="K2520" s="28" t="n">
        <v>46064</v>
      </c>
      <c r="L2520" t="inlineStr">
        <is>
          <t>Sin respuesta tras 3 contactos</t>
        </is>
      </c>
    </row>
    <row r="2521">
      <c r="A2521" t="inlineStr">
        <is>
          <t>CLI-2519</t>
        </is>
      </c>
      <c r="B2521" t="inlineStr">
        <is>
          <t>Emilio Londoño Bedoya</t>
        </is>
      </c>
      <c r="C2521" t="inlineStr">
        <is>
          <t>3149298415</t>
        </is>
      </c>
      <c r="D2521" t="inlineStr">
        <is>
          <t>emilio.londono11@yahoo.com</t>
        </is>
      </c>
      <c r="E2521" t="inlineStr">
        <is>
          <t>Sabaneta</t>
        </is>
      </c>
      <c r="F2521" t="inlineStr">
        <is>
          <t>PRY-001</t>
        </is>
      </c>
      <c r="G2521" t="inlineStr">
        <is>
          <t>Feria Inmobiliaria</t>
        </is>
      </c>
      <c r="H2521" t="inlineStr">
        <is>
          <t>Miguel Salazar</t>
        </is>
      </c>
      <c r="I2521" t="inlineStr">
        <is>
          <t>Ganado</t>
        </is>
      </c>
      <c r="J2521" s="28" t="n">
        <v>46047</v>
      </c>
      <c r="K2521" s="28" t="n">
        <v>46137</v>
      </c>
      <c r="L2521" t="inlineStr">
        <is>
          <t>Compró Apto 1803 en Torres del Poblado</t>
        </is>
      </c>
    </row>
    <row r="2522">
      <c r="A2522" t="inlineStr">
        <is>
          <t>CLI-2520</t>
        </is>
      </c>
      <c r="B2522" t="inlineStr">
        <is>
          <t>Gabriel Gaviria Sánchez</t>
        </is>
      </c>
      <c r="C2522" t="inlineStr">
        <is>
          <t>3042675628</t>
        </is>
      </c>
      <c r="D2522" t="inlineStr">
        <is>
          <t>gabriel.gaviria98@gmail.com</t>
        </is>
      </c>
      <c r="E2522" t="inlineStr">
        <is>
          <t>Medellín</t>
        </is>
      </c>
      <c r="F2522" t="inlineStr">
        <is>
          <t>PRY-003</t>
        </is>
      </c>
      <c r="G2522" t="inlineStr">
        <is>
          <t>Feria Inmobiliaria</t>
        </is>
      </c>
      <c r="H2522" t="inlineStr">
        <is>
          <t>Mateo Herrera</t>
        </is>
      </c>
      <c r="I2522" t="inlineStr">
        <is>
          <t>Ganado</t>
        </is>
      </c>
      <c r="J2522" s="28" t="n">
        <v>46047</v>
      </c>
      <c r="K2522" s="28" t="n">
        <v>46168</v>
      </c>
      <c r="L2522" t="inlineStr">
        <is>
          <t>Compró Apto 1306 en Conecta Laureles</t>
        </is>
      </c>
    </row>
    <row r="2523">
      <c r="A2523" t="inlineStr">
        <is>
          <t>CLI-2521</t>
        </is>
      </c>
      <c r="B2523" t="inlineStr">
        <is>
          <t>Mónica Álvarez Vélez</t>
        </is>
      </c>
      <c r="C2523" t="inlineStr">
        <is>
          <t>3159576923</t>
        </is>
      </c>
      <c r="D2523" t="inlineStr">
        <is>
          <t>monica.alvarez4@hotmail.com</t>
        </is>
      </c>
      <c r="E2523" t="inlineStr">
        <is>
          <t>Itagüí</t>
        </is>
      </c>
      <c r="F2523" t="inlineStr">
        <is>
          <t>PRY-002</t>
        </is>
      </c>
      <c r="G2523" t="inlineStr">
        <is>
          <t>Portal Web</t>
        </is>
      </c>
      <c r="H2523" t="inlineStr">
        <is>
          <t>Santiago Muñoz</t>
        </is>
      </c>
      <c r="I2523" t="inlineStr">
        <is>
          <t>Perdido</t>
        </is>
      </c>
      <c r="J2523" s="28" t="n">
        <v>46047</v>
      </c>
      <c r="K2523" s="28" t="n">
        <v>46053</v>
      </c>
      <c r="L2523" t="inlineStr">
        <is>
          <t>Presupuesto insuficiente</t>
        </is>
      </c>
    </row>
    <row r="2524">
      <c r="A2524" t="inlineStr">
        <is>
          <t>CLI-2522</t>
        </is>
      </c>
      <c r="B2524" t="inlineStr">
        <is>
          <t>Daniela Giraldo Cano</t>
        </is>
      </c>
      <c r="C2524" t="inlineStr">
        <is>
          <t>3109376224</t>
        </is>
      </c>
      <c r="D2524" t="inlineStr">
        <is>
          <t>daniela.giraldo34@hotmail.com</t>
        </is>
      </c>
      <c r="E2524" t="inlineStr">
        <is>
          <t>Rionegro</t>
        </is>
      </c>
      <c r="F2524" t="inlineStr">
        <is>
          <t>PRY-003</t>
        </is>
      </c>
      <c r="G2524" t="inlineStr">
        <is>
          <t>Facebook</t>
        </is>
      </c>
      <c r="H2524" t="inlineStr">
        <is>
          <t>Sofía Prada</t>
        </is>
      </c>
      <c r="I2524" t="inlineStr">
        <is>
          <t>Perdido</t>
        </is>
      </c>
      <c r="J2524" s="28" t="n">
        <v>46048</v>
      </c>
      <c r="K2524" s="28" t="n">
        <v>46073</v>
      </c>
      <c r="L2524" t="inlineStr">
        <is>
          <t>Presupuesto insuficiente</t>
        </is>
      </c>
    </row>
    <row r="2525">
      <c r="A2525" t="inlineStr">
        <is>
          <t>CLI-2523</t>
        </is>
      </c>
      <c r="B2525" t="inlineStr">
        <is>
          <t>Juan Pablo Muñoz Rojas</t>
        </is>
      </c>
      <c r="C2525" t="inlineStr">
        <is>
          <t>3178743073</t>
        </is>
      </c>
      <c r="D2525" t="inlineStr">
        <is>
          <t>juan.munoz7@outlook.com</t>
        </is>
      </c>
      <c r="E2525" t="inlineStr">
        <is>
          <t>Itagüí</t>
        </is>
      </c>
      <c r="F2525" t="inlineStr">
        <is>
          <t>PRY-008</t>
        </is>
      </c>
      <c r="G2525" t="inlineStr">
        <is>
          <t>Referido</t>
        </is>
      </c>
      <c r="H2525" t="inlineStr">
        <is>
          <t>Miguel Salazar</t>
        </is>
      </c>
      <c r="I2525" t="inlineStr">
        <is>
          <t>Perdido</t>
        </is>
      </c>
      <c r="J2525" s="28" t="n">
        <v>46048</v>
      </c>
      <c r="K2525" s="28" t="n">
        <v>46057</v>
      </c>
      <c r="L2525" t="inlineStr">
        <is>
          <t>Presupuesto insuficiente</t>
        </is>
      </c>
    </row>
    <row r="2526">
      <c r="A2526" t="inlineStr">
        <is>
          <t>CLI-2524</t>
        </is>
      </c>
      <c r="B2526" t="inlineStr">
        <is>
          <t>Emilio Ochoa Restrepo</t>
        </is>
      </c>
      <c r="C2526" t="inlineStr">
        <is>
          <t>3237496344</t>
        </is>
      </c>
      <c r="D2526" t="inlineStr">
        <is>
          <t>emilio.ochoa62@outlook.com</t>
        </is>
      </c>
      <c r="E2526" t="inlineStr">
        <is>
          <t>Medellín</t>
        </is>
      </c>
      <c r="F2526" t="inlineStr">
        <is>
          <t>PRY-003</t>
        </is>
      </c>
      <c r="G2526" t="inlineStr">
        <is>
          <t>Referido</t>
        </is>
      </c>
      <c r="H2526" t="inlineStr">
        <is>
          <t>Ana Quintero</t>
        </is>
      </c>
      <c r="I2526" t="inlineStr">
        <is>
          <t>Ganado</t>
        </is>
      </c>
      <c r="J2526" s="28" t="n">
        <v>46050</v>
      </c>
      <c r="K2526" s="28" t="n">
        <v>46123</v>
      </c>
      <c r="L2526" t="inlineStr">
        <is>
          <t>Compró Apto 1607 en Conecta Laureles</t>
        </is>
      </c>
    </row>
    <row r="2527">
      <c r="A2527" t="inlineStr">
        <is>
          <t>CLI-2525</t>
        </is>
      </c>
      <c r="B2527" t="inlineStr">
        <is>
          <t>Felipe Gómez Álvarez</t>
        </is>
      </c>
      <c r="C2527" t="inlineStr">
        <is>
          <t>3149042137</t>
        </is>
      </c>
      <c r="D2527" t="inlineStr">
        <is>
          <t>felipe.gomez71@hotmail.com</t>
        </is>
      </c>
      <c r="E2527" t="inlineStr">
        <is>
          <t>Itagüí</t>
        </is>
      </c>
      <c r="F2527" t="inlineStr">
        <is>
          <t>PRY-001</t>
        </is>
      </c>
      <c r="G2527" t="inlineStr">
        <is>
          <t>Facebook</t>
        </is>
      </c>
      <c r="H2527" t="inlineStr">
        <is>
          <t>Sofía Prada</t>
        </is>
      </c>
      <c r="I2527" t="inlineStr">
        <is>
          <t>Perdido</t>
        </is>
      </c>
      <c r="J2527" s="28" t="n">
        <v>46050</v>
      </c>
      <c r="K2527" s="28" t="n">
        <v>46127</v>
      </c>
      <c r="L2527" t="inlineStr">
        <is>
          <t>Precio fuera de presupuesto</t>
        </is>
      </c>
    </row>
    <row r="2528">
      <c r="A2528" t="inlineStr">
        <is>
          <t>CLI-2526</t>
        </is>
      </c>
      <c r="B2528" t="inlineStr">
        <is>
          <t>Daniel Quintero Vargas</t>
        </is>
      </c>
      <c r="C2528" t="inlineStr">
        <is>
          <t>3208546954</t>
        </is>
      </c>
      <c r="D2528" t="inlineStr">
        <is>
          <t>daniel.quintero82@hotmail.com</t>
        </is>
      </c>
      <c r="E2528" t="inlineStr">
        <is>
          <t>Bello</t>
        </is>
      </c>
      <c r="F2528" t="inlineStr">
        <is>
          <t>PRY-005</t>
        </is>
      </c>
      <c r="G2528" t="inlineStr">
        <is>
          <t>Feria Inmobiliaria</t>
        </is>
      </c>
      <c r="H2528" t="inlineStr">
        <is>
          <t>Daniela Ríos</t>
        </is>
      </c>
      <c r="I2528" t="inlineStr">
        <is>
          <t>Ganado</t>
        </is>
      </c>
      <c r="J2528" s="28" t="n">
        <v>46051</v>
      </c>
      <c r="K2528" s="28" t="n">
        <v>46185</v>
      </c>
      <c r="L2528" t="inlineStr">
        <is>
          <t>Compró Casa 23 en Ciudadela Rionegro</t>
        </is>
      </c>
    </row>
    <row r="2529">
      <c r="A2529" t="inlineStr">
        <is>
          <t>CLI-2527</t>
        </is>
      </c>
      <c r="B2529" t="inlineStr">
        <is>
          <t>Mónica Vargas Betancur</t>
        </is>
      </c>
      <c r="C2529" t="inlineStr">
        <is>
          <t>3176849852</t>
        </is>
      </c>
      <c r="D2529" t="inlineStr">
        <is>
          <t>monica.vargas14@outlook.com</t>
        </is>
      </c>
      <c r="E2529" t="inlineStr">
        <is>
          <t>Envigado</t>
        </is>
      </c>
      <c r="F2529" t="inlineStr">
        <is>
          <t>PRY-007</t>
        </is>
      </c>
      <c r="G2529" t="inlineStr">
        <is>
          <t>Feria Inmobiliaria</t>
        </is>
      </c>
      <c r="H2529" t="inlineStr">
        <is>
          <t>Luis Bedoya</t>
        </is>
      </c>
      <c r="I2529" t="inlineStr">
        <is>
          <t>Perdido</t>
        </is>
      </c>
      <c r="J2529" s="28" t="n">
        <v>46051</v>
      </c>
      <c r="K2529" s="28" t="n">
        <v>46064</v>
      </c>
      <c r="L2529" t="inlineStr">
        <is>
          <t>Sin respuesta tras 3 contactos</t>
        </is>
      </c>
    </row>
    <row r="2530">
      <c r="A2530" t="inlineStr">
        <is>
          <t>CLI-2528</t>
        </is>
      </c>
      <c r="B2530" t="inlineStr">
        <is>
          <t>Sandra Gaviria Rojas</t>
        </is>
      </c>
      <c r="C2530" t="inlineStr">
        <is>
          <t>3015117622</t>
        </is>
      </c>
      <c r="D2530" t="inlineStr">
        <is>
          <t>sandra.gaviria99@gmail.com</t>
        </is>
      </c>
      <c r="E2530" t="inlineStr">
        <is>
          <t>Itagüí</t>
        </is>
      </c>
      <c r="F2530" t="inlineStr">
        <is>
          <t>PRY-008</t>
        </is>
      </c>
      <c r="G2530" t="inlineStr">
        <is>
          <t>Portal Web</t>
        </is>
      </c>
      <c r="H2530" t="inlineStr">
        <is>
          <t>Luis Bedoya</t>
        </is>
      </c>
      <c r="I2530" t="inlineStr">
        <is>
          <t>Ganado</t>
        </is>
      </c>
      <c r="J2530" s="28" t="n">
        <v>46052</v>
      </c>
      <c r="K2530" s="28" t="n">
        <v>46165</v>
      </c>
      <c r="L2530" t="inlineStr">
        <is>
          <t>Compró Casa 4 en Valle Verde Itagüí</t>
        </is>
      </c>
    </row>
    <row r="2531">
      <c r="A2531" t="inlineStr">
        <is>
          <t>CLI-2529</t>
        </is>
      </c>
      <c r="B2531" t="inlineStr">
        <is>
          <t>Diana Uribe Ramírez</t>
        </is>
      </c>
      <c r="C2531" t="inlineStr">
        <is>
          <t>3225807878</t>
        </is>
      </c>
      <c r="D2531" t="inlineStr">
        <is>
          <t>diana.uribe41@yahoo.com</t>
        </is>
      </c>
      <c r="E2531" t="inlineStr">
        <is>
          <t>Medellín</t>
        </is>
      </c>
      <c r="F2531" t="inlineStr">
        <is>
          <t>PRY-003</t>
        </is>
      </c>
      <c r="G2531" t="inlineStr">
        <is>
          <t>Feria Inmobiliaria</t>
        </is>
      </c>
      <c r="H2531" t="inlineStr">
        <is>
          <t>Santiago Muñoz</t>
        </is>
      </c>
      <c r="I2531" t="inlineStr">
        <is>
          <t>Ganado</t>
        </is>
      </c>
      <c r="J2531" s="28" t="n">
        <v>46052</v>
      </c>
      <c r="K2531" s="28" t="n">
        <v>46144</v>
      </c>
      <c r="L2531" t="inlineStr">
        <is>
          <t>Compró Apto 1507 en Conecta Laureles</t>
        </is>
      </c>
    </row>
    <row r="2532">
      <c r="A2532" t="inlineStr">
        <is>
          <t>CLI-2530</t>
        </is>
      </c>
      <c r="B2532" t="inlineStr">
        <is>
          <t>Luisa Quintero Rojas</t>
        </is>
      </c>
      <c r="C2532" t="inlineStr">
        <is>
          <t>3224449261</t>
        </is>
      </c>
      <c r="D2532" t="inlineStr">
        <is>
          <t>luisa.quintero18@gmail.com</t>
        </is>
      </c>
      <c r="E2532" t="inlineStr">
        <is>
          <t>Rionegro</t>
        </is>
      </c>
      <c r="F2532" t="inlineStr">
        <is>
          <t>PRY-005</t>
        </is>
      </c>
      <c r="G2532" t="inlineStr">
        <is>
          <t>Llamada directa</t>
        </is>
      </c>
      <c r="H2532" t="inlineStr">
        <is>
          <t>Mateo Herrera</t>
        </is>
      </c>
      <c r="I2532" t="inlineStr">
        <is>
          <t>Perdido</t>
        </is>
      </c>
      <c r="J2532" s="28" t="n">
        <v>46052</v>
      </c>
      <c r="K2532" s="28" t="n">
        <v>46082</v>
      </c>
      <c r="L2532" t="inlineStr">
        <is>
          <t>Datos de contacto errados</t>
        </is>
      </c>
    </row>
    <row r="2533">
      <c r="A2533" t="inlineStr">
        <is>
          <t>CLI-2531</t>
        </is>
      </c>
      <c r="B2533" t="inlineStr">
        <is>
          <t>Santiago Salcedo Echeverri</t>
        </is>
      </c>
      <c r="C2533" t="inlineStr">
        <is>
          <t>3049173890</t>
        </is>
      </c>
      <c r="D2533" t="inlineStr">
        <is>
          <t>santiago.salcedo42@yahoo.com</t>
        </is>
      </c>
      <c r="E2533" t="inlineStr">
        <is>
          <t>Medellín</t>
        </is>
      </c>
      <c r="F2533" t="inlineStr">
        <is>
          <t>PRY-001</t>
        </is>
      </c>
      <c r="G2533" t="inlineStr">
        <is>
          <t>Feria Inmobiliaria</t>
        </is>
      </c>
      <c r="H2533" t="inlineStr">
        <is>
          <t>Andrés Torres</t>
        </is>
      </c>
      <c r="I2533" t="inlineStr">
        <is>
          <t>Perdido</t>
        </is>
      </c>
      <c r="J2533" s="28" t="n">
        <v>46052</v>
      </c>
      <c r="K2533" s="28" t="n">
        <v>46068</v>
      </c>
      <c r="L2533" t="inlineStr">
        <is>
          <t>Sin respuesta tras 3 contactos</t>
        </is>
      </c>
    </row>
    <row r="2534">
      <c r="A2534" t="inlineStr">
        <is>
          <t>CLI-2532</t>
        </is>
      </c>
      <c r="B2534" t="inlineStr">
        <is>
          <t>José Franco Zapata</t>
        </is>
      </c>
      <c r="C2534" t="inlineStr">
        <is>
          <t>3173618207</t>
        </is>
      </c>
      <c r="D2534" t="inlineStr">
        <is>
          <t>jose.franco86@gmail.com</t>
        </is>
      </c>
      <c r="E2534" t="inlineStr">
        <is>
          <t>Bello</t>
        </is>
      </c>
      <c r="F2534" t="inlineStr">
        <is>
          <t>PRY-007</t>
        </is>
      </c>
      <c r="G2534" t="inlineStr">
        <is>
          <t>Portal Web</t>
        </is>
      </c>
      <c r="H2534" t="inlineStr">
        <is>
          <t>Ana Quintero</t>
        </is>
      </c>
      <c r="I2534" t="inlineStr">
        <is>
          <t>Perdido</t>
        </is>
      </c>
      <c r="J2534" s="28" t="n">
        <v>46052</v>
      </c>
      <c r="K2534" s="28" t="n">
        <v>46077</v>
      </c>
      <c r="L2534" t="inlineStr">
        <is>
          <t>Presupuesto insuficiente</t>
        </is>
      </c>
    </row>
    <row r="2535">
      <c r="A2535" t="inlineStr">
        <is>
          <t>CLI-2533</t>
        </is>
      </c>
      <c r="B2535" t="inlineStr">
        <is>
          <t>Santiago Ríos Castaño</t>
        </is>
      </c>
      <c r="C2535" t="inlineStr">
        <is>
          <t>3132366270</t>
        </is>
      </c>
      <c r="D2535" t="inlineStr">
        <is>
          <t>santiago.rios3@yahoo.com</t>
        </is>
      </c>
      <c r="E2535" t="inlineStr">
        <is>
          <t>Envigado</t>
        </is>
      </c>
      <c r="F2535" t="inlineStr">
        <is>
          <t>PRY-007</t>
        </is>
      </c>
      <c r="G2535" t="inlineStr">
        <is>
          <t>Instagram</t>
        </is>
      </c>
      <c r="H2535" t="inlineStr">
        <is>
          <t>Sofía Prada</t>
        </is>
      </c>
      <c r="I2535" t="inlineStr">
        <is>
          <t>Perdido</t>
        </is>
      </c>
      <c r="J2535" s="28" t="n">
        <v>46052</v>
      </c>
      <c r="K2535" s="28" t="n">
        <v>46075</v>
      </c>
      <c r="L2535" t="inlineStr">
        <is>
          <t>No calificó para crédito</t>
        </is>
      </c>
    </row>
    <row r="2536">
      <c r="A2536" t="inlineStr">
        <is>
          <t>CLI-2534</t>
        </is>
      </c>
      <c r="B2536" t="inlineStr">
        <is>
          <t>Mariana Montoya Sánchez</t>
        </is>
      </c>
      <c r="C2536" t="inlineStr">
        <is>
          <t>3007098161</t>
        </is>
      </c>
      <c r="D2536" t="inlineStr">
        <is>
          <t>mariana.montoya8@hotmail.com</t>
        </is>
      </c>
      <c r="E2536" t="inlineStr">
        <is>
          <t>Medellín</t>
        </is>
      </c>
      <c r="F2536" t="inlineStr">
        <is>
          <t>PRY-001</t>
        </is>
      </c>
      <c r="G2536" t="inlineStr">
        <is>
          <t>Feria Inmobiliaria</t>
        </is>
      </c>
      <c r="H2536" t="inlineStr">
        <is>
          <t>Sofía Prada</t>
        </is>
      </c>
      <c r="I2536" t="inlineStr">
        <is>
          <t>Perdido</t>
        </is>
      </c>
      <c r="J2536" s="28" t="n">
        <v>46052</v>
      </c>
      <c r="K2536" s="28" t="n">
        <v>46074</v>
      </c>
      <c r="L2536" t="inlineStr">
        <is>
          <t>Sin respuesta tras 3 contactos</t>
        </is>
      </c>
    </row>
    <row r="2537">
      <c r="A2537" t="inlineStr">
        <is>
          <t>CLI-2535</t>
        </is>
      </c>
      <c r="B2537" t="inlineStr">
        <is>
          <t>Esteban Bedoya Osorio</t>
        </is>
      </c>
      <c r="C2537" t="inlineStr">
        <is>
          <t>3179154417</t>
        </is>
      </c>
      <c r="D2537" t="inlineStr">
        <is>
          <t>esteban.bedoya22@outlook.com</t>
        </is>
      </c>
      <c r="E2537" t="inlineStr">
        <is>
          <t>Envigado</t>
        </is>
      </c>
      <c r="F2537" t="inlineStr">
        <is>
          <t>PRY-005</t>
        </is>
      </c>
      <c r="G2537" t="inlineStr">
        <is>
          <t>Facebook</t>
        </is>
      </c>
      <c r="H2537" t="inlineStr">
        <is>
          <t>Sofía Prada</t>
        </is>
      </c>
      <c r="I2537" t="inlineStr">
        <is>
          <t>Perdido</t>
        </is>
      </c>
      <c r="J2537" s="28" t="n">
        <v>46053</v>
      </c>
      <c r="K2537" s="28" t="n">
        <v>46074</v>
      </c>
      <c r="L2537" t="inlineStr">
        <is>
          <t>Buscaba arriendo, no compra</t>
        </is>
      </c>
    </row>
    <row r="2538">
      <c r="A2538" t="inlineStr">
        <is>
          <t>CLI-2536</t>
        </is>
      </c>
      <c r="B2538" t="inlineStr">
        <is>
          <t>Emilio Sánchez Gómez</t>
        </is>
      </c>
      <c r="C2538" t="inlineStr">
        <is>
          <t>3043815263</t>
        </is>
      </c>
      <c r="D2538" t="inlineStr">
        <is>
          <t>emilio.sanchez19@gmail.com</t>
        </is>
      </c>
      <c r="E2538" t="inlineStr">
        <is>
          <t>Rionegro</t>
        </is>
      </c>
      <c r="F2538" t="inlineStr">
        <is>
          <t>PRY-003</t>
        </is>
      </c>
      <c r="G2538" t="inlineStr">
        <is>
          <t>Feria Inmobiliaria</t>
        </is>
      </c>
      <c r="H2538" t="inlineStr">
        <is>
          <t>Luis Bedoya</t>
        </is>
      </c>
      <c r="I2538" t="inlineStr">
        <is>
          <t>Ganado</t>
        </is>
      </c>
      <c r="J2538" s="28" t="n">
        <v>46054</v>
      </c>
      <c r="K2538" s="28" t="n">
        <v>46113</v>
      </c>
      <c r="L2538" t="inlineStr">
        <is>
          <t>Compró Apto 502 en Conecta Laureles</t>
        </is>
      </c>
    </row>
    <row r="2539">
      <c r="A2539" t="inlineStr">
        <is>
          <t>CLI-2537</t>
        </is>
      </c>
      <c r="B2539" t="inlineStr">
        <is>
          <t>Gabriel Higuita Salcedo</t>
        </is>
      </c>
      <c r="C2539" t="inlineStr">
        <is>
          <t>3241500000</t>
        </is>
      </c>
      <c r="D2539" t="inlineStr">
        <is>
          <t>gabriel.higuita41@hotmail.com</t>
        </is>
      </c>
      <c r="E2539" t="inlineStr">
        <is>
          <t>Itagüí</t>
        </is>
      </c>
      <c r="F2539" t="inlineStr">
        <is>
          <t>PRY-006</t>
        </is>
      </c>
      <c r="G2539" t="inlineStr">
        <is>
          <t>Feria Inmobiliaria</t>
        </is>
      </c>
      <c r="H2539" t="inlineStr">
        <is>
          <t>Sofía Prada</t>
        </is>
      </c>
      <c r="I2539" t="inlineStr">
        <is>
          <t>Perdido</t>
        </is>
      </c>
      <c r="J2539" s="28" t="n">
        <v>46054</v>
      </c>
      <c r="K2539" s="28" t="n">
        <v>46177</v>
      </c>
      <c r="L2539" t="inlineStr">
        <is>
          <t>Desistió de la compra</t>
        </is>
      </c>
    </row>
    <row r="2540">
      <c r="A2540" t="inlineStr">
        <is>
          <t>CLI-2538</t>
        </is>
      </c>
      <c r="B2540" t="inlineStr">
        <is>
          <t>Mariana Restrepo Peláez</t>
        </is>
      </c>
      <c r="C2540" t="inlineStr">
        <is>
          <t>3157287374</t>
        </is>
      </c>
      <c r="D2540" t="inlineStr">
        <is>
          <t>mariana.restrepo76@outlook.com</t>
        </is>
      </c>
      <c r="E2540" t="inlineStr">
        <is>
          <t>Bello</t>
        </is>
      </c>
      <c r="F2540" t="inlineStr">
        <is>
          <t>PRY-006</t>
        </is>
      </c>
      <c r="G2540" t="inlineStr">
        <is>
          <t>Instagram</t>
        </is>
      </c>
      <c r="H2540" t="inlineStr">
        <is>
          <t>Luis Bedoya</t>
        </is>
      </c>
      <c r="I2540" t="inlineStr">
        <is>
          <t>Perdido</t>
        </is>
      </c>
      <c r="J2540" s="28" t="n">
        <v>46054</v>
      </c>
      <c r="K2540" s="28" t="n">
        <v>46081</v>
      </c>
      <c r="L2540" t="inlineStr">
        <is>
          <t>No calificó para crédito</t>
        </is>
      </c>
    </row>
    <row r="2541">
      <c r="A2541" t="inlineStr">
        <is>
          <t>CLI-2539</t>
        </is>
      </c>
      <c r="B2541" t="inlineStr">
        <is>
          <t>Verónica Salazar Cifuentes</t>
        </is>
      </c>
      <c r="C2541" t="inlineStr">
        <is>
          <t>3018931722</t>
        </is>
      </c>
      <c r="D2541" t="inlineStr">
        <is>
          <t>veronica.salazar72@yahoo.com</t>
        </is>
      </c>
      <c r="E2541" t="inlineStr">
        <is>
          <t>Medellín</t>
        </is>
      </c>
      <c r="F2541" t="inlineStr">
        <is>
          <t>PRY-002</t>
        </is>
      </c>
      <c r="G2541" t="inlineStr">
        <is>
          <t>Llamada directa</t>
        </is>
      </c>
      <c r="H2541" t="inlineStr">
        <is>
          <t>Ana Quintero</t>
        </is>
      </c>
      <c r="I2541" t="inlineStr">
        <is>
          <t>Perdido</t>
        </is>
      </c>
      <c r="J2541" s="28" t="n">
        <v>46054</v>
      </c>
      <c r="K2541" s="28" t="n">
        <v>46076</v>
      </c>
      <c r="L2541" t="inlineStr">
        <is>
          <t>Buscaba arriendo, no compra</t>
        </is>
      </c>
    </row>
    <row r="2542">
      <c r="A2542" t="inlineStr">
        <is>
          <t>CLI-2540</t>
        </is>
      </c>
      <c r="B2542" t="inlineStr">
        <is>
          <t>Andrés Gaviria Henao</t>
        </is>
      </c>
      <c r="C2542" t="inlineStr">
        <is>
          <t>3132131912</t>
        </is>
      </c>
      <c r="D2542" t="inlineStr">
        <is>
          <t>andres.gaviria24@outlook.com</t>
        </is>
      </c>
      <c r="E2542" t="inlineStr">
        <is>
          <t>Envigado</t>
        </is>
      </c>
      <c r="F2542" t="inlineStr">
        <is>
          <t>PRY-007</t>
        </is>
      </c>
      <c r="G2542" t="inlineStr">
        <is>
          <t>Llamada directa</t>
        </is>
      </c>
      <c r="H2542" t="inlineStr">
        <is>
          <t>Santiago Muñoz</t>
        </is>
      </c>
      <c r="I2542" t="inlineStr">
        <is>
          <t>Ganado</t>
        </is>
      </c>
      <c r="J2542" s="28" t="n">
        <v>46055</v>
      </c>
      <c r="K2542" s="28" t="n">
        <v>46182</v>
      </c>
      <c r="L2542" t="inlineStr">
        <is>
          <t>Compró Apto 703 en Mirador de Envigado</t>
        </is>
      </c>
    </row>
    <row r="2543">
      <c r="A2543" t="inlineStr">
        <is>
          <t>CLI-2541</t>
        </is>
      </c>
      <c r="B2543" t="inlineStr">
        <is>
          <t>Juliana Toro Palacio</t>
        </is>
      </c>
      <c r="C2543" t="inlineStr">
        <is>
          <t>3247076898</t>
        </is>
      </c>
      <c r="D2543" t="inlineStr">
        <is>
          <t>juliana.toro67@outlook.com</t>
        </is>
      </c>
      <c r="E2543" t="inlineStr">
        <is>
          <t>Bello</t>
        </is>
      </c>
      <c r="F2543" t="inlineStr">
        <is>
          <t>PRY-002</t>
        </is>
      </c>
      <c r="G2543" t="inlineStr">
        <is>
          <t>Instagram</t>
        </is>
      </c>
      <c r="H2543" t="inlineStr">
        <is>
          <t>Mateo Herrera</t>
        </is>
      </c>
      <c r="I2543" t="inlineStr">
        <is>
          <t>Perdido</t>
        </is>
      </c>
      <c r="J2543" s="28" t="n">
        <v>46055</v>
      </c>
      <c r="K2543" s="28" t="n">
        <v>46083</v>
      </c>
      <c r="L2543" t="inlineStr">
        <is>
          <t>Sin respuesta tras 3 contactos</t>
        </is>
      </c>
    </row>
    <row r="2544">
      <c r="A2544" t="inlineStr">
        <is>
          <t>CLI-2542</t>
        </is>
      </c>
      <c r="B2544" t="inlineStr">
        <is>
          <t>Jhon Escobar Sánchez</t>
        </is>
      </c>
      <c r="C2544" t="inlineStr">
        <is>
          <t>3227919004</t>
        </is>
      </c>
      <c r="D2544" t="inlineStr">
        <is>
          <t>jhon.escobar42@yahoo.com</t>
        </is>
      </c>
      <c r="E2544" t="inlineStr">
        <is>
          <t>Bello</t>
        </is>
      </c>
      <c r="F2544" t="inlineStr">
        <is>
          <t>PRY-006</t>
        </is>
      </c>
      <c r="G2544" t="inlineStr">
        <is>
          <t>Facebook</t>
        </is>
      </c>
      <c r="H2544" t="inlineStr">
        <is>
          <t>Miguel Salazar</t>
        </is>
      </c>
      <c r="I2544" t="inlineStr">
        <is>
          <t>Perdido</t>
        </is>
      </c>
      <c r="J2544" s="28" t="n">
        <v>46055</v>
      </c>
      <c r="K2544" s="28" t="n">
        <v>46066</v>
      </c>
      <c r="L2544" t="inlineStr">
        <is>
          <t>Presupuesto insuficiente</t>
        </is>
      </c>
    </row>
    <row r="2545">
      <c r="A2545" t="inlineStr">
        <is>
          <t>CLI-2543</t>
        </is>
      </c>
      <c r="B2545" t="inlineStr">
        <is>
          <t>Patricia Ramírez Jaramillo</t>
        </is>
      </c>
      <c r="C2545" t="inlineStr">
        <is>
          <t>3006481312</t>
        </is>
      </c>
      <c r="D2545" t="inlineStr">
        <is>
          <t>patricia.ramirez63@hotmail.com</t>
        </is>
      </c>
      <c r="E2545" t="inlineStr">
        <is>
          <t>Bello</t>
        </is>
      </c>
      <c r="F2545" t="inlineStr">
        <is>
          <t>PRY-003</t>
        </is>
      </c>
      <c r="G2545" t="inlineStr">
        <is>
          <t>Instagram</t>
        </is>
      </c>
      <c r="H2545" t="inlineStr">
        <is>
          <t>Ana Quintero</t>
        </is>
      </c>
      <c r="I2545" t="inlineStr">
        <is>
          <t>Perdido</t>
        </is>
      </c>
      <c r="J2545" s="28" t="n">
        <v>46055</v>
      </c>
      <c r="K2545" s="28" t="n">
        <v>46062</v>
      </c>
      <c r="L2545" t="inlineStr">
        <is>
          <t>Datos de contacto errados</t>
        </is>
      </c>
    </row>
    <row r="2546">
      <c r="A2546" t="inlineStr">
        <is>
          <t>CLI-2544</t>
        </is>
      </c>
      <c r="B2546" t="inlineStr">
        <is>
          <t>Valeria Cifuentes Duque</t>
        </is>
      </c>
      <c r="C2546" t="inlineStr">
        <is>
          <t>3247620264</t>
        </is>
      </c>
      <c r="D2546" t="inlineStr">
        <is>
          <t>valeria.cifuentes87@gmail.com</t>
        </is>
      </c>
      <c r="E2546" t="inlineStr">
        <is>
          <t>Envigado</t>
        </is>
      </c>
      <c r="F2546" t="inlineStr">
        <is>
          <t>PRY-007</t>
        </is>
      </c>
      <c r="G2546" t="inlineStr">
        <is>
          <t>Facebook</t>
        </is>
      </c>
      <c r="H2546" t="inlineStr">
        <is>
          <t>Luis Bedoya</t>
        </is>
      </c>
      <c r="I2546" t="inlineStr">
        <is>
          <t>Perdido</t>
        </is>
      </c>
      <c r="J2546" s="28" t="n">
        <v>46056</v>
      </c>
      <c r="K2546" s="28" t="n">
        <v>46070</v>
      </c>
      <c r="L2546" t="inlineStr">
        <is>
          <t>Sin respuesta tras 3 contactos</t>
        </is>
      </c>
    </row>
    <row r="2547">
      <c r="A2547" t="inlineStr">
        <is>
          <t>CLI-2545</t>
        </is>
      </c>
      <c r="B2547" t="inlineStr">
        <is>
          <t>Lorena Peláez Montoya</t>
        </is>
      </c>
      <c r="C2547" t="inlineStr">
        <is>
          <t>3246808472</t>
        </is>
      </c>
      <c r="D2547" t="inlineStr">
        <is>
          <t>lorena.pelaez75@outlook.com</t>
        </is>
      </c>
      <c r="E2547" t="inlineStr">
        <is>
          <t>Medellín</t>
        </is>
      </c>
      <c r="F2547" t="inlineStr">
        <is>
          <t>PRY-001</t>
        </is>
      </c>
      <c r="G2547" t="inlineStr">
        <is>
          <t>Llamada directa</t>
        </is>
      </c>
      <c r="H2547" t="inlineStr">
        <is>
          <t>Santiago Muñoz</t>
        </is>
      </c>
      <c r="I2547" t="inlineStr">
        <is>
          <t>Perdido</t>
        </is>
      </c>
      <c r="J2547" s="28" t="n">
        <v>46056</v>
      </c>
      <c r="K2547" s="28" t="n">
        <v>46065</v>
      </c>
      <c r="L2547" t="inlineStr">
        <is>
          <t>Sin respuesta tras 3 contactos</t>
        </is>
      </c>
    </row>
    <row r="2548">
      <c r="A2548" t="inlineStr">
        <is>
          <t>CLI-2546</t>
        </is>
      </c>
      <c r="B2548" t="inlineStr">
        <is>
          <t>Diana Zuluaga Rojas</t>
        </is>
      </c>
      <c r="C2548" t="inlineStr">
        <is>
          <t>3147616837</t>
        </is>
      </c>
      <c r="D2548" t="inlineStr">
        <is>
          <t>diana.zuluaga26@gmail.com</t>
        </is>
      </c>
      <c r="E2548" t="inlineStr">
        <is>
          <t>Envigado</t>
        </is>
      </c>
      <c r="F2548" t="inlineStr">
        <is>
          <t>PRY-005</t>
        </is>
      </c>
      <c r="G2548" t="inlineStr">
        <is>
          <t>Instagram</t>
        </is>
      </c>
      <c r="H2548" t="inlineStr">
        <is>
          <t>Mateo Herrera</t>
        </is>
      </c>
      <c r="I2548" t="inlineStr">
        <is>
          <t>Perdido</t>
        </is>
      </c>
      <c r="J2548" s="28" t="n">
        <v>46057</v>
      </c>
      <c r="K2548" s="28" t="n">
        <v>46068</v>
      </c>
      <c r="L2548" t="inlineStr">
        <is>
          <t>No calificó para crédito</t>
        </is>
      </c>
    </row>
    <row r="2549">
      <c r="A2549" t="inlineStr">
        <is>
          <t>CLI-2547</t>
        </is>
      </c>
      <c r="B2549" t="inlineStr">
        <is>
          <t>Luisa Londoño Mejía</t>
        </is>
      </c>
      <c r="C2549" t="inlineStr">
        <is>
          <t>3236013938</t>
        </is>
      </c>
      <c r="D2549" t="inlineStr">
        <is>
          <t>luisa.londono68@hotmail.com</t>
        </is>
      </c>
      <c r="E2549" t="inlineStr">
        <is>
          <t>Itagüí</t>
        </is>
      </c>
      <c r="F2549" t="inlineStr">
        <is>
          <t>PRY-008</t>
        </is>
      </c>
      <c r="G2549" t="inlineStr">
        <is>
          <t>Portal Web</t>
        </is>
      </c>
      <c r="H2549" t="inlineStr">
        <is>
          <t>Ana Quintero</t>
        </is>
      </c>
      <c r="I2549" t="inlineStr">
        <is>
          <t>Perdido</t>
        </is>
      </c>
      <c r="J2549" s="28" t="n">
        <v>46057</v>
      </c>
      <c r="K2549" s="28" t="n">
        <v>46078</v>
      </c>
      <c r="L2549" t="inlineStr">
        <is>
          <t>Presupuesto insuficiente</t>
        </is>
      </c>
    </row>
    <row r="2550">
      <c r="A2550" t="inlineStr">
        <is>
          <t>CLI-2548</t>
        </is>
      </c>
      <c r="B2550" t="inlineStr">
        <is>
          <t>Julián Salcedo Peláez</t>
        </is>
      </c>
      <c r="C2550" t="inlineStr">
        <is>
          <t>3001845790</t>
        </is>
      </c>
      <c r="D2550" t="inlineStr">
        <is>
          <t>julian.salcedo32@yahoo.com</t>
        </is>
      </c>
      <c r="E2550" t="inlineStr">
        <is>
          <t>Itagüí</t>
        </is>
      </c>
      <c r="F2550" t="inlineStr">
        <is>
          <t>PRY-003</t>
        </is>
      </c>
      <c r="G2550" t="inlineStr">
        <is>
          <t>Instagram</t>
        </is>
      </c>
      <c r="H2550" t="inlineStr">
        <is>
          <t>Ana Quintero</t>
        </is>
      </c>
      <c r="I2550" t="inlineStr">
        <is>
          <t>Negociación</t>
        </is>
      </c>
      <c r="J2550" s="28" t="n">
        <v>46058</v>
      </c>
      <c r="K2550" s="28" t="n">
        <v>46209</v>
      </c>
      <c r="L2550" t="inlineStr">
        <is>
          <t>Negociando descuento por pago de contado</t>
        </is>
      </c>
    </row>
    <row r="2551">
      <c r="A2551" t="inlineStr">
        <is>
          <t>CLI-2549</t>
        </is>
      </c>
      <c r="B2551" t="inlineStr">
        <is>
          <t>Liliana Álvarez Uribe</t>
        </is>
      </c>
      <c r="C2551" t="inlineStr">
        <is>
          <t>3018973504</t>
        </is>
      </c>
      <c r="D2551" t="inlineStr">
        <is>
          <t>liliana.alvarez8@outlook.com</t>
        </is>
      </c>
      <c r="E2551" t="inlineStr">
        <is>
          <t>Itagüí</t>
        </is>
      </c>
      <c r="F2551" t="inlineStr">
        <is>
          <t>PRY-008</t>
        </is>
      </c>
      <c r="G2551" t="inlineStr">
        <is>
          <t>Instagram</t>
        </is>
      </c>
      <c r="H2551" t="inlineStr">
        <is>
          <t>Paula Arenas</t>
        </is>
      </c>
      <c r="I2551" t="inlineStr">
        <is>
          <t>Ganado</t>
        </is>
      </c>
      <c r="J2551" s="28" t="n">
        <v>46058</v>
      </c>
      <c r="K2551" s="28" t="n">
        <v>46154</v>
      </c>
      <c r="L2551" t="inlineStr">
        <is>
          <t>Compró Casa 14 en Valle Verde Itagüí</t>
        </is>
      </c>
    </row>
    <row r="2552">
      <c r="A2552" t="inlineStr">
        <is>
          <t>CLI-2550</t>
        </is>
      </c>
      <c r="B2552" t="inlineStr">
        <is>
          <t>Diego Sánchez Espinosa</t>
        </is>
      </c>
      <c r="C2552" t="inlineStr">
        <is>
          <t>3242987091</t>
        </is>
      </c>
      <c r="D2552" t="inlineStr">
        <is>
          <t>diego.sanchez21@hotmail.com</t>
        </is>
      </c>
      <c r="E2552" t="inlineStr">
        <is>
          <t>Rionegro</t>
        </is>
      </c>
      <c r="F2552" t="inlineStr">
        <is>
          <t>PRY-005</t>
        </is>
      </c>
      <c r="G2552" t="inlineStr">
        <is>
          <t>Llamada directa</t>
        </is>
      </c>
      <c r="H2552" t="inlineStr">
        <is>
          <t>Luis Bedoya</t>
        </is>
      </c>
      <c r="I2552" t="inlineStr">
        <is>
          <t>Negociación</t>
        </is>
      </c>
      <c r="J2552" s="28" t="n">
        <v>46058</v>
      </c>
      <c r="K2552" s="28" t="n">
        <v>46211</v>
      </c>
      <c r="L2552" t="inlineStr">
        <is>
          <t>Separación en trámite</t>
        </is>
      </c>
    </row>
    <row r="2553">
      <c r="A2553" t="inlineStr">
        <is>
          <t>CLI-2551</t>
        </is>
      </c>
      <c r="B2553" t="inlineStr">
        <is>
          <t>Ximena Rojas Ramírez</t>
        </is>
      </c>
      <c r="C2553" t="inlineStr">
        <is>
          <t>3208795112</t>
        </is>
      </c>
      <c r="D2553" t="inlineStr">
        <is>
          <t>ximena.rojas83@yahoo.com</t>
        </is>
      </c>
      <c r="E2553" t="inlineStr">
        <is>
          <t>Envigado</t>
        </is>
      </c>
      <c r="F2553" t="inlineStr">
        <is>
          <t>PRY-006</t>
        </is>
      </c>
      <c r="G2553" t="inlineStr">
        <is>
          <t>Instagram</t>
        </is>
      </c>
      <c r="H2553" t="inlineStr">
        <is>
          <t>Paula Arenas</t>
        </is>
      </c>
      <c r="I2553" t="inlineStr">
        <is>
          <t>Perdido</t>
        </is>
      </c>
      <c r="J2553" s="28" t="n">
        <v>46058</v>
      </c>
      <c r="K2553" s="28" t="n">
        <v>46082</v>
      </c>
      <c r="L2553" t="inlineStr">
        <is>
          <t>Presupuesto insuficiente</t>
        </is>
      </c>
    </row>
    <row r="2554">
      <c r="A2554" t="inlineStr">
        <is>
          <t>CLI-2552</t>
        </is>
      </c>
      <c r="B2554" t="inlineStr">
        <is>
          <t>Simón Sánchez Osorio</t>
        </is>
      </c>
      <c r="C2554" t="inlineStr">
        <is>
          <t>3145350973</t>
        </is>
      </c>
      <c r="D2554" t="inlineStr">
        <is>
          <t>simon.sanchez67@outlook.com</t>
        </is>
      </c>
      <c r="E2554" t="inlineStr">
        <is>
          <t>Envigado</t>
        </is>
      </c>
      <c r="F2554" t="inlineStr">
        <is>
          <t>PRY-007</t>
        </is>
      </c>
      <c r="G2554" t="inlineStr">
        <is>
          <t>Feria Inmobiliaria</t>
        </is>
      </c>
      <c r="H2554" t="inlineStr">
        <is>
          <t>Andrés Torres</t>
        </is>
      </c>
      <c r="I2554" t="inlineStr">
        <is>
          <t>Perdido</t>
        </is>
      </c>
      <c r="J2554" s="28" t="n">
        <v>46058</v>
      </c>
      <c r="K2554" s="28" t="n">
        <v>46065</v>
      </c>
      <c r="L2554" t="inlineStr">
        <is>
          <t>No calificó para crédito</t>
        </is>
      </c>
    </row>
    <row r="2555">
      <c r="A2555" t="inlineStr">
        <is>
          <t>CLI-2553</t>
        </is>
      </c>
      <c r="B2555" t="inlineStr">
        <is>
          <t>Santiago Montoya Henao</t>
        </is>
      </c>
      <c r="C2555" t="inlineStr">
        <is>
          <t>3155987786</t>
        </is>
      </c>
      <c r="D2555" t="inlineStr">
        <is>
          <t>santiago.montoya41@gmail.com</t>
        </is>
      </c>
      <c r="E2555" t="inlineStr">
        <is>
          <t>Envigado</t>
        </is>
      </c>
      <c r="F2555" t="inlineStr">
        <is>
          <t>PRY-003</t>
        </is>
      </c>
      <c r="G2555" t="inlineStr">
        <is>
          <t>Facebook</t>
        </is>
      </c>
      <c r="H2555" t="inlineStr">
        <is>
          <t>Andrés Torres</t>
        </is>
      </c>
      <c r="I2555" t="inlineStr">
        <is>
          <t>Perdido</t>
        </is>
      </c>
      <c r="J2555" s="28" t="n">
        <v>46058</v>
      </c>
      <c r="K2555" s="28" t="n">
        <v>46078</v>
      </c>
      <c r="L2555" t="inlineStr">
        <is>
          <t>Sin respuesta tras 3 contactos</t>
        </is>
      </c>
    </row>
    <row r="2556">
      <c r="A2556" t="inlineStr">
        <is>
          <t>CLI-2554</t>
        </is>
      </c>
      <c r="B2556" t="inlineStr">
        <is>
          <t>Sara Duque Valencia</t>
        </is>
      </c>
      <c r="C2556" t="inlineStr">
        <is>
          <t>3018992455</t>
        </is>
      </c>
      <c r="D2556" t="inlineStr">
        <is>
          <t>sara.duque88@yahoo.com</t>
        </is>
      </c>
      <c r="E2556" t="inlineStr">
        <is>
          <t>Sabaneta</t>
        </is>
      </c>
      <c r="F2556" t="inlineStr">
        <is>
          <t>PRY-002</t>
        </is>
      </c>
      <c r="G2556" t="inlineStr">
        <is>
          <t>Portal Web</t>
        </is>
      </c>
      <c r="H2556" t="inlineStr">
        <is>
          <t>Santiago Muñoz</t>
        </is>
      </c>
      <c r="I2556" t="inlineStr">
        <is>
          <t>Perdido</t>
        </is>
      </c>
      <c r="J2556" s="28" t="n">
        <v>46058</v>
      </c>
      <c r="K2556" s="28" t="n">
        <v>46068</v>
      </c>
      <c r="L2556" t="inlineStr">
        <is>
          <t>Datos de contacto errados</t>
        </is>
      </c>
    </row>
    <row r="2557">
      <c r="A2557" t="inlineStr">
        <is>
          <t>CLI-2555</t>
        </is>
      </c>
      <c r="B2557" t="inlineStr">
        <is>
          <t>Andrés Toro Bedoya</t>
        </is>
      </c>
      <c r="C2557" t="inlineStr">
        <is>
          <t>3136936769</t>
        </is>
      </c>
      <c r="D2557" t="inlineStr">
        <is>
          <t>andres.toro62@yahoo.com</t>
        </is>
      </c>
      <c r="E2557" t="inlineStr">
        <is>
          <t>Itagüí</t>
        </is>
      </c>
      <c r="F2557" t="inlineStr">
        <is>
          <t>PRY-007</t>
        </is>
      </c>
      <c r="G2557" t="inlineStr">
        <is>
          <t>Instagram</t>
        </is>
      </c>
      <c r="H2557" t="inlineStr">
        <is>
          <t>Miguel Salazar</t>
        </is>
      </c>
      <c r="I2557" t="inlineStr">
        <is>
          <t>Perdido</t>
        </is>
      </c>
      <c r="J2557" s="28" t="n">
        <v>46058</v>
      </c>
      <c r="K2557" s="28" t="n">
        <v>46087</v>
      </c>
      <c r="L2557" t="inlineStr">
        <is>
          <t>Buscaba arriendo, no compra</t>
        </is>
      </c>
    </row>
    <row r="2558">
      <c r="A2558" t="inlineStr">
        <is>
          <t>CLI-2556</t>
        </is>
      </c>
      <c r="B2558" t="inlineStr">
        <is>
          <t>Marcela Valencia Montoya</t>
        </is>
      </c>
      <c r="C2558" t="inlineStr">
        <is>
          <t>3236375987</t>
        </is>
      </c>
      <c r="D2558" t="inlineStr">
        <is>
          <t>marcela.valencia98@outlook.com</t>
        </is>
      </c>
      <c r="E2558" t="inlineStr">
        <is>
          <t>Medellín</t>
        </is>
      </c>
      <c r="F2558" t="inlineStr">
        <is>
          <t>PRY-002</t>
        </is>
      </c>
      <c r="G2558" t="inlineStr">
        <is>
          <t>Portal Web</t>
        </is>
      </c>
      <c r="H2558" t="inlineStr">
        <is>
          <t>Santiago Muñoz</t>
        </is>
      </c>
      <c r="I2558" t="inlineStr">
        <is>
          <t>Perdido</t>
        </is>
      </c>
      <c r="J2558" s="28" t="n">
        <v>46059</v>
      </c>
      <c r="K2558" s="28" t="n">
        <v>46074</v>
      </c>
      <c r="L2558" t="inlineStr">
        <is>
          <t>Presupuesto insuficiente</t>
        </is>
      </c>
    </row>
    <row r="2559">
      <c r="A2559" t="inlineStr">
        <is>
          <t>CLI-2557</t>
        </is>
      </c>
      <c r="B2559" t="inlineStr">
        <is>
          <t>Tomás Muñoz Sánchez</t>
        </is>
      </c>
      <c r="C2559" t="inlineStr">
        <is>
          <t>3224360332</t>
        </is>
      </c>
      <c r="D2559" t="inlineStr">
        <is>
          <t>tomas.munoz43@gmail.com</t>
        </is>
      </c>
      <c r="E2559" t="inlineStr">
        <is>
          <t>Medellín</t>
        </is>
      </c>
      <c r="F2559" t="inlineStr">
        <is>
          <t>PRY-008</t>
        </is>
      </c>
      <c r="G2559" t="inlineStr">
        <is>
          <t>Facebook</t>
        </is>
      </c>
      <c r="H2559" t="inlineStr">
        <is>
          <t>Andrés Torres</t>
        </is>
      </c>
      <c r="I2559" t="inlineStr">
        <is>
          <t>Perdido</t>
        </is>
      </c>
      <c r="J2559" s="28" t="n">
        <v>46059</v>
      </c>
      <c r="K2559" s="28" t="n">
        <v>46085</v>
      </c>
      <c r="L2559" t="inlineStr">
        <is>
          <t>Sin respuesta tras 3 contactos</t>
        </is>
      </c>
    </row>
    <row r="2560">
      <c r="A2560" t="inlineStr">
        <is>
          <t>CLI-2558</t>
        </is>
      </c>
      <c r="B2560" t="inlineStr">
        <is>
          <t>Liliana Restrepo Salcedo</t>
        </is>
      </c>
      <c r="C2560" t="inlineStr">
        <is>
          <t>3004392021</t>
        </is>
      </c>
      <c r="D2560" t="inlineStr">
        <is>
          <t>liliana.restrepo73@gmail.com</t>
        </is>
      </c>
      <c r="E2560" t="inlineStr">
        <is>
          <t>Bello</t>
        </is>
      </c>
      <c r="F2560" t="inlineStr">
        <is>
          <t>PRY-005</t>
        </is>
      </c>
      <c r="G2560" t="inlineStr">
        <is>
          <t>Feria Inmobiliaria</t>
        </is>
      </c>
      <c r="H2560" t="inlineStr">
        <is>
          <t>Santiago Muñoz</t>
        </is>
      </c>
      <c r="I2560" t="inlineStr">
        <is>
          <t>Perdido</t>
        </is>
      </c>
      <c r="J2560" s="28" t="n">
        <v>46059</v>
      </c>
      <c r="K2560" s="28" t="n">
        <v>46073</v>
      </c>
      <c r="L2560" t="inlineStr">
        <is>
          <t>Sin respuesta tras 3 contactos</t>
        </is>
      </c>
    </row>
    <row r="2561">
      <c r="A2561" t="inlineStr">
        <is>
          <t>CLI-2559</t>
        </is>
      </c>
      <c r="B2561" t="inlineStr">
        <is>
          <t>Alejandra Londoño Correa</t>
        </is>
      </c>
      <c r="C2561" t="inlineStr">
        <is>
          <t>3103563091</t>
        </is>
      </c>
      <c r="D2561" t="inlineStr">
        <is>
          <t>alejandra.londono25@hotmail.com</t>
        </is>
      </c>
      <c r="E2561" t="inlineStr">
        <is>
          <t>La Estrella</t>
        </is>
      </c>
      <c r="F2561" t="inlineStr">
        <is>
          <t>PRY-005</t>
        </is>
      </c>
      <c r="G2561" t="inlineStr">
        <is>
          <t>Facebook</t>
        </is>
      </c>
      <c r="H2561" t="inlineStr">
        <is>
          <t>Santiago Muñoz</t>
        </is>
      </c>
      <c r="I2561" t="inlineStr">
        <is>
          <t>Perdido</t>
        </is>
      </c>
      <c r="J2561" s="28" t="n">
        <v>46059</v>
      </c>
      <c r="K2561" s="28" t="n">
        <v>46076</v>
      </c>
      <c r="L2561" t="inlineStr">
        <is>
          <t>Buscaba arriendo, no compra</t>
        </is>
      </c>
    </row>
    <row r="2562">
      <c r="A2562" t="inlineStr">
        <is>
          <t>CLI-2560</t>
        </is>
      </c>
      <c r="B2562" t="inlineStr">
        <is>
          <t>Jorge Uribe Correa</t>
        </is>
      </c>
      <c r="C2562" t="inlineStr">
        <is>
          <t>3131923272</t>
        </is>
      </c>
      <c r="D2562" t="inlineStr">
        <is>
          <t>jorge.uribe21@yahoo.com</t>
        </is>
      </c>
      <c r="E2562" t="inlineStr">
        <is>
          <t>Itagüí</t>
        </is>
      </c>
      <c r="F2562" t="inlineStr">
        <is>
          <t>PRY-008</t>
        </is>
      </c>
      <c r="G2562" t="inlineStr">
        <is>
          <t>Portal Web</t>
        </is>
      </c>
      <c r="H2562" t="inlineStr">
        <is>
          <t>Juliana Vélez</t>
        </is>
      </c>
      <c r="I2562" t="inlineStr">
        <is>
          <t>Perdido</t>
        </is>
      </c>
      <c r="J2562" s="28" t="n">
        <v>46060</v>
      </c>
      <c r="K2562" s="28" t="n">
        <v>46086</v>
      </c>
      <c r="L2562" t="inlineStr">
        <is>
          <t>Precio fuera de presupuesto</t>
        </is>
      </c>
    </row>
    <row r="2563">
      <c r="A2563" t="inlineStr">
        <is>
          <t>CLI-2561</t>
        </is>
      </c>
      <c r="B2563" t="inlineStr">
        <is>
          <t>Emilio Ochoa Salcedo</t>
        </is>
      </c>
      <c r="C2563" t="inlineStr">
        <is>
          <t>3047241434</t>
        </is>
      </c>
      <c r="D2563" t="inlineStr">
        <is>
          <t>emilio.ochoa28@hotmail.com</t>
        </is>
      </c>
      <c r="E2563" t="inlineStr">
        <is>
          <t>Sabaneta</t>
        </is>
      </c>
      <c r="F2563" t="inlineStr">
        <is>
          <t>PRY-007</t>
        </is>
      </c>
      <c r="G2563" t="inlineStr">
        <is>
          <t>Referido</t>
        </is>
      </c>
      <c r="H2563" t="inlineStr">
        <is>
          <t>Andrés Torres</t>
        </is>
      </c>
      <c r="I2563" t="inlineStr">
        <is>
          <t>Ganado</t>
        </is>
      </c>
      <c r="J2563" s="28" t="n">
        <v>46060</v>
      </c>
      <c r="K2563" s="28" t="n">
        <v>46142</v>
      </c>
      <c r="L2563" t="inlineStr">
        <is>
          <t>Compró Apto 505 en Mirador de Envigado</t>
        </is>
      </c>
    </row>
    <row r="2564">
      <c r="A2564" t="inlineStr">
        <is>
          <t>CLI-2562</t>
        </is>
      </c>
      <c r="B2564" t="inlineStr">
        <is>
          <t>Julián Londoño Correa</t>
        </is>
      </c>
      <c r="C2564" t="inlineStr">
        <is>
          <t>3155743059</t>
        </is>
      </c>
      <c r="D2564" t="inlineStr">
        <is>
          <t>julian.londono63@gmail.com</t>
        </is>
      </c>
      <c r="E2564" t="inlineStr">
        <is>
          <t>Medellín</t>
        </is>
      </c>
      <c r="F2564" t="inlineStr">
        <is>
          <t>PRY-003</t>
        </is>
      </c>
      <c r="G2564" t="inlineStr">
        <is>
          <t>Portal Web</t>
        </is>
      </c>
      <c r="H2564" t="inlineStr">
        <is>
          <t>Luis Bedoya</t>
        </is>
      </c>
      <c r="I2564" t="inlineStr">
        <is>
          <t>Ganado</t>
        </is>
      </c>
      <c r="J2564" s="28" t="n">
        <v>46060</v>
      </c>
      <c r="K2564" s="28" t="n">
        <v>46148</v>
      </c>
      <c r="L2564" t="inlineStr">
        <is>
          <t>Compró Apto 405 en Conecta Laureles</t>
        </is>
      </c>
    </row>
    <row r="2565">
      <c r="A2565" t="inlineStr">
        <is>
          <t>CLI-2563</t>
        </is>
      </c>
      <c r="B2565" t="inlineStr">
        <is>
          <t>Wilson Osorio Pérez</t>
        </is>
      </c>
      <c r="C2565" t="inlineStr">
        <is>
          <t>3242145818</t>
        </is>
      </c>
      <c r="D2565" t="inlineStr">
        <is>
          <t>wilson.osorio43@yahoo.com</t>
        </is>
      </c>
      <c r="E2565" t="inlineStr">
        <is>
          <t>Medellín</t>
        </is>
      </c>
      <c r="F2565" t="inlineStr">
        <is>
          <t>PRY-001</t>
        </is>
      </c>
      <c r="G2565" t="inlineStr">
        <is>
          <t>Referido</t>
        </is>
      </c>
      <c r="H2565" t="inlineStr">
        <is>
          <t>Sofía Prada</t>
        </is>
      </c>
      <c r="I2565" t="inlineStr">
        <is>
          <t>Perdido</t>
        </is>
      </c>
      <c r="J2565" s="28" t="n">
        <v>46060</v>
      </c>
      <c r="K2565" s="28" t="n">
        <v>46151</v>
      </c>
      <c r="L2565" t="inlineStr">
        <is>
          <t>Precio fuera de presupuesto</t>
        </is>
      </c>
    </row>
    <row r="2566">
      <c r="A2566" t="inlineStr">
        <is>
          <t>CLI-2564</t>
        </is>
      </c>
      <c r="B2566" t="inlineStr">
        <is>
          <t>Cristian Espinosa Mejía</t>
        </is>
      </c>
      <c r="C2566" t="inlineStr">
        <is>
          <t>3201400013</t>
        </is>
      </c>
      <c r="D2566" t="inlineStr">
        <is>
          <t>cristian.espinosa48@yahoo.com</t>
        </is>
      </c>
      <c r="E2566" t="inlineStr">
        <is>
          <t>Rionegro</t>
        </is>
      </c>
      <c r="F2566" t="inlineStr">
        <is>
          <t>PRY-005</t>
        </is>
      </c>
      <c r="G2566" t="inlineStr">
        <is>
          <t>Referido</t>
        </is>
      </c>
      <c r="H2566" t="inlineStr">
        <is>
          <t>Paula Arenas</t>
        </is>
      </c>
      <c r="I2566" t="inlineStr">
        <is>
          <t>Ganado</t>
        </is>
      </c>
      <c r="J2566" s="28" t="n">
        <v>46061</v>
      </c>
      <c r="K2566" s="28" t="n">
        <v>46202</v>
      </c>
      <c r="L2566" t="inlineStr">
        <is>
          <t>Compró Casa 49 en Ciudadela Rionegro</t>
        </is>
      </c>
    </row>
    <row r="2567">
      <c r="A2567" t="inlineStr">
        <is>
          <t>CLI-2565</t>
        </is>
      </c>
      <c r="B2567" t="inlineStr">
        <is>
          <t>Ximena Valencia Cifuentes</t>
        </is>
      </c>
      <c r="C2567" t="inlineStr">
        <is>
          <t>3004107383</t>
        </is>
      </c>
      <c r="D2567" t="inlineStr">
        <is>
          <t>ximena.valencia78@yahoo.com</t>
        </is>
      </c>
      <c r="E2567" t="inlineStr">
        <is>
          <t>Medellín</t>
        </is>
      </c>
      <c r="F2567" t="inlineStr">
        <is>
          <t>PRY-003</t>
        </is>
      </c>
      <c r="G2567" t="inlineStr">
        <is>
          <t>Referido</t>
        </is>
      </c>
      <c r="H2567" t="inlineStr">
        <is>
          <t>Ana Quintero</t>
        </is>
      </c>
      <c r="I2567" t="inlineStr">
        <is>
          <t>Perdido</t>
        </is>
      </c>
      <c r="J2567" s="28" t="n">
        <v>46061</v>
      </c>
      <c r="K2567" s="28" t="n">
        <v>46162</v>
      </c>
      <c r="L2567" t="inlineStr">
        <is>
          <t>Precio fuera de presupuesto</t>
        </is>
      </c>
    </row>
    <row r="2568">
      <c r="A2568" t="inlineStr">
        <is>
          <t>CLI-2566</t>
        </is>
      </c>
      <c r="B2568" t="inlineStr">
        <is>
          <t>Ximena Cardona Mejía</t>
        </is>
      </c>
      <c r="C2568" t="inlineStr">
        <is>
          <t>3228112890</t>
        </is>
      </c>
      <c r="D2568" t="inlineStr">
        <is>
          <t>ximena.cardona19@outlook.com</t>
        </is>
      </c>
      <c r="E2568" t="inlineStr">
        <is>
          <t>Medellín</t>
        </is>
      </c>
      <c r="F2568" t="inlineStr">
        <is>
          <t>PRY-001</t>
        </is>
      </c>
      <c r="G2568" t="inlineStr">
        <is>
          <t>Portal Web</t>
        </is>
      </c>
      <c r="H2568" t="inlineStr">
        <is>
          <t>Ana Quintero</t>
        </is>
      </c>
      <c r="I2568" t="inlineStr">
        <is>
          <t>Ganado</t>
        </is>
      </c>
      <c r="J2568" s="28" t="n">
        <v>46061</v>
      </c>
      <c r="K2568" s="28" t="n">
        <v>46219</v>
      </c>
      <c r="L2568" t="inlineStr">
        <is>
          <t>Compró Apto 1303 en Torres del Poblado</t>
        </is>
      </c>
    </row>
    <row r="2569">
      <c r="A2569" t="inlineStr">
        <is>
          <t>CLI-2567</t>
        </is>
      </c>
      <c r="B2569" t="inlineStr">
        <is>
          <t>Verónica Betancur Henao</t>
        </is>
      </c>
      <c r="C2569" t="inlineStr">
        <is>
          <t>3141908257</t>
        </is>
      </c>
      <c r="D2569" t="inlineStr">
        <is>
          <t>veronica.betancur62@yahoo.com</t>
        </is>
      </c>
      <c r="E2569" t="inlineStr">
        <is>
          <t>Envigado</t>
        </is>
      </c>
      <c r="F2569" t="inlineStr">
        <is>
          <t>PRY-007</t>
        </is>
      </c>
      <c r="G2569" t="inlineStr">
        <is>
          <t>Feria Inmobiliaria</t>
        </is>
      </c>
      <c r="H2569" t="inlineStr">
        <is>
          <t>Andrés Torres</t>
        </is>
      </c>
      <c r="I2569" t="inlineStr">
        <is>
          <t>Perdido</t>
        </is>
      </c>
      <c r="J2569" s="28" t="n">
        <v>46061</v>
      </c>
      <c r="K2569" s="28" t="n">
        <v>46079</v>
      </c>
      <c r="L2569" t="inlineStr">
        <is>
          <t>Sin respuesta tras 3 contactos</t>
        </is>
      </c>
    </row>
    <row r="2570">
      <c r="A2570" t="inlineStr">
        <is>
          <t>CLI-2568</t>
        </is>
      </c>
      <c r="B2570" t="inlineStr">
        <is>
          <t>Valentina Escobar Hernández</t>
        </is>
      </c>
      <c r="C2570" t="inlineStr">
        <is>
          <t>3137741075</t>
        </is>
      </c>
      <c r="D2570" t="inlineStr">
        <is>
          <t>valentina.escobar15@outlook.com</t>
        </is>
      </c>
      <c r="E2570" t="inlineStr">
        <is>
          <t>Itagüí</t>
        </is>
      </c>
      <c r="F2570" t="inlineStr">
        <is>
          <t>PRY-008</t>
        </is>
      </c>
      <c r="G2570" t="inlineStr">
        <is>
          <t>Llamada directa</t>
        </is>
      </c>
      <c r="H2570" t="inlineStr">
        <is>
          <t>Sofía Prada</t>
        </is>
      </c>
      <c r="I2570" t="inlineStr">
        <is>
          <t>Perdido</t>
        </is>
      </c>
      <c r="J2570" s="28" t="n">
        <v>46061</v>
      </c>
      <c r="K2570" s="28" t="n">
        <v>46076</v>
      </c>
      <c r="L2570" t="inlineStr">
        <is>
          <t>Sin respuesta tras 3 contactos</t>
        </is>
      </c>
    </row>
    <row r="2571">
      <c r="A2571" t="inlineStr">
        <is>
          <t>CLI-2569</t>
        </is>
      </c>
      <c r="B2571" t="inlineStr">
        <is>
          <t>Hernán Vásquez Palacio</t>
        </is>
      </c>
      <c r="C2571" t="inlineStr">
        <is>
          <t>3146730599</t>
        </is>
      </c>
      <c r="D2571" t="inlineStr">
        <is>
          <t>hernan.vasquez61@hotmail.com</t>
        </is>
      </c>
      <c r="E2571" t="inlineStr">
        <is>
          <t>Envigado</t>
        </is>
      </c>
      <c r="F2571" t="inlineStr">
        <is>
          <t>PRY-001</t>
        </is>
      </c>
      <c r="G2571" t="inlineStr">
        <is>
          <t>Feria Inmobiliaria</t>
        </is>
      </c>
      <c r="H2571" t="inlineStr">
        <is>
          <t>Sofía Prada</t>
        </is>
      </c>
      <c r="I2571" t="inlineStr">
        <is>
          <t>Perdido</t>
        </is>
      </c>
      <c r="J2571" s="28" t="n">
        <v>46061</v>
      </c>
      <c r="K2571" s="28" t="n">
        <v>46080</v>
      </c>
      <c r="L2571" t="inlineStr">
        <is>
          <t>Presupuesto insuficiente</t>
        </is>
      </c>
    </row>
    <row r="2572">
      <c r="A2572" t="inlineStr">
        <is>
          <t>CLI-2570</t>
        </is>
      </c>
      <c r="B2572" t="inlineStr">
        <is>
          <t>Luisa Ramírez Ochoa</t>
        </is>
      </c>
      <c r="C2572" t="inlineStr">
        <is>
          <t>3002486819</t>
        </is>
      </c>
      <c r="D2572" t="inlineStr">
        <is>
          <t>luisa.ramirez88@gmail.com</t>
        </is>
      </c>
      <c r="E2572" t="inlineStr">
        <is>
          <t>Bello</t>
        </is>
      </c>
      <c r="F2572" t="inlineStr">
        <is>
          <t>PRY-006</t>
        </is>
      </c>
      <c r="G2572" t="inlineStr">
        <is>
          <t>Portal Web</t>
        </is>
      </c>
      <c r="H2572" t="inlineStr">
        <is>
          <t>Ana Quintero</t>
        </is>
      </c>
      <c r="I2572" t="inlineStr">
        <is>
          <t>Perdido</t>
        </is>
      </c>
      <c r="J2572" s="28" t="n">
        <v>46062</v>
      </c>
      <c r="K2572" s="28" t="n">
        <v>46079</v>
      </c>
      <c r="L2572" t="inlineStr">
        <is>
          <t>Presupuesto insuficiente</t>
        </is>
      </c>
    </row>
    <row r="2573">
      <c r="A2573" t="inlineStr">
        <is>
          <t>CLI-2571</t>
        </is>
      </c>
      <c r="B2573" t="inlineStr">
        <is>
          <t>Liliana Cano Zuluaga</t>
        </is>
      </c>
      <c r="C2573" t="inlineStr">
        <is>
          <t>3156730765</t>
        </is>
      </c>
      <c r="D2573" t="inlineStr">
        <is>
          <t>liliana.cano97@yahoo.com</t>
        </is>
      </c>
      <c r="E2573" t="inlineStr">
        <is>
          <t>Medellín</t>
        </is>
      </c>
      <c r="F2573" t="inlineStr">
        <is>
          <t>PRY-001</t>
        </is>
      </c>
      <c r="G2573" t="inlineStr">
        <is>
          <t>Llamada directa</t>
        </is>
      </c>
      <c r="H2573" t="inlineStr">
        <is>
          <t>Santiago Muñoz</t>
        </is>
      </c>
      <c r="I2573" t="inlineStr">
        <is>
          <t>Perdido</t>
        </is>
      </c>
      <c r="J2573" s="28" t="n">
        <v>46062</v>
      </c>
      <c r="K2573" s="28" t="n">
        <v>46073</v>
      </c>
      <c r="L2573" t="inlineStr">
        <is>
          <t>Sin respuesta tras 3 contactos</t>
        </is>
      </c>
    </row>
    <row r="2574">
      <c r="A2574" t="inlineStr">
        <is>
          <t>CLI-2572</t>
        </is>
      </c>
      <c r="B2574" t="inlineStr">
        <is>
          <t>Manuela Arango Arango</t>
        </is>
      </c>
      <c r="C2574" t="inlineStr">
        <is>
          <t>3143709277</t>
        </is>
      </c>
      <c r="D2574" t="inlineStr">
        <is>
          <t>manuela.arango40@yahoo.com</t>
        </is>
      </c>
      <c r="E2574" t="inlineStr">
        <is>
          <t>Rionegro</t>
        </is>
      </c>
      <c r="F2574" t="inlineStr">
        <is>
          <t>PRY-007</t>
        </is>
      </c>
      <c r="G2574" t="inlineStr">
        <is>
          <t>Portal Web</t>
        </is>
      </c>
      <c r="H2574" t="inlineStr">
        <is>
          <t>Paula Arenas</t>
        </is>
      </c>
      <c r="I2574" t="inlineStr">
        <is>
          <t>Perdido</t>
        </is>
      </c>
      <c r="J2574" s="28" t="n">
        <v>46062</v>
      </c>
      <c r="K2574" s="28" t="n">
        <v>46091</v>
      </c>
      <c r="L2574" t="inlineStr">
        <is>
          <t>Sin respuesta tras 3 contactos</t>
        </is>
      </c>
    </row>
    <row r="2575">
      <c r="A2575" t="inlineStr">
        <is>
          <t>CLI-2573</t>
        </is>
      </c>
      <c r="B2575" t="inlineStr">
        <is>
          <t>Liliana Espinosa Toro</t>
        </is>
      </c>
      <c r="C2575" t="inlineStr">
        <is>
          <t>3132406585</t>
        </is>
      </c>
      <c r="D2575" t="inlineStr">
        <is>
          <t>liliana.espinosa94@gmail.com</t>
        </is>
      </c>
      <c r="E2575" t="inlineStr">
        <is>
          <t>Envigado</t>
        </is>
      </c>
      <c r="F2575" t="inlineStr">
        <is>
          <t>PRY-008</t>
        </is>
      </c>
      <c r="G2575" t="inlineStr">
        <is>
          <t>Facebook</t>
        </is>
      </c>
      <c r="H2575" t="inlineStr">
        <is>
          <t>Ana Quintero</t>
        </is>
      </c>
      <c r="I2575" t="inlineStr">
        <is>
          <t>Perdido</t>
        </is>
      </c>
      <c r="J2575" s="28" t="n">
        <v>46062</v>
      </c>
      <c r="K2575" s="28" t="n">
        <v>46081</v>
      </c>
      <c r="L2575" t="inlineStr">
        <is>
          <t>Buscaba arriendo, no compra</t>
        </is>
      </c>
    </row>
    <row r="2576">
      <c r="A2576" t="inlineStr">
        <is>
          <t>CLI-2574</t>
        </is>
      </c>
      <c r="B2576" t="inlineStr">
        <is>
          <t>Ximena López Gaviria</t>
        </is>
      </c>
      <c r="C2576" t="inlineStr">
        <is>
          <t>3131475231</t>
        </is>
      </c>
      <c r="D2576" t="inlineStr">
        <is>
          <t>ximena.lopez37@yahoo.com</t>
        </is>
      </c>
      <c r="E2576" t="inlineStr">
        <is>
          <t>Rionegro</t>
        </is>
      </c>
      <c r="F2576" t="inlineStr">
        <is>
          <t>PRY-008</t>
        </is>
      </c>
      <c r="G2576" t="inlineStr">
        <is>
          <t>Referido</t>
        </is>
      </c>
      <c r="H2576" t="inlineStr">
        <is>
          <t>Mateo Herrera</t>
        </is>
      </c>
      <c r="I2576" t="inlineStr">
        <is>
          <t>Perdido</t>
        </is>
      </c>
      <c r="J2576" s="28" t="n">
        <v>46063</v>
      </c>
      <c r="K2576" s="28" t="n">
        <v>46069</v>
      </c>
      <c r="L2576" t="inlineStr">
        <is>
          <t>No calificó para crédito</t>
        </is>
      </c>
    </row>
    <row r="2577">
      <c r="A2577" t="inlineStr">
        <is>
          <t>CLI-2575</t>
        </is>
      </c>
      <c r="B2577" t="inlineStr">
        <is>
          <t>Julián Agudelo Jaramillo</t>
        </is>
      </c>
      <c r="C2577" t="inlineStr">
        <is>
          <t>3207664079</t>
        </is>
      </c>
      <c r="D2577" t="inlineStr">
        <is>
          <t>julian.agudelo7@hotmail.com</t>
        </is>
      </c>
      <c r="E2577" t="inlineStr">
        <is>
          <t>Rionegro</t>
        </is>
      </c>
      <c r="F2577" t="inlineStr">
        <is>
          <t>PRY-008</t>
        </is>
      </c>
      <c r="G2577" t="inlineStr">
        <is>
          <t>Llamada directa</t>
        </is>
      </c>
      <c r="H2577" t="inlineStr">
        <is>
          <t>Andrés Torres</t>
        </is>
      </c>
      <c r="I2577" t="inlineStr">
        <is>
          <t>Perdido</t>
        </is>
      </c>
      <c r="J2577" s="28" t="n">
        <v>46063</v>
      </c>
      <c r="K2577" s="28" t="n">
        <v>46071</v>
      </c>
      <c r="L2577" t="inlineStr">
        <is>
          <t>No calificó para crédito</t>
        </is>
      </c>
    </row>
    <row r="2578">
      <c r="A2578" t="inlineStr">
        <is>
          <t>CLI-2576</t>
        </is>
      </c>
      <c r="B2578" t="inlineStr">
        <is>
          <t>Andrés Jaramillo Correa</t>
        </is>
      </c>
      <c r="C2578" t="inlineStr">
        <is>
          <t>3146169064</t>
        </is>
      </c>
      <c r="D2578" t="inlineStr">
        <is>
          <t>andres.jaramillo37@yahoo.com</t>
        </is>
      </c>
      <c r="E2578" t="inlineStr">
        <is>
          <t>Itagüí</t>
        </is>
      </c>
      <c r="F2578" t="inlineStr">
        <is>
          <t>PRY-008</t>
        </is>
      </c>
      <c r="G2578" t="inlineStr">
        <is>
          <t>Llamada directa</t>
        </is>
      </c>
      <c r="H2578" t="inlineStr">
        <is>
          <t>Ana Quintero</t>
        </is>
      </c>
      <c r="I2578" t="inlineStr">
        <is>
          <t>Perdido</t>
        </is>
      </c>
      <c r="J2578" s="28" t="n">
        <v>46063</v>
      </c>
      <c r="K2578" s="28" t="n">
        <v>46084</v>
      </c>
      <c r="L2578" t="inlineStr">
        <is>
          <t>Presupuesto insuficiente</t>
        </is>
      </c>
    </row>
    <row r="2579">
      <c r="A2579" t="inlineStr">
        <is>
          <t>CLI-2577</t>
        </is>
      </c>
      <c r="B2579" t="inlineStr">
        <is>
          <t>Sebastián Higuita Valencia</t>
        </is>
      </c>
      <c r="C2579" t="inlineStr">
        <is>
          <t>3008190627</t>
        </is>
      </c>
      <c r="D2579" t="inlineStr">
        <is>
          <t>sebastian.higuita15@yahoo.com</t>
        </is>
      </c>
      <c r="E2579" t="inlineStr">
        <is>
          <t>Sabaneta</t>
        </is>
      </c>
      <c r="F2579" t="inlineStr">
        <is>
          <t>PRY-005</t>
        </is>
      </c>
      <c r="G2579" t="inlineStr">
        <is>
          <t>Llamada directa</t>
        </is>
      </c>
      <c r="H2579" t="inlineStr">
        <is>
          <t>Luis Bedoya</t>
        </is>
      </c>
      <c r="I2579" t="inlineStr">
        <is>
          <t>Ganado</t>
        </is>
      </c>
      <c r="J2579" s="28" t="n">
        <v>46064</v>
      </c>
      <c r="K2579" s="28" t="n">
        <v>46200</v>
      </c>
      <c r="L2579" t="inlineStr">
        <is>
          <t>Compró Apto 1205 en Ciudadela Rionegro</t>
        </is>
      </c>
    </row>
    <row r="2580">
      <c r="A2580" t="inlineStr">
        <is>
          <t>CLI-2578</t>
        </is>
      </c>
      <c r="B2580" t="inlineStr">
        <is>
          <t>Hernán Arango Ríos</t>
        </is>
      </c>
      <c r="C2580" t="inlineStr">
        <is>
          <t>3134619305</t>
        </is>
      </c>
      <c r="D2580" t="inlineStr">
        <is>
          <t>hernan.arango44@outlook.com</t>
        </is>
      </c>
      <c r="E2580" t="inlineStr">
        <is>
          <t>La Estrella</t>
        </is>
      </c>
      <c r="F2580" t="inlineStr">
        <is>
          <t>PRY-003</t>
        </is>
      </c>
      <c r="G2580" t="inlineStr">
        <is>
          <t>Facebook</t>
        </is>
      </c>
      <c r="H2580" t="inlineStr">
        <is>
          <t>Andrés Torres</t>
        </is>
      </c>
      <c r="I2580" t="inlineStr">
        <is>
          <t>Perdido</t>
        </is>
      </c>
      <c r="J2580" s="28" t="n">
        <v>46064</v>
      </c>
      <c r="K2580" s="28" t="n">
        <v>46070</v>
      </c>
      <c r="L2580" t="inlineStr">
        <is>
          <t>Sin respuesta tras 3 contactos</t>
        </is>
      </c>
    </row>
    <row r="2581">
      <c r="A2581" t="inlineStr">
        <is>
          <t>CLI-2579</t>
        </is>
      </c>
      <c r="B2581" t="inlineStr">
        <is>
          <t>Sara Gaviria Salazar</t>
        </is>
      </c>
      <c r="C2581" t="inlineStr">
        <is>
          <t>3101458448</t>
        </is>
      </c>
      <c r="D2581" t="inlineStr">
        <is>
          <t>sara.gaviria87@yahoo.com</t>
        </is>
      </c>
      <c r="E2581" t="inlineStr">
        <is>
          <t>Medellín</t>
        </is>
      </c>
      <c r="F2581" t="inlineStr">
        <is>
          <t>PRY-002</t>
        </is>
      </c>
      <c r="G2581" t="inlineStr">
        <is>
          <t>Instagram</t>
        </is>
      </c>
      <c r="H2581" t="inlineStr">
        <is>
          <t>Miguel Salazar</t>
        </is>
      </c>
      <c r="I2581" t="inlineStr">
        <is>
          <t>Perdido</t>
        </is>
      </c>
      <c r="J2581" s="28" t="n">
        <v>46064</v>
      </c>
      <c r="K2581" s="28" t="n">
        <v>46086</v>
      </c>
      <c r="L2581" t="inlineStr">
        <is>
          <t>Sin respuesta tras 3 contactos</t>
        </is>
      </c>
    </row>
    <row r="2582">
      <c r="A2582" t="inlineStr">
        <is>
          <t>CLI-2580</t>
        </is>
      </c>
      <c r="B2582" t="inlineStr">
        <is>
          <t>Rodrigo Bedoya López</t>
        </is>
      </c>
      <c r="C2582" t="inlineStr">
        <is>
          <t>3017176331</t>
        </is>
      </c>
      <c r="D2582" t="inlineStr">
        <is>
          <t>rodrigo.bedoya58@gmail.com</t>
        </is>
      </c>
      <c r="E2582" t="inlineStr">
        <is>
          <t>Envigado</t>
        </is>
      </c>
      <c r="F2582" t="inlineStr">
        <is>
          <t>PRY-007</t>
        </is>
      </c>
      <c r="G2582" t="inlineStr">
        <is>
          <t>Facebook</t>
        </is>
      </c>
      <c r="H2582" t="inlineStr">
        <is>
          <t>Miguel Salazar</t>
        </is>
      </c>
      <c r="I2582" t="inlineStr">
        <is>
          <t>Perdido</t>
        </is>
      </c>
      <c r="J2582" s="28" t="n">
        <v>46065</v>
      </c>
      <c r="K2582" s="28" t="n">
        <v>46083</v>
      </c>
      <c r="L2582" t="inlineStr">
        <is>
          <t>Presupuesto insuficiente</t>
        </is>
      </c>
    </row>
    <row r="2583">
      <c r="A2583" t="inlineStr">
        <is>
          <t>CLI-2581</t>
        </is>
      </c>
      <c r="B2583" t="inlineStr">
        <is>
          <t>Felipe Vásquez Vélez</t>
        </is>
      </c>
      <c r="C2583" t="inlineStr">
        <is>
          <t>3014074010</t>
        </is>
      </c>
      <c r="D2583" t="inlineStr">
        <is>
          <t>felipe.vasquez28@gmail.com</t>
        </is>
      </c>
      <c r="E2583" t="inlineStr">
        <is>
          <t>La Estrella</t>
        </is>
      </c>
      <c r="F2583" t="inlineStr">
        <is>
          <t>PRY-005</t>
        </is>
      </c>
      <c r="G2583" t="inlineStr">
        <is>
          <t>Facebook</t>
        </is>
      </c>
      <c r="H2583" t="inlineStr">
        <is>
          <t>Sofía Prada</t>
        </is>
      </c>
      <c r="I2583" t="inlineStr">
        <is>
          <t>Perdido</t>
        </is>
      </c>
      <c r="J2583" s="28" t="n">
        <v>46065</v>
      </c>
      <c r="K2583" s="28" t="n">
        <v>46071</v>
      </c>
      <c r="L2583" t="inlineStr">
        <is>
          <t>Presupuesto insuficiente</t>
        </is>
      </c>
    </row>
    <row r="2584">
      <c r="A2584" t="inlineStr">
        <is>
          <t>CLI-2582</t>
        </is>
      </c>
      <c r="B2584" t="inlineStr">
        <is>
          <t>Liliana Gómez Gaviria</t>
        </is>
      </c>
      <c r="C2584" t="inlineStr">
        <is>
          <t>3238317548</t>
        </is>
      </c>
      <c r="D2584" t="inlineStr">
        <is>
          <t>liliana.gomez90@yahoo.com</t>
        </is>
      </c>
      <c r="E2584" t="inlineStr">
        <is>
          <t>La Estrella</t>
        </is>
      </c>
      <c r="F2584" t="inlineStr">
        <is>
          <t>PRY-008</t>
        </is>
      </c>
      <c r="G2584" t="inlineStr">
        <is>
          <t>Portal Web</t>
        </is>
      </c>
      <c r="H2584" t="inlineStr">
        <is>
          <t>Miguel Salazar</t>
        </is>
      </c>
      <c r="I2584" t="inlineStr">
        <is>
          <t>Perdido</t>
        </is>
      </c>
      <c r="J2584" s="28" t="n">
        <v>46065</v>
      </c>
      <c r="K2584" s="28" t="n">
        <v>46088</v>
      </c>
      <c r="L2584" t="inlineStr">
        <is>
          <t>No calificó para crédito</t>
        </is>
      </c>
    </row>
    <row r="2585">
      <c r="A2585" t="inlineStr">
        <is>
          <t>CLI-2583</t>
        </is>
      </c>
      <c r="B2585" t="inlineStr">
        <is>
          <t>Nicolás Echeverri Osorio</t>
        </is>
      </c>
      <c r="C2585" t="inlineStr">
        <is>
          <t>3175758799</t>
        </is>
      </c>
      <c r="D2585" t="inlineStr">
        <is>
          <t>nicolas.echeverri82@yahoo.com</t>
        </is>
      </c>
      <c r="E2585" t="inlineStr">
        <is>
          <t>Medellín</t>
        </is>
      </c>
      <c r="F2585" t="inlineStr">
        <is>
          <t>PRY-008</t>
        </is>
      </c>
      <c r="G2585" t="inlineStr">
        <is>
          <t>Facebook</t>
        </is>
      </c>
      <c r="H2585" t="inlineStr">
        <is>
          <t>Paula Arenas</t>
        </is>
      </c>
      <c r="I2585" t="inlineStr">
        <is>
          <t>Ganado</t>
        </is>
      </c>
      <c r="J2585" s="28" t="n">
        <v>46066</v>
      </c>
      <c r="K2585" s="28" t="n">
        <v>46139</v>
      </c>
      <c r="L2585" t="inlineStr">
        <is>
          <t>Compró Casa 41 en Valle Verde Itagüí</t>
        </is>
      </c>
    </row>
    <row r="2586">
      <c r="A2586" t="inlineStr">
        <is>
          <t>CLI-2584</t>
        </is>
      </c>
      <c r="B2586" t="inlineStr">
        <is>
          <t>Gabriel Espinosa Franco</t>
        </is>
      </c>
      <c r="C2586" t="inlineStr">
        <is>
          <t>3102745031</t>
        </is>
      </c>
      <c r="D2586" t="inlineStr">
        <is>
          <t>gabriel.espinosa44@gmail.com</t>
        </is>
      </c>
      <c r="E2586" t="inlineStr">
        <is>
          <t>Envigado</t>
        </is>
      </c>
      <c r="F2586" t="inlineStr">
        <is>
          <t>PRY-003</t>
        </is>
      </c>
      <c r="G2586" t="inlineStr">
        <is>
          <t>Portal Web</t>
        </is>
      </c>
      <c r="H2586" t="inlineStr">
        <is>
          <t>Miguel Salazar</t>
        </is>
      </c>
      <c r="I2586" t="inlineStr">
        <is>
          <t>Perdido</t>
        </is>
      </c>
      <c r="J2586" s="28" t="n">
        <v>46066</v>
      </c>
      <c r="K2586" s="28" t="n">
        <v>46073</v>
      </c>
      <c r="L2586" t="inlineStr">
        <is>
          <t>Sin respuesta tras 3 contactos</t>
        </is>
      </c>
    </row>
    <row r="2587">
      <c r="A2587" t="inlineStr">
        <is>
          <t>CLI-2585</t>
        </is>
      </c>
      <c r="B2587" t="inlineStr">
        <is>
          <t>Diego Cardona Álvarez</t>
        </is>
      </c>
      <c r="C2587" t="inlineStr">
        <is>
          <t>3229163699</t>
        </is>
      </c>
      <c r="D2587" t="inlineStr">
        <is>
          <t>diego.cardona21@gmail.com</t>
        </is>
      </c>
      <c r="E2587" t="inlineStr">
        <is>
          <t>Medellín</t>
        </is>
      </c>
      <c r="F2587" t="inlineStr">
        <is>
          <t>PRY-001</t>
        </is>
      </c>
      <c r="G2587" t="inlineStr">
        <is>
          <t>Llamada directa</t>
        </is>
      </c>
      <c r="H2587" t="inlineStr">
        <is>
          <t>Sofía Prada</t>
        </is>
      </c>
      <c r="I2587" t="inlineStr">
        <is>
          <t>Perdido</t>
        </is>
      </c>
      <c r="J2587" s="28" t="n">
        <v>46066</v>
      </c>
      <c r="K2587" s="28" t="n">
        <v>46095</v>
      </c>
      <c r="L2587" t="inlineStr">
        <is>
          <t>Presupuesto insuficiente</t>
        </is>
      </c>
    </row>
    <row r="2588">
      <c r="A2588" t="inlineStr">
        <is>
          <t>CLI-2586</t>
        </is>
      </c>
      <c r="B2588" t="inlineStr">
        <is>
          <t>Santiago Quintero Peláez</t>
        </is>
      </c>
      <c r="C2588" t="inlineStr">
        <is>
          <t>3159163325</t>
        </is>
      </c>
      <c r="D2588" t="inlineStr">
        <is>
          <t>santiago.quintero87@yahoo.com</t>
        </is>
      </c>
      <c r="E2588" t="inlineStr">
        <is>
          <t>Bello</t>
        </is>
      </c>
      <c r="F2588" t="inlineStr">
        <is>
          <t>PRY-005</t>
        </is>
      </c>
      <c r="G2588" t="inlineStr">
        <is>
          <t>Portal Web</t>
        </is>
      </c>
      <c r="H2588" t="inlineStr">
        <is>
          <t>Daniela Ríos</t>
        </is>
      </c>
      <c r="I2588" t="inlineStr">
        <is>
          <t>Perdido</t>
        </is>
      </c>
      <c r="J2588" s="28" t="n">
        <v>46066</v>
      </c>
      <c r="K2588" s="28" t="n">
        <v>46083</v>
      </c>
      <c r="L2588" t="inlineStr">
        <is>
          <t>Sin respuesta tras 3 contactos</t>
        </is>
      </c>
    </row>
    <row r="2589">
      <c r="A2589" t="inlineStr">
        <is>
          <t>CLI-2587</t>
        </is>
      </c>
      <c r="B2589" t="inlineStr">
        <is>
          <t>Carlos Restrepo Zuluaga</t>
        </is>
      </c>
      <c r="C2589" t="inlineStr">
        <is>
          <t>3134464858</t>
        </is>
      </c>
      <c r="D2589" t="inlineStr">
        <is>
          <t>carlos.restrepo43@gmail.com</t>
        </is>
      </c>
      <c r="E2589" t="inlineStr">
        <is>
          <t>La Estrella</t>
        </is>
      </c>
      <c r="F2589" t="inlineStr">
        <is>
          <t>PRY-006</t>
        </is>
      </c>
      <c r="G2589" t="inlineStr">
        <is>
          <t>Facebook</t>
        </is>
      </c>
      <c r="H2589" t="inlineStr">
        <is>
          <t>Luis Bedoya</t>
        </is>
      </c>
      <c r="I2589" t="inlineStr">
        <is>
          <t>Perdido</t>
        </is>
      </c>
      <c r="J2589" s="28" t="n">
        <v>46066</v>
      </c>
      <c r="K2589" s="28" t="n">
        <v>46071</v>
      </c>
      <c r="L2589" t="inlineStr">
        <is>
          <t>No calificó para crédito</t>
        </is>
      </c>
    </row>
    <row r="2590">
      <c r="A2590" t="inlineStr">
        <is>
          <t>CLI-2588</t>
        </is>
      </c>
      <c r="B2590" t="inlineStr">
        <is>
          <t>Sofía Valencia Restrepo</t>
        </is>
      </c>
      <c r="C2590" t="inlineStr">
        <is>
          <t>3048836955</t>
        </is>
      </c>
      <c r="D2590" t="inlineStr">
        <is>
          <t>sofia.valencia14@yahoo.com</t>
        </is>
      </c>
      <c r="E2590" t="inlineStr">
        <is>
          <t>Medellín</t>
        </is>
      </c>
      <c r="F2590" t="inlineStr">
        <is>
          <t>PRY-002</t>
        </is>
      </c>
      <c r="G2590" t="inlineStr">
        <is>
          <t>Referido</t>
        </is>
      </c>
      <c r="H2590" t="inlineStr">
        <is>
          <t>Andrés Torres</t>
        </is>
      </c>
      <c r="I2590" t="inlineStr">
        <is>
          <t>Ganado</t>
        </is>
      </c>
      <c r="J2590" s="28" t="n">
        <v>46067</v>
      </c>
      <c r="K2590" s="28" t="n">
        <v>46198</v>
      </c>
      <c r="L2590" t="inlineStr">
        <is>
          <t>Compró Casa 45 en Reserva Santa Elena</t>
        </is>
      </c>
    </row>
    <row r="2591">
      <c r="A2591" t="inlineStr">
        <is>
          <t>CLI-2589</t>
        </is>
      </c>
      <c r="B2591" t="inlineStr">
        <is>
          <t>Paula Rojas Peláez</t>
        </is>
      </c>
      <c r="C2591" t="inlineStr">
        <is>
          <t>3237637617</t>
        </is>
      </c>
      <c r="D2591" t="inlineStr">
        <is>
          <t>paula.rojas78@yahoo.com</t>
        </is>
      </c>
      <c r="E2591" t="inlineStr">
        <is>
          <t>Medellín</t>
        </is>
      </c>
      <c r="F2591" t="inlineStr">
        <is>
          <t>PRY-003</t>
        </is>
      </c>
      <c r="G2591" t="inlineStr">
        <is>
          <t>Facebook</t>
        </is>
      </c>
      <c r="H2591" t="inlineStr">
        <is>
          <t>Santiago Muñoz</t>
        </is>
      </c>
      <c r="I2591" t="inlineStr">
        <is>
          <t>Perdido</t>
        </is>
      </c>
      <c r="J2591" s="28" t="n">
        <v>46067</v>
      </c>
      <c r="K2591" s="28" t="n">
        <v>46079</v>
      </c>
      <c r="L2591" t="inlineStr">
        <is>
          <t>Presupuesto insuficiente</t>
        </is>
      </c>
    </row>
    <row r="2592">
      <c r="A2592" t="inlineStr">
        <is>
          <t>CLI-2590</t>
        </is>
      </c>
      <c r="B2592" t="inlineStr">
        <is>
          <t>Paola Arango Vargas</t>
        </is>
      </c>
      <c r="C2592" t="inlineStr">
        <is>
          <t>3157340541</t>
        </is>
      </c>
      <c r="D2592" t="inlineStr">
        <is>
          <t>paola.arango80@hotmail.com</t>
        </is>
      </c>
      <c r="E2592" t="inlineStr">
        <is>
          <t>Medellín</t>
        </is>
      </c>
      <c r="F2592" t="inlineStr">
        <is>
          <t>PRY-001</t>
        </is>
      </c>
      <c r="G2592" t="inlineStr">
        <is>
          <t>Llamada directa</t>
        </is>
      </c>
      <c r="H2592" t="inlineStr">
        <is>
          <t>Santiago Muñoz</t>
        </is>
      </c>
      <c r="I2592" t="inlineStr">
        <is>
          <t>Perdido</t>
        </is>
      </c>
      <c r="J2592" s="28" t="n">
        <v>46067</v>
      </c>
      <c r="K2592" s="28" t="n">
        <v>46093</v>
      </c>
      <c r="L2592" t="inlineStr">
        <is>
          <t>Datos de contacto errados</t>
        </is>
      </c>
    </row>
    <row r="2593">
      <c r="A2593" t="inlineStr">
        <is>
          <t>CLI-2591</t>
        </is>
      </c>
      <c r="B2593" t="inlineStr">
        <is>
          <t>Camila Cardona Gómez</t>
        </is>
      </c>
      <c r="C2593" t="inlineStr">
        <is>
          <t>3135763264</t>
        </is>
      </c>
      <c r="D2593" t="inlineStr">
        <is>
          <t>camila.cardona42@outlook.com</t>
        </is>
      </c>
      <c r="E2593" t="inlineStr">
        <is>
          <t>Medellín</t>
        </is>
      </c>
      <c r="F2593" t="inlineStr">
        <is>
          <t>PRY-002</t>
        </is>
      </c>
      <c r="G2593" t="inlineStr">
        <is>
          <t>Instagram</t>
        </is>
      </c>
      <c r="H2593" t="inlineStr">
        <is>
          <t>Andrés Torres</t>
        </is>
      </c>
      <c r="I2593" t="inlineStr">
        <is>
          <t>Perdido</t>
        </is>
      </c>
      <c r="J2593" s="28" t="n">
        <v>46068</v>
      </c>
      <c r="K2593" s="28" t="n">
        <v>46075</v>
      </c>
      <c r="L2593" t="inlineStr">
        <is>
          <t>Sin respuesta tras 3 contactos</t>
        </is>
      </c>
    </row>
    <row r="2594">
      <c r="A2594" t="inlineStr">
        <is>
          <t>CLI-2592</t>
        </is>
      </c>
      <c r="B2594" t="inlineStr">
        <is>
          <t>Alejandra Muñoz Osorio</t>
        </is>
      </c>
      <c r="C2594" t="inlineStr">
        <is>
          <t>3148033851</t>
        </is>
      </c>
      <c r="D2594" t="inlineStr">
        <is>
          <t>alejandra.munoz81@outlook.com</t>
        </is>
      </c>
      <c r="E2594" t="inlineStr">
        <is>
          <t>Medellín</t>
        </is>
      </c>
      <c r="F2594" t="inlineStr">
        <is>
          <t>PRY-001</t>
        </is>
      </c>
      <c r="G2594" t="inlineStr">
        <is>
          <t>Referido</t>
        </is>
      </c>
      <c r="H2594" t="inlineStr">
        <is>
          <t>Luis Bedoya</t>
        </is>
      </c>
      <c r="I2594" t="inlineStr">
        <is>
          <t>Perdido</t>
        </is>
      </c>
      <c r="J2594" s="28" t="n">
        <v>46068</v>
      </c>
      <c r="K2594" s="28" t="n">
        <v>46083</v>
      </c>
      <c r="L2594" t="inlineStr">
        <is>
          <t>No calificó para crédito</t>
        </is>
      </c>
    </row>
    <row r="2595">
      <c r="A2595" t="inlineStr">
        <is>
          <t>CLI-2593</t>
        </is>
      </c>
      <c r="B2595" t="inlineStr">
        <is>
          <t>Felipe Cifuentes Echeverri</t>
        </is>
      </c>
      <c r="C2595" t="inlineStr">
        <is>
          <t>3222120898</t>
        </is>
      </c>
      <c r="D2595" t="inlineStr">
        <is>
          <t>felipe.cifuentes53@yahoo.com</t>
        </is>
      </c>
      <c r="E2595" t="inlineStr">
        <is>
          <t>Medellín</t>
        </is>
      </c>
      <c r="F2595" t="inlineStr">
        <is>
          <t>PRY-003</t>
        </is>
      </c>
      <c r="G2595" t="inlineStr">
        <is>
          <t>Portal Web</t>
        </is>
      </c>
      <c r="H2595" t="inlineStr">
        <is>
          <t>Paula Arenas</t>
        </is>
      </c>
      <c r="I2595" t="inlineStr">
        <is>
          <t>Negociación</t>
        </is>
      </c>
      <c r="J2595" s="28" t="n">
        <v>46069</v>
      </c>
      <c r="K2595" s="28" t="n">
        <v>46216</v>
      </c>
      <c r="L2595" t="inlineStr">
        <is>
          <t>Requiere aprobación de crédito</t>
        </is>
      </c>
    </row>
    <row r="2596">
      <c r="A2596" t="inlineStr">
        <is>
          <t>CLI-2594</t>
        </is>
      </c>
      <c r="B2596" t="inlineStr">
        <is>
          <t>Iván Osorio Montoya</t>
        </is>
      </c>
      <c r="C2596" t="inlineStr">
        <is>
          <t>3048360532</t>
        </is>
      </c>
      <c r="D2596" t="inlineStr">
        <is>
          <t>ivan.osorio49@outlook.com</t>
        </is>
      </c>
      <c r="E2596" t="inlineStr">
        <is>
          <t>Medellín</t>
        </is>
      </c>
      <c r="F2596" t="inlineStr">
        <is>
          <t>PRY-008</t>
        </is>
      </c>
      <c r="G2596" t="inlineStr">
        <is>
          <t>Portal Web</t>
        </is>
      </c>
      <c r="H2596" t="inlineStr">
        <is>
          <t>Juliana Vélez</t>
        </is>
      </c>
      <c r="I2596" t="inlineStr">
        <is>
          <t>Perdido</t>
        </is>
      </c>
      <c r="J2596" s="28" t="n">
        <v>46069</v>
      </c>
      <c r="K2596" s="28" t="n">
        <v>46092</v>
      </c>
      <c r="L2596" t="inlineStr">
        <is>
          <t>No calificó para crédito</t>
        </is>
      </c>
    </row>
    <row r="2597">
      <c r="A2597" t="inlineStr">
        <is>
          <t>CLI-2595</t>
        </is>
      </c>
      <c r="B2597" t="inlineStr">
        <is>
          <t>Nicolás Giraldo Londoño</t>
        </is>
      </c>
      <c r="C2597" t="inlineStr">
        <is>
          <t>3245552020</t>
        </is>
      </c>
      <c r="D2597" t="inlineStr">
        <is>
          <t>nicolas.giraldo23@outlook.com</t>
        </is>
      </c>
      <c r="E2597" t="inlineStr">
        <is>
          <t>Sabaneta</t>
        </is>
      </c>
      <c r="F2597" t="inlineStr">
        <is>
          <t>PRY-002</t>
        </is>
      </c>
      <c r="G2597" t="inlineStr">
        <is>
          <t>Portal Web</t>
        </is>
      </c>
      <c r="H2597" t="inlineStr">
        <is>
          <t>Sofía Prada</t>
        </is>
      </c>
      <c r="I2597" t="inlineStr">
        <is>
          <t>Perdido</t>
        </is>
      </c>
      <c r="J2597" s="28" t="n">
        <v>46070</v>
      </c>
      <c r="K2597" s="28" t="n">
        <v>46088</v>
      </c>
      <c r="L2597" t="inlineStr">
        <is>
          <t>Presupuesto insuficiente</t>
        </is>
      </c>
    </row>
    <row r="2598">
      <c r="A2598" t="inlineStr">
        <is>
          <t>CLI-2596</t>
        </is>
      </c>
      <c r="B2598" t="inlineStr">
        <is>
          <t>Cristian Duque Mejía</t>
        </is>
      </c>
      <c r="C2598" t="inlineStr">
        <is>
          <t>3171745609</t>
        </is>
      </c>
      <c r="D2598" t="inlineStr">
        <is>
          <t>cristian.duque34@gmail.com</t>
        </is>
      </c>
      <c r="E2598" t="inlineStr">
        <is>
          <t>Medellín</t>
        </is>
      </c>
      <c r="F2598" t="inlineStr">
        <is>
          <t>PRY-002</t>
        </is>
      </c>
      <c r="G2598" t="inlineStr">
        <is>
          <t>Instagram</t>
        </is>
      </c>
      <c r="H2598" t="inlineStr">
        <is>
          <t>Miguel Salazar</t>
        </is>
      </c>
      <c r="I2598" t="inlineStr">
        <is>
          <t>Perdido</t>
        </is>
      </c>
      <c r="J2598" s="28" t="n">
        <v>46070</v>
      </c>
      <c r="K2598" s="28" t="n">
        <v>46091</v>
      </c>
      <c r="L2598" t="inlineStr">
        <is>
          <t>Presupuesto insuficiente</t>
        </is>
      </c>
    </row>
    <row r="2599">
      <c r="A2599" t="inlineStr">
        <is>
          <t>CLI-2597</t>
        </is>
      </c>
      <c r="B2599" t="inlineStr">
        <is>
          <t>Luisa Quintero Montoya</t>
        </is>
      </c>
      <c r="C2599" t="inlineStr">
        <is>
          <t>3223339378</t>
        </is>
      </c>
      <c r="D2599" t="inlineStr">
        <is>
          <t>luisa.quintero25@hotmail.com</t>
        </is>
      </c>
      <c r="E2599" t="inlineStr">
        <is>
          <t>Itagüí</t>
        </is>
      </c>
      <c r="F2599" t="inlineStr">
        <is>
          <t>PRY-008</t>
        </is>
      </c>
      <c r="G2599" t="inlineStr">
        <is>
          <t>Facebook</t>
        </is>
      </c>
      <c r="H2599" t="inlineStr">
        <is>
          <t>Luis Bedoya</t>
        </is>
      </c>
      <c r="I2599" t="inlineStr">
        <is>
          <t>Negociación</t>
        </is>
      </c>
      <c r="J2599" s="28" t="n">
        <v>46071</v>
      </c>
      <c r="K2599" s="28" t="n">
        <v>46208</v>
      </c>
      <c r="L2599" t="inlineStr">
        <is>
          <t>Negociando descuento por pago de contado</t>
        </is>
      </c>
    </row>
    <row r="2600">
      <c r="A2600" t="inlineStr">
        <is>
          <t>CLI-2598</t>
        </is>
      </c>
      <c r="B2600" t="inlineStr">
        <is>
          <t>Tomás López Toro</t>
        </is>
      </c>
      <c r="C2600" t="inlineStr">
        <is>
          <t>3243209551</t>
        </is>
      </c>
      <c r="D2600" t="inlineStr">
        <is>
          <t>tomas.lopez78@outlook.com</t>
        </is>
      </c>
      <c r="E2600" t="inlineStr">
        <is>
          <t>Bello</t>
        </is>
      </c>
      <c r="F2600" t="inlineStr">
        <is>
          <t>PRY-008</t>
        </is>
      </c>
      <c r="G2600" t="inlineStr">
        <is>
          <t>Portal Web</t>
        </is>
      </c>
      <c r="H2600" t="inlineStr">
        <is>
          <t>Miguel Salazar</t>
        </is>
      </c>
      <c r="I2600" t="inlineStr">
        <is>
          <t>Perdido</t>
        </is>
      </c>
      <c r="J2600" s="28" t="n">
        <v>46071</v>
      </c>
      <c r="K2600" s="28" t="n">
        <v>46094</v>
      </c>
      <c r="L2600" t="inlineStr">
        <is>
          <t>Sin respuesta tras 3 contactos</t>
        </is>
      </c>
    </row>
    <row r="2601">
      <c r="A2601" t="inlineStr">
        <is>
          <t>CLI-2599</t>
        </is>
      </c>
      <c r="B2601" t="inlineStr">
        <is>
          <t>Julián Henao Salazar</t>
        </is>
      </c>
      <c r="C2601" t="inlineStr">
        <is>
          <t>3206526926</t>
        </is>
      </c>
      <c r="D2601" t="inlineStr">
        <is>
          <t>julian.henao40@gmail.com</t>
        </is>
      </c>
      <c r="E2601" t="inlineStr">
        <is>
          <t>Medellín</t>
        </is>
      </c>
      <c r="F2601" t="inlineStr">
        <is>
          <t>PRY-003</t>
        </is>
      </c>
      <c r="G2601" t="inlineStr">
        <is>
          <t>Portal Web</t>
        </is>
      </c>
      <c r="H2601" t="inlineStr">
        <is>
          <t>Sofía Prada</t>
        </is>
      </c>
      <c r="I2601" t="inlineStr">
        <is>
          <t>Ganado</t>
        </is>
      </c>
      <c r="J2601" s="28" t="n">
        <v>46072</v>
      </c>
      <c r="K2601" s="28" t="n">
        <v>46176</v>
      </c>
      <c r="L2601" t="inlineStr">
        <is>
          <t>Compró Apto 1203 en Conecta Laureles</t>
        </is>
      </c>
    </row>
    <row r="2602">
      <c r="A2602" t="inlineStr">
        <is>
          <t>CLI-2600</t>
        </is>
      </c>
      <c r="B2602" t="inlineStr">
        <is>
          <t>Cristian Peláez Vélez</t>
        </is>
      </c>
      <c r="C2602" t="inlineStr">
        <is>
          <t>3101587084</t>
        </is>
      </c>
      <c r="D2602" t="inlineStr">
        <is>
          <t>cristian.pelaez48@gmail.com</t>
        </is>
      </c>
      <c r="E2602" t="inlineStr">
        <is>
          <t>Bello</t>
        </is>
      </c>
      <c r="F2602" t="inlineStr">
        <is>
          <t>PRY-005</t>
        </is>
      </c>
      <c r="G2602" t="inlineStr">
        <is>
          <t>Portal Web</t>
        </is>
      </c>
      <c r="H2602" t="inlineStr">
        <is>
          <t>Miguel Salazar</t>
        </is>
      </c>
      <c r="I2602" t="inlineStr">
        <is>
          <t>Perdido</t>
        </is>
      </c>
      <c r="J2602" s="28" t="n">
        <v>46072</v>
      </c>
      <c r="K2602" s="28" t="n">
        <v>46084</v>
      </c>
      <c r="L2602" t="inlineStr">
        <is>
          <t>Datos de contacto errados</t>
        </is>
      </c>
    </row>
    <row r="2603">
      <c r="A2603" t="inlineStr">
        <is>
          <t>CLI-2601</t>
        </is>
      </c>
      <c r="B2603" t="inlineStr">
        <is>
          <t>Hernán Valencia Palacio</t>
        </is>
      </c>
      <c r="C2603" t="inlineStr">
        <is>
          <t>3132336179</t>
        </is>
      </c>
      <c r="D2603" t="inlineStr">
        <is>
          <t>hernan.valencia32@gmail.com</t>
        </is>
      </c>
      <c r="E2603" t="inlineStr">
        <is>
          <t>Envigado</t>
        </is>
      </c>
      <c r="F2603" t="inlineStr">
        <is>
          <t>PRY-007</t>
        </is>
      </c>
      <c r="G2603" t="inlineStr">
        <is>
          <t>Portal Web</t>
        </is>
      </c>
      <c r="H2603" t="inlineStr">
        <is>
          <t>Luis Bedoya</t>
        </is>
      </c>
      <c r="I2603" t="inlineStr">
        <is>
          <t>Ganado</t>
        </is>
      </c>
      <c r="J2603" s="28" t="n">
        <v>46073</v>
      </c>
      <c r="K2603" s="28" t="n">
        <v>46165</v>
      </c>
      <c r="L2603" t="inlineStr">
        <is>
          <t>Compró Apto 803 en Mirador de Envigado</t>
        </is>
      </c>
    </row>
    <row r="2604">
      <c r="A2604" t="inlineStr">
        <is>
          <t>CLI-2602</t>
        </is>
      </c>
      <c r="B2604" t="inlineStr">
        <is>
          <t>David Espinosa Rojas</t>
        </is>
      </c>
      <c r="C2604" t="inlineStr">
        <is>
          <t>3107875228</t>
        </is>
      </c>
      <c r="D2604" t="inlineStr">
        <is>
          <t>david.espinosa63@hotmail.com</t>
        </is>
      </c>
      <c r="E2604" t="inlineStr">
        <is>
          <t>Sabaneta</t>
        </is>
      </c>
      <c r="F2604" t="inlineStr">
        <is>
          <t>PRY-005</t>
        </is>
      </c>
      <c r="G2604" t="inlineStr">
        <is>
          <t>Feria Inmobiliaria</t>
        </is>
      </c>
      <c r="H2604" t="inlineStr">
        <is>
          <t>Juliana Vélez</t>
        </is>
      </c>
      <c r="I2604" t="inlineStr">
        <is>
          <t>Perdido</t>
        </is>
      </c>
      <c r="J2604" s="28" t="n">
        <v>46073</v>
      </c>
      <c r="K2604" s="28" t="n">
        <v>46090</v>
      </c>
      <c r="L2604" t="inlineStr">
        <is>
          <t>Sin respuesta tras 3 contactos</t>
        </is>
      </c>
    </row>
    <row r="2605">
      <c r="A2605" t="inlineStr">
        <is>
          <t>CLI-2603</t>
        </is>
      </c>
      <c r="B2605" t="inlineStr">
        <is>
          <t>Ximena Franco Ochoa</t>
        </is>
      </c>
      <c r="C2605" t="inlineStr">
        <is>
          <t>3104841878</t>
        </is>
      </c>
      <c r="D2605" t="inlineStr">
        <is>
          <t>ximena.franco4@hotmail.com</t>
        </is>
      </c>
      <c r="E2605" t="inlineStr">
        <is>
          <t>Medellín</t>
        </is>
      </c>
      <c r="F2605" t="inlineStr">
        <is>
          <t>PRY-001</t>
        </is>
      </c>
      <c r="G2605" t="inlineStr">
        <is>
          <t>Feria Inmobiliaria</t>
        </is>
      </c>
      <c r="H2605" t="inlineStr">
        <is>
          <t>Daniela Ríos</t>
        </is>
      </c>
      <c r="I2605" t="inlineStr">
        <is>
          <t>Perdido</t>
        </is>
      </c>
      <c r="J2605" s="28" t="n">
        <v>46073</v>
      </c>
      <c r="K2605" s="28" t="n">
        <v>46078</v>
      </c>
      <c r="L2605" t="inlineStr">
        <is>
          <t>Buscaba arriendo, no compra</t>
        </is>
      </c>
    </row>
    <row r="2606">
      <c r="A2606" t="inlineStr">
        <is>
          <t>CLI-2604</t>
        </is>
      </c>
      <c r="B2606" t="inlineStr">
        <is>
          <t>Iván Espinosa Muñoz</t>
        </is>
      </c>
      <c r="C2606" t="inlineStr">
        <is>
          <t>3045221246</t>
        </is>
      </c>
      <c r="D2606" t="inlineStr">
        <is>
          <t>ivan.espinosa19@yahoo.com</t>
        </is>
      </c>
      <c r="E2606" t="inlineStr">
        <is>
          <t>Itagüí</t>
        </is>
      </c>
      <c r="F2606" t="inlineStr">
        <is>
          <t>PRY-008</t>
        </is>
      </c>
      <c r="G2606" t="inlineStr">
        <is>
          <t>Llamada directa</t>
        </is>
      </c>
      <c r="H2606" t="inlineStr">
        <is>
          <t>Paula Arenas</t>
        </is>
      </c>
      <c r="I2606" t="inlineStr">
        <is>
          <t>Perdido</t>
        </is>
      </c>
      <c r="J2606" s="28" t="n">
        <v>46073</v>
      </c>
      <c r="K2606" s="28" t="n">
        <v>46095</v>
      </c>
      <c r="L2606" t="inlineStr">
        <is>
          <t>Buscaba arriendo, no compra</t>
        </is>
      </c>
    </row>
    <row r="2607">
      <c r="A2607" t="inlineStr">
        <is>
          <t>CLI-2605</t>
        </is>
      </c>
      <c r="B2607" t="inlineStr">
        <is>
          <t>Fernando Hernández Gómez</t>
        </is>
      </c>
      <c r="C2607" t="inlineStr">
        <is>
          <t>3103202667</t>
        </is>
      </c>
      <c r="D2607" t="inlineStr">
        <is>
          <t>fernando.hernandez64@hotmail.com</t>
        </is>
      </c>
      <c r="E2607" t="inlineStr">
        <is>
          <t>Envigado</t>
        </is>
      </c>
      <c r="F2607" t="inlineStr">
        <is>
          <t>PRY-007</t>
        </is>
      </c>
      <c r="G2607" t="inlineStr">
        <is>
          <t>Portal Web</t>
        </is>
      </c>
      <c r="H2607" t="inlineStr">
        <is>
          <t>Mateo Herrera</t>
        </is>
      </c>
      <c r="I2607" t="inlineStr">
        <is>
          <t>Perdido</t>
        </is>
      </c>
      <c r="J2607" s="28" t="n">
        <v>46074</v>
      </c>
      <c r="K2607" s="28" t="n">
        <v>46152</v>
      </c>
      <c r="L2607" t="inlineStr">
        <is>
          <t>Eligió otro proyecto</t>
        </is>
      </c>
    </row>
    <row r="2608">
      <c r="A2608" t="inlineStr">
        <is>
          <t>CLI-2606</t>
        </is>
      </c>
      <c r="B2608" t="inlineStr">
        <is>
          <t>Felipe Ochoa Cardona</t>
        </is>
      </c>
      <c r="C2608" t="inlineStr">
        <is>
          <t>3047867839</t>
        </is>
      </c>
      <c r="D2608" t="inlineStr">
        <is>
          <t>felipe.ochoa12@outlook.com</t>
        </is>
      </c>
      <c r="E2608" t="inlineStr">
        <is>
          <t>Medellín</t>
        </is>
      </c>
      <c r="F2608" t="inlineStr">
        <is>
          <t>PRY-001</t>
        </is>
      </c>
      <c r="G2608" t="inlineStr">
        <is>
          <t>Portal Web</t>
        </is>
      </c>
      <c r="H2608" t="inlineStr">
        <is>
          <t>Miguel Salazar</t>
        </is>
      </c>
      <c r="I2608" t="inlineStr">
        <is>
          <t>Ganado</t>
        </is>
      </c>
      <c r="J2608" s="28" t="n">
        <v>46074</v>
      </c>
      <c r="K2608" s="28" t="n">
        <v>46186</v>
      </c>
      <c r="L2608" t="inlineStr">
        <is>
          <t>Compró Apto 1806 en Torres del Poblado</t>
        </is>
      </c>
    </row>
    <row r="2609">
      <c r="A2609" t="inlineStr">
        <is>
          <t>CLI-2607</t>
        </is>
      </c>
      <c r="B2609" t="inlineStr">
        <is>
          <t>Catalina Arango Cardona</t>
        </is>
      </c>
      <c r="C2609" t="inlineStr">
        <is>
          <t>3179263408</t>
        </is>
      </c>
      <c r="D2609" t="inlineStr">
        <is>
          <t>catalina.arango33@gmail.com</t>
        </is>
      </c>
      <c r="E2609" t="inlineStr">
        <is>
          <t>Itagüí</t>
        </is>
      </c>
      <c r="F2609" t="inlineStr">
        <is>
          <t>PRY-008</t>
        </is>
      </c>
      <c r="G2609" t="inlineStr">
        <is>
          <t>Referido</t>
        </is>
      </c>
      <c r="H2609" t="inlineStr">
        <is>
          <t>Sofía Prada</t>
        </is>
      </c>
      <c r="I2609" t="inlineStr">
        <is>
          <t>Perdido</t>
        </is>
      </c>
      <c r="J2609" s="28" t="n">
        <v>46074</v>
      </c>
      <c r="K2609" s="28" t="n">
        <v>46088</v>
      </c>
      <c r="L2609" t="inlineStr">
        <is>
          <t>No calificó para crédito</t>
        </is>
      </c>
    </row>
    <row r="2610">
      <c r="A2610" t="inlineStr">
        <is>
          <t>CLI-2608</t>
        </is>
      </c>
      <c r="B2610" t="inlineStr">
        <is>
          <t>Felipe Londoño Quintero</t>
        </is>
      </c>
      <c r="C2610" t="inlineStr">
        <is>
          <t>3243929383</t>
        </is>
      </c>
      <c r="D2610" t="inlineStr">
        <is>
          <t>felipe.londono16@yahoo.com</t>
        </is>
      </c>
      <c r="E2610" t="inlineStr">
        <is>
          <t>Itagüí</t>
        </is>
      </c>
      <c r="F2610" t="inlineStr">
        <is>
          <t>PRY-008</t>
        </is>
      </c>
      <c r="G2610" t="inlineStr">
        <is>
          <t>Facebook</t>
        </is>
      </c>
      <c r="H2610" t="inlineStr">
        <is>
          <t>Luis Bedoya</t>
        </is>
      </c>
      <c r="I2610" t="inlineStr">
        <is>
          <t>Perdido</t>
        </is>
      </c>
      <c r="J2610" s="28" t="n">
        <v>46074</v>
      </c>
      <c r="K2610" s="28" t="n">
        <v>46083</v>
      </c>
      <c r="L2610" t="inlineStr">
        <is>
          <t>Sin respuesta tras 3 contactos</t>
        </is>
      </c>
    </row>
    <row r="2611">
      <c r="A2611" t="inlineStr">
        <is>
          <t>CLI-2609</t>
        </is>
      </c>
      <c r="B2611" t="inlineStr">
        <is>
          <t>Valentina Zuluaga Toro</t>
        </is>
      </c>
      <c r="C2611" t="inlineStr">
        <is>
          <t>3156832387</t>
        </is>
      </c>
      <c r="D2611" t="inlineStr">
        <is>
          <t>valentina.zuluaga51@outlook.com</t>
        </is>
      </c>
      <c r="E2611" t="inlineStr">
        <is>
          <t>Medellín</t>
        </is>
      </c>
      <c r="F2611" t="inlineStr">
        <is>
          <t>PRY-002</t>
        </is>
      </c>
      <c r="G2611" t="inlineStr">
        <is>
          <t>Llamada directa</t>
        </is>
      </c>
      <c r="H2611" t="inlineStr">
        <is>
          <t>Sofía Prada</t>
        </is>
      </c>
      <c r="I2611" t="inlineStr">
        <is>
          <t>Perdido</t>
        </is>
      </c>
      <c r="J2611" s="28" t="n">
        <v>46075</v>
      </c>
      <c r="K2611" s="28" t="n">
        <v>46198</v>
      </c>
      <c r="L2611" t="inlineStr">
        <is>
          <t>Crédito no aprobado</t>
        </is>
      </c>
    </row>
    <row r="2612">
      <c r="A2612" t="inlineStr">
        <is>
          <t>CLI-2610</t>
        </is>
      </c>
      <c r="B2612" t="inlineStr">
        <is>
          <t>David Cano Salazar</t>
        </is>
      </c>
      <c r="C2612" t="inlineStr">
        <is>
          <t>3005474101</t>
        </is>
      </c>
      <c r="D2612" t="inlineStr">
        <is>
          <t>david.cano49@hotmail.com</t>
        </is>
      </c>
      <c r="E2612" t="inlineStr">
        <is>
          <t>Medellín</t>
        </is>
      </c>
      <c r="F2612" t="inlineStr">
        <is>
          <t>PRY-001</t>
        </is>
      </c>
      <c r="G2612" t="inlineStr">
        <is>
          <t>Instagram</t>
        </is>
      </c>
      <c r="H2612" t="inlineStr">
        <is>
          <t>Santiago Muñoz</t>
        </is>
      </c>
      <c r="I2612" t="inlineStr">
        <is>
          <t>Perdido</t>
        </is>
      </c>
      <c r="J2612" s="28" t="n">
        <v>46075</v>
      </c>
      <c r="K2612" s="28" t="n">
        <v>46082</v>
      </c>
      <c r="L2612" t="inlineStr">
        <is>
          <t>Presupuesto insuficiente</t>
        </is>
      </c>
    </row>
    <row r="2613">
      <c r="A2613" t="inlineStr">
        <is>
          <t>CLI-2611</t>
        </is>
      </c>
      <c r="B2613" t="inlineStr">
        <is>
          <t>Sandra Henao Espinosa</t>
        </is>
      </c>
      <c r="C2613" t="inlineStr">
        <is>
          <t>3204124705</t>
        </is>
      </c>
      <c r="D2613" t="inlineStr">
        <is>
          <t>sandra.henao32@hotmail.com</t>
        </is>
      </c>
      <c r="E2613" t="inlineStr">
        <is>
          <t>Medellín</t>
        </is>
      </c>
      <c r="F2613" t="inlineStr">
        <is>
          <t>PRY-001</t>
        </is>
      </c>
      <c r="G2613" t="inlineStr">
        <is>
          <t>Referido</t>
        </is>
      </c>
      <c r="H2613" t="inlineStr">
        <is>
          <t>Paula Arenas</t>
        </is>
      </c>
      <c r="I2613" t="inlineStr">
        <is>
          <t>Perdido</t>
        </is>
      </c>
      <c r="J2613" s="28" t="n">
        <v>46075</v>
      </c>
      <c r="K2613" s="28" t="n">
        <v>46089</v>
      </c>
      <c r="L2613" t="inlineStr">
        <is>
          <t>Sin respuesta tras 3 contactos</t>
        </is>
      </c>
    </row>
    <row r="2614">
      <c r="A2614" t="inlineStr">
        <is>
          <t>CLI-2612</t>
        </is>
      </c>
      <c r="B2614" t="inlineStr">
        <is>
          <t>Santiago Mejía Correa</t>
        </is>
      </c>
      <c r="C2614" t="inlineStr">
        <is>
          <t>3004232021</t>
        </is>
      </c>
      <c r="D2614" t="inlineStr">
        <is>
          <t>santiago.mejia60@yahoo.com</t>
        </is>
      </c>
      <c r="E2614" t="inlineStr">
        <is>
          <t>Itagüí</t>
        </is>
      </c>
      <c r="F2614" t="inlineStr">
        <is>
          <t>PRY-008</t>
        </is>
      </c>
      <c r="G2614" t="inlineStr">
        <is>
          <t>Instagram</t>
        </is>
      </c>
      <c r="H2614" t="inlineStr">
        <is>
          <t>Ana Quintero</t>
        </is>
      </c>
      <c r="I2614" t="inlineStr">
        <is>
          <t>Perdido</t>
        </is>
      </c>
      <c r="J2614" s="28" t="n">
        <v>46076</v>
      </c>
      <c r="K2614" s="28" t="n">
        <v>46098</v>
      </c>
      <c r="L2614" t="inlineStr">
        <is>
          <t>Sin respuesta tras 3 contactos</t>
        </is>
      </c>
    </row>
    <row r="2615">
      <c r="A2615" t="inlineStr">
        <is>
          <t>CLI-2613</t>
        </is>
      </c>
      <c r="B2615" t="inlineStr">
        <is>
          <t>Gloria Vásquez Castaño</t>
        </is>
      </c>
      <c r="C2615" t="inlineStr">
        <is>
          <t>3135831484</t>
        </is>
      </c>
      <c r="D2615" t="inlineStr">
        <is>
          <t>gloria.vasquez90@hotmail.com</t>
        </is>
      </c>
      <c r="E2615" t="inlineStr">
        <is>
          <t>Bello</t>
        </is>
      </c>
      <c r="F2615" t="inlineStr">
        <is>
          <t>PRY-006</t>
        </is>
      </c>
      <c r="G2615" t="inlineStr">
        <is>
          <t>Llamada directa</t>
        </is>
      </c>
      <c r="H2615" t="inlineStr">
        <is>
          <t>Luis Bedoya</t>
        </is>
      </c>
      <c r="I2615" t="inlineStr">
        <is>
          <t>Perdido</t>
        </is>
      </c>
      <c r="J2615" s="28" t="n">
        <v>46076</v>
      </c>
      <c r="K2615" s="28" t="n">
        <v>46089</v>
      </c>
      <c r="L2615" t="inlineStr">
        <is>
          <t>No calificó para crédito</t>
        </is>
      </c>
    </row>
    <row r="2616">
      <c r="A2616" t="inlineStr">
        <is>
          <t>CLI-2614</t>
        </is>
      </c>
      <c r="B2616" t="inlineStr">
        <is>
          <t>Verónica Ríos Gaviria</t>
        </is>
      </c>
      <c r="C2616" t="inlineStr">
        <is>
          <t>3208903029</t>
        </is>
      </c>
      <c r="D2616" t="inlineStr">
        <is>
          <t>veronica.rios81@hotmail.com</t>
        </is>
      </c>
      <c r="E2616" t="inlineStr">
        <is>
          <t>Rionegro</t>
        </is>
      </c>
      <c r="F2616" t="inlineStr">
        <is>
          <t>PRY-005</t>
        </is>
      </c>
      <c r="G2616" t="inlineStr">
        <is>
          <t>Portal Web</t>
        </is>
      </c>
      <c r="H2616" t="inlineStr">
        <is>
          <t>Andrés Torres</t>
        </is>
      </c>
      <c r="I2616" t="inlineStr">
        <is>
          <t>Perdido</t>
        </is>
      </c>
      <c r="J2616" s="28" t="n">
        <v>46076</v>
      </c>
      <c r="K2616" s="28" t="n">
        <v>46088</v>
      </c>
      <c r="L2616" t="inlineStr">
        <is>
          <t>Sin respuesta tras 3 contactos</t>
        </is>
      </c>
    </row>
    <row r="2617">
      <c r="A2617" t="inlineStr">
        <is>
          <t>CLI-2615</t>
        </is>
      </c>
      <c r="B2617" t="inlineStr">
        <is>
          <t>Nicolás Palacio Valencia</t>
        </is>
      </c>
      <c r="C2617" t="inlineStr">
        <is>
          <t>3141543938</t>
        </is>
      </c>
      <c r="D2617" t="inlineStr">
        <is>
          <t>nicolas.palacio52@yahoo.com</t>
        </is>
      </c>
      <c r="E2617" t="inlineStr">
        <is>
          <t>Envigado</t>
        </is>
      </c>
      <c r="F2617" t="inlineStr">
        <is>
          <t>PRY-007</t>
        </is>
      </c>
      <c r="G2617" t="inlineStr">
        <is>
          <t>Portal Web</t>
        </is>
      </c>
      <c r="H2617" t="inlineStr">
        <is>
          <t>Santiago Muñoz</t>
        </is>
      </c>
      <c r="I2617" t="inlineStr">
        <is>
          <t>Perdido</t>
        </is>
      </c>
      <c r="J2617" s="28" t="n">
        <v>46076</v>
      </c>
      <c r="K2617" s="28" t="n">
        <v>46099</v>
      </c>
      <c r="L2617" t="inlineStr">
        <is>
          <t>Buscaba arriendo, no compra</t>
        </is>
      </c>
    </row>
    <row r="2618">
      <c r="A2618" t="inlineStr">
        <is>
          <t>CLI-2616</t>
        </is>
      </c>
      <c r="B2618" t="inlineStr">
        <is>
          <t>Sandra Toro Londoño</t>
        </is>
      </c>
      <c r="C2618" t="inlineStr">
        <is>
          <t>3224720176</t>
        </is>
      </c>
      <c r="D2618" t="inlineStr">
        <is>
          <t>sandra.toro5@outlook.com</t>
        </is>
      </c>
      <c r="E2618" t="inlineStr">
        <is>
          <t>La Estrella</t>
        </is>
      </c>
      <c r="F2618" t="inlineStr">
        <is>
          <t>PRY-002</t>
        </is>
      </c>
      <c r="G2618" t="inlineStr">
        <is>
          <t>Instagram</t>
        </is>
      </c>
      <c r="H2618" t="inlineStr">
        <is>
          <t>Mateo Herrera</t>
        </is>
      </c>
      <c r="I2618" t="inlineStr">
        <is>
          <t>Perdido</t>
        </is>
      </c>
      <c r="J2618" s="28" t="n">
        <v>46076</v>
      </c>
      <c r="K2618" s="28" t="n">
        <v>46098</v>
      </c>
      <c r="L2618" t="inlineStr">
        <is>
          <t>Presupuesto insuficiente</t>
        </is>
      </c>
    </row>
    <row r="2619">
      <c r="A2619" t="inlineStr">
        <is>
          <t>CLI-2617</t>
        </is>
      </c>
      <c r="B2619" t="inlineStr">
        <is>
          <t>Natalia Agudelo Arango</t>
        </is>
      </c>
      <c r="C2619" t="inlineStr">
        <is>
          <t>3242955298</t>
        </is>
      </c>
      <c r="D2619" t="inlineStr">
        <is>
          <t>natalia.agudelo9@hotmail.com</t>
        </is>
      </c>
      <c r="E2619" t="inlineStr">
        <is>
          <t>La Estrella</t>
        </is>
      </c>
      <c r="F2619" t="inlineStr">
        <is>
          <t>PRY-006</t>
        </is>
      </c>
      <c r="G2619" t="inlineStr">
        <is>
          <t>Facebook</t>
        </is>
      </c>
      <c r="H2619" t="inlineStr">
        <is>
          <t>Mateo Herrera</t>
        </is>
      </c>
      <c r="I2619" t="inlineStr">
        <is>
          <t>Perdido</t>
        </is>
      </c>
      <c r="J2619" s="28" t="n">
        <v>46077</v>
      </c>
      <c r="K2619" s="28" t="n">
        <v>46173</v>
      </c>
      <c r="L2619" t="inlineStr">
        <is>
          <t>No volvió a responder</t>
        </is>
      </c>
    </row>
    <row r="2620">
      <c r="A2620" t="inlineStr">
        <is>
          <t>CLI-2618</t>
        </is>
      </c>
      <c r="B2620" t="inlineStr">
        <is>
          <t>Isabel Osorio Giraldo</t>
        </is>
      </c>
      <c r="C2620" t="inlineStr">
        <is>
          <t>3008657374</t>
        </is>
      </c>
      <c r="D2620" t="inlineStr">
        <is>
          <t>isabel.osorio39@yahoo.com</t>
        </is>
      </c>
      <c r="E2620" t="inlineStr">
        <is>
          <t>Medellín</t>
        </is>
      </c>
      <c r="F2620" t="inlineStr">
        <is>
          <t>PRY-001</t>
        </is>
      </c>
      <c r="G2620" t="inlineStr">
        <is>
          <t>Facebook</t>
        </is>
      </c>
      <c r="H2620" t="inlineStr">
        <is>
          <t>Daniela Ríos</t>
        </is>
      </c>
      <c r="I2620" t="inlineStr">
        <is>
          <t>Perdido</t>
        </is>
      </c>
      <c r="J2620" s="28" t="n">
        <v>46077</v>
      </c>
      <c r="K2620" s="28" t="n">
        <v>46100</v>
      </c>
      <c r="L2620" t="inlineStr">
        <is>
          <t>Presupuesto insuficiente</t>
        </is>
      </c>
    </row>
    <row r="2621">
      <c r="A2621" t="inlineStr">
        <is>
          <t>CLI-2619</t>
        </is>
      </c>
      <c r="B2621" t="inlineStr">
        <is>
          <t>Mónica Betancur Palacio</t>
        </is>
      </c>
      <c r="C2621" t="inlineStr">
        <is>
          <t>3014120412</t>
        </is>
      </c>
      <c r="D2621" t="inlineStr">
        <is>
          <t>monica.betancur71@outlook.com</t>
        </is>
      </c>
      <c r="E2621" t="inlineStr">
        <is>
          <t>Itagüí</t>
        </is>
      </c>
      <c r="F2621" t="inlineStr">
        <is>
          <t>PRY-002</t>
        </is>
      </c>
      <c r="G2621" t="inlineStr">
        <is>
          <t>Portal Web</t>
        </is>
      </c>
      <c r="H2621" t="inlineStr">
        <is>
          <t>Ana Quintero</t>
        </is>
      </c>
      <c r="I2621" t="inlineStr">
        <is>
          <t>Perdido</t>
        </is>
      </c>
      <c r="J2621" s="28" t="n">
        <v>46077</v>
      </c>
      <c r="K2621" s="28" t="n">
        <v>46099</v>
      </c>
      <c r="L2621" t="inlineStr">
        <is>
          <t>Presupuesto insuficiente</t>
        </is>
      </c>
    </row>
    <row r="2622">
      <c r="A2622" t="inlineStr">
        <is>
          <t>CLI-2620</t>
        </is>
      </c>
      <c r="B2622" t="inlineStr">
        <is>
          <t>Valentina Cifuentes Uribe</t>
        </is>
      </c>
      <c r="C2622" t="inlineStr">
        <is>
          <t>3008058208</t>
        </is>
      </c>
      <c r="D2622" t="inlineStr">
        <is>
          <t>valentina.cifuentes6@yahoo.com</t>
        </is>
      </c>
      <c r="E2622" t="inlineStr">
        <is>
          <t>Envigado</t>
        </is>
      </c>
      <c r="F2622" t="inlineStr">
        <is>
          <t>PRY-008</t>
        </is>
      </c>
      <c r="G2622" t="inlineStr">
        <is>
          <t>Facebook</t>
        </is>
      </c>
      <c r="H2622" t="inlineStr">
        <is>
          <t>Luis Bedoya</t>
        </is>
      </c>
      <c r="I2622" t="inlineStr">
        <is>
          <t>Perdido</t>
        </is>
      </c>
      <c r="J2622" s="28" t="n">
        <v>46077</v>
      </c>
      <c r="K2622" s="28" t="n">
        <v>46088</v>
      </c>
      <c r="L2622" t="inlineStr">
        <is>
          <t>No calificó para crédito</t>
        </is>
      </c>
    </row>
    <row r="2623">
      <c r="A2623" t="inlineStr">
        <is>
          <t>CLI-2621</t>
        </is>
      </c>
      <c r="B2623" t="inlineStr">
        <is>
          <t>Liliana Sánchez Restrepo</t>
        </is>
      </c>
      <c r="C2623" t="inlineStr">
        <is>
          <t>3109281974</t>
        </is>
      </c>
      <c r="D2623" t="inlineStr">
        <is>
          <t>liliana.sanchez53@outlook.com</t>
        </is>
      </c>
      <c r="E2623" t="inlineStr">
        <is>
          <t>Sabaneta</t>
        </is>
      </c>
      <c r="F2623" t="inlineStr">
        <is>
          <t>PRY-002</t>
        </is>
      </c>
      <c r="G2623" t="inlineStr">
        <is>
          <t>Portal Web</t>
        </is>
      </c>
      <c r="H2623" t="inlineStr">
        <is>
          <t>Ana Quintero</t>
        </is>
      </c>
      <c r="I2623" t="inlineStr">
        <is>
          <t>Perdido</t>
        </is>
      </c>
      <c r="J2623" s="28" t="n">
        <v>46077</v>
      </c>
      <c r="K2623" s="28" t="n">
        <v>46092</v>
      </c>
      <c r="L2623" t="inlineStr">
        <is>
          <t>Presupuesto insuficiente</t>
        </is>
      </c>
    </row>
    <row r="2624">
      <c r="A2624" t="inlineStr">
        <is>
          <t>CLI-2622</t>
        </is>
      </c>
      <c r="B2624" t="inlineStr">
        <is>
          <t>Alejandro Vargas Gómez</t>
        </is>
      </c>
      <c r="C2624" t="inlineStr">
        <is>
          <t>3231796529</t>
        </is>
      </c>
      <c r="D2624" t="inlineStr">
        <is>
          <t>alejandro.vargas28@yahoo.com</t>
        </is>
      </c>
      <c r="E2624" t="inlineStr">
        <is>
          <t>Rionegro</t>
        </is>
      </c>
      <c r="F2624" t="inlineStr">
        <is>
          <t>PRY-005</t>
        </is>
      </c>
      <c r="G2624" t="inlineStr">
        <is>
          <t>Portal Web</t>
        </is>
      </c>
      <c r="H2624" t="inlineStr">
        <is>
          <t>Ana Quintero</t>
        </is>
      </c>
      <c r="I2624" t="inlineStr">
        <is>
          <t>Ganado</t>
        </is>
      </c>
      <c r="J2624" s="28" t="n">
        <v>46078</v>
      </c>
      <c r="K2624" s="28" t="n">
        <v>46156</v>
      </c>
      <c r="L2624" t="inlineStr">
        <is>
          <t>Compró Casa 21 en Ciudadela Rionegro</t>
        </is>
      </c>
    </row>
    <row r="2625">
      <c r="A2625" t="inlineStr">
        <is>
          <t>CLI-2623</t>
        </is>
      </c>
      <c r="B2625" t="inlineStr">
        <is>
          <t>Marcela Hernández Ramírez</t>
        </is>
      </c>
      <c r="C2625" t="inlineStr">
        <is>
          <t>3103441455</t>
        </is>
      </c>
      <c r="D2625" t="inlineStr">
        <is>
          <t>marcela.hernandez55@hotmail.com</t>
        </is>
      </c>
      <c r="E2625" t="inlineStr">
        <is>
          <t>Medellín</t>
        </is>
      </c>
      <c r="F2625" t="inlineStr">
        <is>
          <t>PRY-003</t>
        </is>
      </c>
      <c r="G2625" t="inlineStr">
        <is>
          <t>Portal Web</t>
        </is>
      </c>
      <c r="H2625" t="inlineStr">
        <is>
          <t>Andrés Torres</t>
        </is>
      </c>
      <c r="I2625" t="inlineStr">
        <is>
          <t>Perdido</t>
        </is>
      </c>
      <c r="J2625" s="28" t="n">
        <v>46078</v>
      </c>
      <c r="K2625" s="28" t="n">
        <v>46156</v>
      </c>
      <c r="L2625" t="inlineStr">
        <is>
          <t>Eligió otro proyecto</t>
        </is>
      </c>
    </row>
    <row r="2626">
      <c r="A2626" t="inlineStr">
        <is>
          <t>CLI-2624</t>
        </is>
      </c>
      <c r="B2626" t="inlineStr">
        <is>
          <t>Jorge Vélez Castaño</t>
        </is>
      </c>
      <c r="C2626" t="inlineStr">
        <is>
          <t>3108240773</t>
        </is>
      </c>
      <c r="D2626" t="inlineStr">
        <is>
          <t>jorge.velez36@outlook.com</t>
        </is>
      </c>
      <c r="E2626" t="inlineStr">
        <is>
          <t>Medellín</t>
        </is>
      </c>
      <c r="F2626" t="inlineStr">
        <is>
          <t>PRY-003</t>
        </is>
      </c>
      <c r="G2626" t="inlineStr">
        <is>
          <t>Instagram</t>
        </is>
      </c>
      <c r="H2626" t="inlineStr">
        <is>
          <t>Luis Bedoya</t>
        </is>
      </c>
      <c r="I2626" t="inlineStr">
        <is>
          <t>Ganado</t>
        </is>
      </c>
      <c r="J2626" s="28" t="n">
        <v>46078</v>
      </c>
      <c r="K2626" s="28" t="n">
        <v>46180</v>
      </c>
      <c r="L2626" t="inlineStr">
        <is>
          <t>Compró Apto 1006 en Conecta Laureles</t>
        </is>
      </c>
    </row>
    <row r="2627">
      <c r="A2627" t="inlineStr">
        <is>
          <t>CLI-2625</t>
        </is>
      </c>
      <c r="B2627" t="inlineStr">
        <is>
          <t>Juan Pablo Quintero Mejía</t>
        </is>
      </c>
      <c r="C2627" t="inlineStr">
        <is>
          <t>3102721660</t>
        </is>
      </c>
      <c r="D2627" t="inlineStr">
        <is>
          <t>juan.quintero46@yahoo.com</t>
        </is>
      </c>
      <c r="E2627" t="inlineStr">
        <is>
          <t>Envigado</t>
        </is>
      </c>
      <c r="F2627" t="inlineStr">
        <is>
          <t>PRY-007</t>
        </is>
      </c>
      <c r="G2627" t="inlineStr">
        <is>
          <t>Portal Web</t>
        </is>
      </c>
      <c r="H2627" t="inlineStr">
        <is>
          <t>Juliana Vélez</t>
        </is>
      </c>
      <c r="I2627" t="inlineStr">
        <is>
          <t>Perdido</t>
        </is>
      </c>
      <c r="J2627" s="28" t="n">
        <v>46078</v>
      </c>
      <c r="K2627" s="28" t="n">
        <v>46099</v>
      </c>
      <c r="L2627" t="inlineStr">
        <is>
          <t>Presupuesto insuficiente</t>
        </is>
      </c>
    </row>
    <row r="2628">
      <c r="A2628" t="inlineStr">
        <is>
          <t>CLI-2626</t>
        </is>
      </c>
      <c r="B2628" t="inlineStr">
        <is>
          <t>Jhon Betancur Sánchez</t>
        </is>
      </c>
      <c r="C2628" t="inlineStr">
        <is>
          <t>3135025538</t>
        </is>
      </c>
      <c r="D2628" t="inlineStr">
        <is>
          <t>jhon.betancur40@hotmail.com</t>
        </is>
      </c>
      <c r="E2628" t="inlineStr">
        <is>
          <t>Medellín</t>
        </is>
      </c>
      <c r="F2628" t="inlineStr">
        <is>
          <t>PRY-001</t>
        </is>
      </c>
      <c r="G2628" t="inlineStr">
        <is>
          <t>Portal Web</t>
        </is>
      </c>
      <c r="H2628" t="inlineStr">
        <is>
          <t>Paula Arenas</t>
        </is>
      </c>
      <c r="I2628" t="inlineStr">
        <is>
          <t>Perdido</t>
        </is>
      </c>
      <c r="J2628" s="28" t="n">
        <v>46078</v>
      </c>
      <c r="K2628" s="28" t="n">
        <v>46092</v>
      </c>
      <c r="L2628" t="inlineStr">
        <is>
          <t>Presupuesto insuficiente</t>
        </is>
      </c>
    </row>
    <row r="2629">
      <c r="A2629" t="inlineStr">
        <is>
          <t>CLI-2627</t>
        </is>
      </c>
      <c r="B2629" t="inlineStr">
        <is>
          <t>Sandra Agudelo Echeverri</t>
        </is>
      </c>
      <c r="C2629" t="inlineStr">
        <is>
          <t>3179307868</t>
        </is>
      </c>
      <c r="D2629" t="inlineStr">
        <is>
          <t>sandra.agudelo39@gmail.com</t>
        </is>
      </c>
      <c r="E2629" t="inlineStr">
        <is>
          <t>Bello</t>
        </is>
      </c>
      <c r="F2629" t="inlineStr">
        <is>
          <t>PRY-007</t>
        </is>
      </c>
      <c r="G2629" t="inlineStr">
        <is>
          <t>Instagram</t>
        </is>
      </c>
      <c r="H2629" t="inlineStr">
        <is>
          <t>Miguel Salazar</t>
        </is>
      </c>
      <c r="I2629" t="inlineStr">
        <is>
          <t>Perdido</t>
        </is>
      </c>
      <c r="J2629" s="28" t="n">
        <v>46079</v>
      </c>
      <c r="K2629" s="28" t="n">
        <v>46100</v>
      </c>
      <c r="L2629" t="inlineStr">
        <is>
          <t>No calificó para crédito</t>
        </is>
      </c>
    </row>
    <row r="2630">
      <c r="A2630" t="inlineStr">
        <is>
          <t>CLI-2628</t>
        </is>
      </c>
      <c r="B2630" t="inlineStr">
        <is>
          <t>Santiago Henao Echeverri</t>
        </is>
      </c>
      <c r="C2630" t="inlineStr">
        <is>
          <t>3156820589</t>
        </is>
      </c>
      <c r="D2630" t="inlineStr">
        <is>
          <t>santiago.henao45@outlook.com</t>
        </is>
      </c>
      <c r="E2630" t="inlineStr">
        <is>
          <t>Medellín</t>
        </is>
      </c>
      <c r="F2630" t="inlineStr">
        <is>
          <t>PRY-003</t>
        </is>
      </c>
      <c r="G2630" t="inlineStr">
        <is>
          <t>Llamada directa</t>
        </is>
      </c>
      <c r="H2630" t="inlineStr">
        <is>
          <t>Daniela Ríos</t>
        </is>
      </c>
      <c r="I2630" t="inlineStr">
        <is>
          <t>Perdido</t>
        </is>
      </c>
      <c r="J2630" s="28" t="n">
        <v>46079</v>
      </c>
      <c r="K2630" s="28" t="n">
        <v>46107</v>
      </c>
      <c r="L2630" t="inlineStr">
        <is>
          <t>Sin respuesta tras 3 contactos</t>
        </is>
      </c>
    </row>
    <row r="2631">
      <c r="A2631" t="inlineStr">
        <is>
          <t>CLI-2629</t>
        </is>
      </c>
      <c r="B2631" t="inlineStr">
        <is>
          <t>Catalina Henao Palacio</t>
        </is>
      </c>
      <c r="C2631" t="inlineStr">
        <is>
          <t>3176806223</t>
        </is>
      </c>
      <c r="D2631" t="inlineStr">
        <is>
          <t>catalina.henao18@hotmail.com</t>
        </is>
      </c>
      <c r="E2631" t="inlineStr">
        <is>
          <t>Bello</t>
        </is>
      </c>
      <c r="F2631" t="inlineStr">
        <is>
          <t>PRY-006</t>
        </is>
      </c>
      <c r="G2631" t="inlineStr">
        <is>
          <t>Portal Web</t>
        </is>
      </c>
      <c r="H2631" t="inlineStr">
        <is>
          <t>Juliana Vélez</t>
        </is>
      </c>
      <c r="I2631" t="inlineStr">
        <is>
          <t>Perdido</t>
        </is>
      </c>
      <c r="J2631" s="28" t="n">
        <v>46079</v>
      </c>
      <c r="K2631" s="28" t="n">
        <v>46092</v>
      </c>
      <c r="L2631" t="inlineStr">
        <is>
          <t>Sin respuesta tras 3 contactos</t>
        </is>
      </c>
    </row>
    <row r="2632">
      <c r="A2632" t="inlineStr">
        <is>
          <t>CLI-2630</t>
        </is>
      </c>
      <c r="B2632" t="inlineStr">
        <is>
          <t>María Montes Hernández</t>
        </is>
      </c>
      <c r="C2632" t="inlineStr">
        <is>
          <t>3008219697</t>
        </is>
      </c>
      <c r="D2632" t="inlineStr">
        <is>
          <t>maria.montes54@hotmail.com</t>
        </is>
      </c>
      <c r="E2632" t="inlineStr">
        <is>
          <t>Bello</t>
        </is>
      </c>
      <c r="F2632" t="inlineStr">
        <is>
          <t>PRY-008</t>
        </is>
      </c>
      <c r="G2632" t="inlineStr">
        <is>
          <t>Instagram</t>
        </is>
      </c>
      <c r="H2632" t="inlineStr">
        <is>
          <t>Juliana Vélez</t>
        </is>
      </c>
      <c r="I2632" t="inlineStr">
        <is>
          <t>Perdido</t>
        </is>
      </c>
      <c r="J2632" s="28" t="n">
        <v>46080</v>
      </c>
      <c r="K2632" s="28" t="n">
        <v>46125</v>
      </c>
      <c r="L2632" t="inlineStr">
        <is>
          <t>Crédito no aprobado</t>
        </is>
      </c>
    </row>
    <row r="2633">
      <c r="A2633" t="inlineStr">
        <is>
          <t>CLI-2631</t>
        </is>
      </c>
      <c r="B2633" t="inlineStr">
        <is>
          <t>Mateo Palacio Bedoya</t>
        </is>
      </c>
      <c r="C2633" t="inlineStr">
        <is>
          <t>3012333342</t>
        </is>
      </c>
      <c r="D2633" t="inlineStr">
        <is>
          <t>mateo.palacio68@gmail.com</t>
        </is>
      </c>
      <c r="E2633" t="inlineStr">
        <is>
          <t>Itagüí</t>
        </is>
      </c>
      <c r="F2633" t="inlineStr">
        <is>
          <t>PRY-003</t>
        </is>
      </c>
      <c r="G2633" t="inlineStr">
        <is>
          <t>Feria Inmobiliaria</t>
        </is>
      </c>
      <c r="H2633" t="inlineStr">
        <is>
          <t>Juliana Vélez</t>
        </is>
      </c>
      <c r="I2633" t="inlineStr">
        <is>
          <t>Perdido</t>
        </is>
      </c>
      <c r="J2633" s="28" t="n">
        <v>46080</v>
      </c>
      <c r="K2633" s="28" t="n">
        <v>46105</v>
      </c>
      <c r="L2633" t="inlineStr">
        <is>
          <t>Presupuesto insuficiente</t>
        </is>
      </c>
    </row>
    <row r="2634">
      <c r="A2634" t="inlineStr">
        <is>
          <t>CLI-2632</t>
        </is>
      </c>
      <c r="B2634" t="inlineStr">
        <is>
          <t>Camila Osorio Betancur</t>
        </is>
      </c>
      <c r="C2634" t="inlineStr">
        <is>
          <t>3149466293</t>
        </is>
      </c>
      <c r="D2634" t="inlineStr">
        <is>
          <t>camila.osorio34@outlook.com</t>
        </is>
      </c>
      <c r="E2634" t="inlineStr">
        <is>
          <t>Itagüí</t>
        </is>
      </c>
      <c r="F2634" t="inlineStr">
        <is>
          <t>PRY-008</t>
        </is>
      </c>
      <c r="G2634" t="inlineStr">
        <is>
          <t>Portal Web</t>
        </is>
      </c>
      <c r="H2634" t="inlineStr">
        <is>
          <t>Sofía Prada</t>
        </is>
      </c>
      <c r="I2634" t="inlineStr">
        <is>
          <t>Perdido</t>
        </is>
      </c>
      <c r="J2634" s="28" t="n">
        <v>46080</v>
      </c>
      <c r="K2634" s="28" t="n">
        <v>46096</v>
      </c>
      <c r="L2634" t="inlineStr">
        <is>
          <t>Presupuesto insuficiente</t>
        </is>
      </c>
    </row>
    <row r="2635">
      <c r="A2635" t="inlineStr">
        <is>
          <t>CLI-2633</t>
        </is>
      </c>
      <c r="B2635" t="inlineStr">
        <is>
          <t>Simón Escobar Montoya</t>
        </is>
      </c>
      <c r="C2635" t="inlineStr">
        <is>
          <t>3144209573</t>
        </is>
      </c>
      <c r="D2635" t="inlineStr">
        <is>
          <t>simon.escobar5@outlook.com</t>
        </is>
      </c>
      <c r="E2635" t="inlineStr">
        <is>
          <t>Medellín</t>
        </is>
      </c>
      <c r="F2635" t="inlineStr">
        <is>
          <t>PRY-003</t>
        </is>
      </c>
      <c r="G2635" t="inlineStr">
        <is>
          <t>Instagram</t>
        </is>
      </c>
      <c r="H2635" t="inlineStr">
        <is>
          <t>Ana Quintero</t>
        </is>
      </c>
      <c r="I2635" t="inlineStr">
        <is>
          <t>Negociación</t>
        </is>
      </c>
      <c r="J2635" s="28" t="n">
        <v>46081</v>
      </c>
      <c r="K2635" s="28" t="n">
        <v>46209</v>
      </c>
      <c r="L2635" t="inlineStr">
        <is>
          <t>Separación en trámite</t>
        </is>
      </c>
    </row>
    <row r="2636">
      <c r="A2636" t="inlineStr">
        <is>
          <t>CLI-2634</t>
        </is>
      </c>
      <c r="B2636" t="inlineStr">
        <is>
          <t>Diana Sánchez Castaño</t>
        </is>
      </c>
      <c r="C2636" t="inlineStr">
        <is>
          <t>3153368122</t>
        </is>
      </c>
      <c r="D2636" t="inlineStr">
        <is>
          <t>diana.sanchez28@outlook.com</t>
        </is>
      </c>
      <c r="E2636" t="inlineStr">
        <is>
          <t>Envigado</t>
        </is>
      </c>
      <c r="F2636" t="inlineStr">
        <is>
          <t>PRY-007</t>
        </is>
      </c>
      <c r="G2636" t="inlineStr">
        <is>
          <t>Portal Web</t>
        </is>
      </c>
      <c r="H2636" t="inlineStr">
        <is>
          <t>Luis Bedoya</t>
        </is>
      </c>
      <c r="I2636" t="inlineStr">
        <is>
          <t>Perdido</t>
        </is>
      </c>
      <c r="J2636" s="28" t="n">
        <v>46081</v>
      </c>
      <c r="K2636" s="28" t="n">
        <v>46104</v>
      </c>
      <c r="L2636" t="inlineStr">
        <is>
          <t>No calificó para crédito</t>
        </is>
      </c>
    </row>
    <row r="2637">
      <c r="A2637" t="inlineStr">
        <is>
          <t>CLI-2635</t>
        </is>
      </c>
      <c r="B2637" t="inlineStr">
        <is>
          <t>Verónica Arango Giraldo</t>
        </is>
      </c>
      <c r="C2637" t="inlineStr">
        <is>
          <t>3244053269</t>
        </is>
      </c>
      <c r="D2637" t="inlineStr">
        <is>
          <t>veronica.arango40@gmail.com</t>
        </is>
      </c>
      <c r="E2637" t="inlineStr">
        <is>
          <t>Envigado</t>
        </is>
      </c>
      <c r="F2637" t="inlineStr">
        <is>
          <t>PRY-007</t>
        </is>
      </c>
      <c r="G2637" t="inlineStr">
        <is>
          <t>Facebook</t>
        </is>
      </c>
      <c r="H2637" t="inlineStr">
        <is>
          <t>Sofía Prada</t>
        </is>
      </c>
      <c r="I2637" t="inlineStr">
        <is>
          <t>Perdido</t>
        </is>
      </c>
      <c r="J2637" s="28" t="n">
        <v>46081</v>
      </c>
      <c r="K2637" s="28" t="n">
        <v>46088</v>
      </c>
      <c r="L2637" t="inlineStr">
        <is>
          <t>Buscaba arriendo, no compra</t>
        </is>
      </c>
    </row>
    <row r="2638">
      <c r="A2638" t="inlineStr">
        <is>
          <t>CLI-2636</t>
        </is>
      </c>
      <c r="B2638" t="inlineStr">
        <is>
          <t>Esteban Marín Ramírez</t>
        </is>
      </c>
      <c r="C2638" t="inlineStr">
        <is>
          <t>3141780858</t>
        </is>
      </c>
      <c r="D2638" t="inlineStr">
        <is>
          <t>esteban.marin2@yahoo.com</t>
        </is>
      </c>
      <c r="E2638" t="inlineStr">
        <is>
          <t>Bello</t>
        </is>
      </c>
      <c r="F2638" t="inlineStr">
        <is>
          <t>PRY-006</t>
        </is>
      </c>
      <c r="G2638" t="inlineStr">
        <is>
          <t>Portal Web</t>
        </is>
      </c>
      <c r="H2638" t="inlineStr">
        <is>
          <t>Paula Arenas</t>
        </is>
      </c>
      <c r="I2638" t="inlineStr">
        <is>
          <t>Perdido</t>
        </is>
      </c>
      <c r="J2638" s="28" t="n">
        <v>46081</v>
      </c>
      <c r="K2638" s="28" t="n">
        <v>46095</v>
      </c>
      <c r="L2638" t="inlineStr">
        <is>
          <t>Buscaba arriendo, no compra</t>
        </is>
      </c>
    </row>
    <row r="2639">
      <c r="A2639" t="inlineStr">
        <is>
          <t>CLI-2637</t>
        </is>
      </c>
      <c r="B2639" t="inlineStr">
        <is>
          <t>Carlos Betancur Restrepo</t>
        </is>
      </c>
      <c r="C2639" t="inlineStr">
        <is>
          <t>3101613320</t>
        </is>
      </c>
      <c r="D2639" t="inlineStr">
        <is>
          <t>carlos.betancur20@yahoo.com</t>
        </is>
      </c>
      <c r="E2639" t="inlineStr">
        <is>
          <t>Medellín</t>
        </is>
      </c>
      <c r="F2639" t="inlineStr">
        <is>
          <t>PRY-002</t>
        </is>
      </c>
      <c r="G2639" t="inlineStr">
        <is>
          <t>Portal Web</t>
        </is>
      </c>
      <c r="H2639" t="inlineStr">
        <is>
          <t>Sofía Prada</t>
        </is>
      </c>
      <c r="I2639" t="inlineStr">
        <is>
          <t>Perdido</t>
        </is>
      </c>
      <c r="J2639" s="28" t="n">
        <v>46081</v>
      </c>
      <c r="K2639" s="28" t="n">
        <v>46110</v>
      </c>
      <c r="L2639" t="inlineStr">
        <is>
          <t>No calificó para crédito</t>
        </is>
      </c>
    </row>
    <row r="2640">
      <c r="A2640" t="inlineStr">
        <is>
          <t>CLI-2638</t>
        </is>
      </c>
      <c r="B2640" t="inlineStr">
        <is>
          <t>Tomás Cardona Zuluaga</t>
        </is>
      </c>
      <c r="C2640" t="inlineStr">
        <is>
          <t>3015061348</t>
        </is>
      </c>
      <c r="D2640" t="inlineStr">
        <is>
          <t>tomas.cardona73@gmail.com</t>
        </is>
      </c>
      <c r="E2640" t="inlineStr">
        <is>
          <t>Medellín</t>
        </is>
      </c>
      <c r="F2640" t="inlineStr">
        <is>
          <t>PRY-003</t>
        </is>
      </c>
      <c r="G2640" t="inlineStr">
        <is>
          <t>Referido</t>
        </is>
      </c>
      <c r="H2640" t="inlineStr">
        <is>
          <t>Ana Quintero</t>
        </is>
      </c>
      <c r="I2640" t="inlineStr">
        <is>
          <t>Ganado</t>
        </is>
      </c>
      <c r="J2640" s="28" t="n">
        <v>46082</v>
      </c>
      <c r="K2640" s="28" t="n">
        <v>46191</v>
      </c>
      <c r="L2640" t="inlineStr">
        <is>
          <t>Compró Apto 1801 en Conecta Laureles</t>
        </is>
      </c>
    </row>
    <row r="2641">
      <c r="A2641" t="inlineStr">
        <is>
          <t>CLI-2639</t>
        </is>
      </c>
      <c r="B2641" t="inlineStr">
        <is>
          <t>Liliana Henao Vélez</t>
        </is>
      </c>
      <c r="C2641" t="inlineStr">
        <is>
          <t>3228282387</t>
        </is>
      </c>
      <c r="D2641" t="inlineStr">
        <is>
          <t>liliana.henao33@hotmail.com</t>
        </is>
      </c>
      <c r="E2641" t="inlineStr">
        <is>
          <t>Itagüí</t>
        </is>
      </c>
      <c r="F2641" t="inlineStr">
        <is>
          <t>PRY-003</t>
        </is>
      </c>
      <c r="G2641" t="inlineStr">
        <is>
          <t>Instagram</t>
        </is>
      </c>
      <c r="H2641" t="inlineStr">
        <is>
          <t>Andrés Torres</t>
        </is>
      </c>
      <c r="I2641" t="inlineStr">
        <is>
          <t>Perdido</t>
        </is>
      </c>
      <c r="J2641" s="28" t="n">
        <v>46082</v>
      </c>
      <c r="K2641" s="28" t="n">
        <v>46097</v>
      </c>
      <c r="L2641" t="inlineStr">
        <is>
          <t>Sin respuesta tras 3 contactos</t>
        </is>
      </c>
    </row>
    <row r="2642">
      <c r="A2642" t="inlineStr">
        <is>
          <t>CLI-2640</t>
        </is>
      </c>
      <c r="B2642" t="inlineStr">
        <is>
          <t>Simón Franco Bedoya</t>
        </is>
      </c>
      <c r="C2642" t="inlineStr">
        <is>
          <t>3235654738</t>
        </is>
      </c>
      <c r="D2642" t="inlineStr">
        <is>
          <t>simon.franco8@yahoo.com</t>
        </is>
      </c>
      <c r="E2642" t="inlineStr">
        <is>
          <t>Bello</t>
        </is>
      </c>
      <c r="F2642" t="inlineStr">
        <is>
          <t>PRY-005</t>
        </is>
      </c>
      <c r="G2642" t="inlineStr">
        <is>
          <t>Portal Web</t>
        </is>
      </c>
      <c r="H2642" t="inlineStr">
        <is>
          <t>Andrés Torres</t>
        </is>
      </c>
      <c r="I2642" t="inlineStr">
        <is>
          <t>Perdido</t>
        </is>
      </c>
      <c r="J2642" s="28" t="n">
        <v>46082</v>
      </c>
      <c r="K2642" s="28" t="n">
        <v>46107</v>
      </c>
      <c r="L2642" t="inlineStr">
        <is>
          <t>Presupuesto insuficiente</t>
        </is>
      </c>
    </row>
    <row r="2643">
      <c r="A2643" t="inlineStr">
        <is>
          <t>CLI-2641</t>
        </is>
      </c>
      <c r="B2643" t="inlineStr">
        <is>
          <t>Sebastián Salazar Mejía</t>
        </is>
      </c>
      <c r="C2643" t="inlineStr">
        <is>
          <t>3237568230</t>
        </is>
      </c>
      <c r="D2643" t="inlineStr">
        <is>
          <t>sebastian.salazar53@hotmail.com</t>
        </is>
      </c>
      <c r="E2643" t="inlineStr">
        <is>
          <t>Medellín</t>
        </is>
      </c>
      <c r="F2643" t="inlineStr">
        <is>
          <t>PRY-001</t>
        </is>
      </c>
      <c r="G2643" t="inlineStr">
        <is>
          <t>Portal Web</t>
        </is>
      </c>
      <c r="H2643" t="inlineStr">
        <is>
          <t>Luis Bedoya</t>
        </is>
      </c>
      <c r="I2643" t="inlineStr">
        <is>
          <t>Perdido</t>
        </is>
      </c>
      <c r="J2643" s="28" t="n">
        <v>46082</v>
      </c>
      <c r="K2643" s="28" t="n">
        <v>46101</v>
      </c>
      <c r="L2643" t="inlineStr">
        <is>
          <t>Sin respuesta tras 3 contactos</t>
        </is>
      </c>
    </row>
    <row r="2644">
      <c r="A2644" t="inlineStr">
        <is>
          <t>CLI-2642</t>
        </is>
      </c>
      <c r="B2644" t="inlineStr">
        <is>
          <t>Verónica Restrepo Zapata</t>
        </is>
      </c>
      <c r="C2644" t="inlineStr">
        <is>
          <t>3139522492</t>
        </is>
      </c>
      <c r="D2644" t="inlineStr">
        <is>
          <t>veronica.restrepo92@hotmail.com</t>
        </is>
      </c>
      <c r="E2644" t="inlineStr">
        <is>
          <t>Medellín</t>
        </is>
      </c>
      <c r="F2644" t="inlineStr">
        <is>
          <t>PRY-002</t>
        </is>
      </c>
      <c r="G2644" t="inlineStr">
        <is>
          <t>Facebook</t>
        </is>
      </c>
      <c r="H2644" t="inlineStr">
        <is>
          <t>Luis Bedoya</t>
        </is>
      </c>
      <c r="I2644" t="inlineStr">
        <is>
          <t>Negociación</t>
        </is>
      </c>
      <c r="J2644" s="28" t="n">
        <v>46083</v>
      </c>
      <c r="K2644" s="28" t="n">
        <v>46216</v>
      </c>
      <c r="L2644" t="inlineStr">
        <is>
          <t>Negociando descuento por pago de contado</t>
        </is>
      </c>
    </row>
    <row r="2645">
      <c r="A2645" t="inlineStr">
        <is>
          <t>CLI-2643</t>
        </is>
      </c>
      <c r="B2645" t="inlineStr">
        <is>
          <t>Luisa Vélez Agudelo</t>
        </is>
      </c>
      <c r="C2645" t="inlineStr">
        <is>
          <t>3207976662</t>
        </is>
      </c>
      <c r="D2645" t="inlineStr">
        <is>
          <t>luisa.velez27@hotmail.com</t>
        </is>
      </c>
      <c r="E2645" t="inlineStr">
        <is>
          <t>Envigado</t>
        </is>
      </c>
      <c r="F2645" t="inlineStr">
        <is>
          <t>PRY-003</t>
        </is>
      </c>
      <c r="G2645" t="inlineStr">
        <is>
          <t>Facebook</t>
        </is>
      </c>
      <c r="H2645" t="inlineStr">
        <is>
          <t>Luis Bedoya</t>
        </is>
      </c>
      <c r="I2645" t="inlineStr">
        <is>
          <t>Ganado</t>
        </is>
      </c>
      <c r="J2645" s="28" t="n">
        <v>46084</v>
      </c>
      <c r="K2645" s="28" t="n">
        <v>46164</v>
      </c>
      <c r="L2645" t="inlineStr">
        <is>
          <t>Compró Apto 2404 en Conecta Laureles</t>
        </is>
      </c>
    </row>
    <row r="2646">
      <c r="A2646" t="inlineStr">
        <is>
          <t>CLI-2644</t>
        </is>
      </c>
      <c r="B2646" t="inlineStr">
        <is>
          <t>Isabel Uribe Muñoz</t>
        </is>
      </c>
      <c r="C2646" t="inlineStr">
        <is>
          <t>3172694370</t>
        </is>
      </c>
      <c r="D2646" t="inlineStr">
        <is>
          <t>isabel.uribe31@hotmail.com</t>
        </is>
      </c>
      <c r="E2646" t="inlineStr">
        <is>
          <t>Envigado</t>
        </is>
      </c>
      <c r="F2646" t="inlineStr">
        <is>
          <t>PRY-001</t>
        </is>
      </c>
      <c r="G2646" t="inlineStr">
        <is>
          <t>Llamada directa</t>
        </is>
      </c>
      <c r="H2646" t="inlineStr">
        <is>
          <t>Andrés Torres</t>
        </is>
      </c>
      <c r="I2646" t="inlineStr">
        <is>
          <t>Ganado</t>
        </is>
      </c>
      <c r="J2646" s="28" t="n">
        <v>46084</v>
      </c>
      <c r="K2646" s="28" t="n">
        <v>46188</v>
      </c>
      <c r="L2646" t="inlineStr">
        <is>
          <t>Compró Apto 403 en Torres del Poblado</t>
        </is>
      </c>
    </row>
    <row r="2647">
      <c r="A2647" t="inlineStr">
        <is>
          <t>CLI-2645</t>
        </is>
      </c>
      <c r="B2647" t="inlineStr">
        <is>
          <t>David Vélez Vélez</t>
        </is>
      </c>
      <c r="C2647" t="inlineStr">
        <is>
          <t>3202921039</t>
        </is>
      </c>
      <c r="D2647" t="inlineStr">
        <is>
          <t>david.velez41@hotmail.com</t>
        </is>
      </c>
      <c r="E2647" t="inlineStr">
        <is>
          <t>Medellín</t>
        </is>
      </c>
      <c r="F2647" t="inlineStr">
        <is>
          <t>PRY-001</t>
        </is>
      </c>
      <c r="G2647" t="inlineStr">
        <is>
          <t>Instagram</t>
        </is>
      </c>
      <c r="H2647" t="inlineStr">
        <is>
          <t>Sofía Prada</t>
        </is>
      </c>
      <c r="I2647" t="inlineStr">
        <is>
          <t>Perdido</t>
        </is>
      </c>
      <c r="J2647" s="28" t="n">
        <v>46084</v>
      </c>
      <c r="K2647" s="28" t="n">
        <v>46106</v>
      </c>
      <c r="L2647" t="inlineStr">
        <is>
          <t>Presupuesto insuficiente</t>
        </is>
      </c>
    </row>
    <row r="2648">
      <c r="A2648" t="inlineStr">
        <is>
          <t>CLI-2646</t>
        </is>
      </c>
      <c r="B2648" t="inlineStr">
        <is>
          <t>Manuela Vásquez Montoya</t>
        </is>
      </c>
      <c r="C2648" t="inlineStr">
        <is>
          <t>3134691332</t>
        </is>
      </c>
      <c r="D2648" t="inlineStr">
        <is>
          <t>manuela.vasquez51@outlook.com</t>
        </is>
      </c>
      <c r="E2648" t="inlineStr">
        <is>
          <t>Bello</t>
        </is>
      </c>
      <c r="F2648" t="inlineStr">
        <is>
          <t>PRY-003</t>
        </is>
      </c>
      <c r="G2648" t="inlineStr">
        <is>
          <t>Portal Web</t>
        </is>
      </c>
      <c r="H2648" t="inlineStr">
        <is>
          <t>Luis Bedoya</t>
        </is>
      </c>
      <c r="I2648" t="inlineStr">
        <is>
          <t>Perdido</t>
        </is>
      </c>
      <c r="J2648" s="28" t="n">
        <v>46084</v>
      </c>
      <c r="K2648" s="28" t="n">
        <v>46104</v>
      </c>
      <c r="L2648" t="inlineStr">
        <is>
          <t>Datos de contacto errados</t>
        </is>
      </c>
    </row>
    <row r="2649">
      <c r="A2649" t="inlineStr">
        <is>
          <t>CLI-2647</t>
        </is>
      </c>
      <c r="B2649" t="inlineStr">
        <is>
          <t>Verónica Cifuentes Giraldo</t>
        </is>
      </c>
      <c r="C2649" t="inlineStr">
        <is>
          <t>3144496726</t>
        </is>
      </c>
      <c r="D2649" t="inlineStr">
        <is>
          <t>veronica.cifuentes64@gmail.com</t>
        </is>
      </c>
      <c r="E2649" t="inlineStr">
        <is>
          <t>Bello</t>
        </is>
      </c>
      <c r="F2649" t="inlineStr">
        <is>
          <t>PRY-005</t>
        </is>
      </c>
      <c r="G2649" t="inlineStr">
        <is>
          <t>Instagram</t>
        </is>
      </c>
      <c r="H2649" t="inlineStr">
        <is>
          <t>Sofía Prada</t>
        </is>
      </c>
      <c r="I2649" t="inlineStr">
        <is>
          <t>Perdido</t>
        </is>
      </c>
      <c r="J2649" s="28" t="n">
        <v>46084</v>
      </c>
      <c r="K2649" s="28" t="n">
        <v>46093</v>
      </c>
      <c r="L2649" t="inlineStr">
        <is>
          <t>Sin respuesta tras 3 contactos</t>
        </is>
      </c>
    </row>
    <row r="2650">
      <c r="A2650" t="inlineStr">
        <is>
          <t>CLI-2648</t>
        </is>
      </c>
      <c r="B2650" t="inlineStr">
        <is>
          <t>Mariana Palacio Jaramillo</t>
        </is>
      </c>
      <c r="C2650" t="inlineStr">
        <is>
          <t>3175026320</t>
        </is>
      </c>
      <c r="D2650" t="inlineStr">
        <is>
          <t>mariana.palacio11@hotmail.com</t>
        </is>
      </c>
      <c r="E2650" t="inlineStr">
        <is>
          <t>Rionegro</t>
        </is>
      </c>
      <c r="F2650" t="inlineStr">
        <is>
          <t>PRY-006</t>
        </is>
      </c>
      <c r="G2650" t="inlineStr">
        <is>
          <t>Instagram</t>
        </is>
      </c>
      <c r="H2650" t="inlineStr">
        <is>
          <t>Ana Quintero</t>
        </is>
      </c>
      <c r="I2650" t="inlineStr">
        <is>
          <t>Perdido</t>
        </is>
      </c>
      <c r="J2650" s="28" t="n">
        <v>46084</v>
      </c>
      <c r="K2650" s="28" t="n">
        <v>46105</v>
      </c>
      <c r="L2650" t="inlineStr">
        <is>
          <t>Sin respuesta tras 3 contactos</t>
        </is>
      </c>
    </row>
    <row r="2651">
      <c r="A2651" t="inlineStr">
        <is>
          <t>CLI-2649</t>
        </is>
      </c>
      <c r="B2651" t="inlineStr">
        <is>
          <t>Sara Muñoz Gaviria</t>
        </is>
      </c>
      <c r="C2651" t="inlineStr">
        <is>
          <t>3132180002</t>
        </is>
      </c>
      <c r="D2651" t="inlineStr">
        <is>
          <t>sara.munoz68@outlook.com</t>
        </is>
      </c>
      <c r="E2651" t="inlineStr">
        <is>
          <t>La Estrella</t>
        </is>
      </c>
      <c r="F2651" t="inlineStr">
        <is>
          <t>PRY-001</t>
        </is>
      </c>
      <c r="G2651" t="inlineStr">
        <is>
          <t>Llamada directa</t>
        </is>
      </c>
      <c r="H2651" t="inlineStr">
        <is>
          <t>Santiago Muñoz</t>
        </is>
      </c>
      <c r="I2651" t="inlineStr">
        <is>
          <t>Ganado</t>
        </is>
      </c>
      <c r="J2651" s="28" t="n">
        <v>46085</v>
      </c>
      <c r="K2651" s="28" t="n">
        <v>46206</v>
      </c>
      <c r="L2651" t="inlineStr">
        <is>
          <t>Compró Apto 1404 en Torres del Poblado</t>
        </is>
      </c>
    </row>
    <row r="2652">
      <c r="A2652" t="inlineStr">
        <is>
          <t>CLI-2650</t>
        </is>
      </c>
      <c r="B2652" t="inlineStr">
        <is>
          <t>Carlos Salazar Cano</t>
        </is>
      </c>
      <c r="C2652" t="inlineStr">
        <is>
          <t>3249288041</t>
        </is>
      </c>
      <c r="D2652" t="inlineStr">
        <is>
          <t>carlos.salazar86@outlook.com</t>
        </is>
      </c>
      <c r="E2652" t="inlineStr">
        <is>
          <t>Rionegro</t>
        </is>
      </c>
      <c r="F2652" t="inlineStr">
        <is>
          <t>PRY-005</t>
        </is>
      </c>
      <c r="G2652" t="inlineStr">
        <is>
          <t>Portal Web</t>
        </is>
      </c>
      <c r="H2652" t="inlineStr">
        <is>
          <t>Luis Bedoya</t>
        </is>
      </c>
      <c r="I2652" t="inlineStr">
        <is>
          <t>Propuesta enviada</t>
        </is>
      </c>
      <c r="J2652" s="28" t="n">
        <v>46085</v>
      </c>
      <c r="K2652" s="28" t="n">
        <v>46215</v>
      </c>
      <c r="L2652" t="inlineStr">
        <is>
          <t>Evaluando plan de pagos</t>
        </is>
      </c>
    </row>
    <row r="2653">
      <c r="A2653" t="inlineStr">
        <is>
          <t>CLI-2651</t>
        </is>
      </c>
      <c r="B2653" t="inlineStr">
        <is>
          <t>Rodrigo Palacio Higuita</t>
        </is>
      </c>
      <c r="C2653" t="inlineStr">
        <is>
          <t>3204393821</t>
        </is>
      </c>
      <c r="D2653" t="inlineStr">
        <is>
          <t>rodrigo.palacio96@gmail.com</t>
        </is>
      </c>
      <c r="E2653" t="inlineStr">
        <is>
          <t>Medellín</t>
        </is>
      </c>
      <c r="F2653" t="inlineStr">
        <is>
          <t>PRY-003</t>
        </is>
      </c>
      <c r="G2653" t="inlineStr">
        <is>
          <t>Facebook</t>
        </is>
      </c>
      <c r="H2653" t="inlineStr">
        <is>
          <t>Miguel Salazar</t>
        </is>
      </c>
      <c r="I2653" t="inlineStr">
        <is>
          <t>Perdido</t>
        </is>
      </c>
      <c r="J2653" s="28" t="n">
        <v>46086</v>
      </c>
      <c r="K2653" s="28" t="n">
        <v>46128</v>
      </c>
      <c r="L2653" t="inlineStr">
        <is>
          <t>Desistió de la compra</t>
        </is>
      </c>
    </row>
    <row r="2654">
      <c r="A2654" t="inlineStr">
        <is>
          <t>CLI-2652</t>
        </is>
      </c>
      <c r="B2654" t="inlineStr">
        <is>
          <t>Marcela Quintero Henao</t>
        </is>
      </c>
      <c r="C2654" t="inlineStr">
        <is>
          <t>3235014181</t>
        </is>
      </c>
      <c r="D2654" t="inlineStr">
        <is>
          <t>marcela.quintero21@hotmail.com</t>
        </is>
      </c>
      <c r="E2654" t="inlineStr">
        <is>
          <t>Bello</t>
        </is>
      </c>
      <c r="F2654" t="inlineStr">
        <is>
          <t>PRY-001</t>
        </is>
      </c>
      <c r="G2654" t="inlineStr">
        <is>
          <t>Llamada directa</t>
        </is>
      </c>
      <c r="H2654" t="inlineStr">
        <is>
          <t>Andrés Torres</t>
        </is>
      </c>
      <c r="I2654" t="inlineStr">
        <is>
          <t>Perdido</t>
        </is>
      </c>
      <c r="J2654" s="28" t="n">
        <v>46086</v>
      </c>
      <c r="K2654" s="28" t="n">
        <v>46105</v>
      </c>
      <c r="L2654" t="inlineStr">
        <is>
          <t>No calificó para crédito</t>
        </is>
      </c>
    </row>
    <row r="2655">
      <c r="A2655" t="inlineStr">
        <is>
          <t>CLI-2653</t>
        </is>
      </c>
      <c r="B2655" t="inlineStr">
        <is>
          <t>Andrés Castaño Cifuentes</t>
        </is>
      </c>
      <c r="C2655" t="inlineStr">
        <is>
          <t>3015016361</t>
        </is>
      </c>
      <c r="D2655" t="inlineStr">
        <is>
          <t>andres.castano30@outlook.com</t>
        </is>
      </c>
      <c r="E2655" t="inlineStr">
        <is>
          <t>La Estrella</t>
        </is>
      </c>
      <c r="F2655" t="inlineStr">
        <is>
          <t>PRY-002</t>
        </is>
      </c>
      <c r="G2655" t="inlineStr">
        <is>
          <t>Facebook</t>
        </is>
      </c>
      <c r="H2655" t="inlineStr">
        <is>
          <t>Luis Bedoya</t>
        </is>
      </c>
      <c r="I2655" t="inlineStr">
        <is>
          <t>Perdido</t>
        </is>
      </c>
      <c r="J2655" s="28" t="n">
        <v>46087</v>
      </c>
      <c r="K2655" s="28" t="n">
        <v>46096</v>
      </c>
      <c r="L2655" t="inlineStr">
        <is>
          <t>Sin respuesta tras 3 contactos</t>
        </is>
      </c>
    </row>
    <row r="2656">
      <c r="A2656" t="inlineStr">
        <is>
          <t>CLI-2654</t>
        </is>
      </c>
      <c r="B2656" t="inlineStr">
        <is>
          <t>Jhon Pérez Zuluaga</t>
        </is>
      </c>
      <c r="C2656" t="inlineStr">
        <is>
          <t>3173675330</t>
        </is>
      </c>
      <c r="D2656" t="inlineStr">
        <is>
          <t>jhon.perez39@hotmail.com</t>
        </is>
      </c>
      <c r="E2656" t="inlineStr">
        <is>
          <t>Medellín</t>
        </is>
      </c>
      <c r="F2656" t="inlineStr">
        <is>
          <t>PRY-002</t>
        </is>
      </c>
      <c r="G2656" t="inlineStr">
        <is>
          <t>Referido</t>
        </is>
      </c>
      <c r="H2656" t="inlineStr">
        <is>
          <t>Andrés Torres</t>
        </is>
      </c>
      <c r="I2656" t="inlineStr">
        <is>
          <t>Perdido</t>
        </is>
      </c>
      <c r="J2656" s="28" t="n">
        <v>46087</v>
      </c>
      <c r="K2656" s="28" t="n">
        <v>46114</v>
      </c>
      <c r="L2656" t="inlineStr">
        <is>
          <t>Presupuesto insuficiente</t>
        </is>
      </c>
    </row>
    <row r="2657">
      <c r="A2657" t="inlineStr">
        <is>
          <t>CLI-2655</t>
        </is>
      </c>
      <c r="B2657" t="inlineStr">
        <is>
          <t>Sara Agudelo Salazar</t>
        </is>
      </c>
      <c r="C2657" t="inlineStr">
        <is>
          <t>3227665173</t>
        </is>
      </c>
      <c r="D2657" t="inlineStr">
        <is>
          <t>sara.agudelo67@outlook.com</t>
        </is>
      </c>
      <c r="E2657" t="inlineStr">
        <is>
          <t>Medellín</t>
        </is>
      </c>
      <c r="F2657" t="inlineStr">
        <is>
          <t>PRY-001</t>
        </is>
      </c>
      <c r="G2657" t="inlineStr">
        <is>
          <t>Facebook</t>
        </is>
      </c>
      <c r="H2657" t="inlineStr">
        <is>
          <t>Luis Bedoya</t>
        </is>
      </c>
      <c r="I2657" t="inlineStr">
        <is>
          <t>Perdido</t>
        </is>
      </c>
      <c r="J2657" s="28" t="n">
        <v>46087</v>
      </c>
      <c r="K2657" s="28" t="n">
        <v>46115</v>
      </c>
      <c r="L2657" t="inlineStr">
        <is>
          <t>Buscaba arriendo, no compra</t>
        </is>
      </c>
    </row>
    <row r="2658">
      <c r="A2658" t="inlineStr">
        <is>
          <t>CLI-2656</t>
        </is>
      </c>
      <c r="B2658" t="inlineStr">
        <is>
          <t>Gloria Restrepo López</t>
        </is>
      </c>
      <c r="C2658" t="inlineStr">
        <is>
          <t>3154753478</t>
        </is>
      </c>
      <c r="D2658" t="inlineStr">
        <is>
          <t>gloria.restrepo38@hotmail.com</t>
        </is>
      </c>
      <c r="E2658" t="inlineStr">
        <is>
          <t>La Estrella</t>
        </is>
      </c>
      <c r="F2658" t="inlineStr">
        <is>
          <t>PRY-007</t>
        </is>
      </c>
      <c r="G2658" t="inlineStr">
        <is>
          <t>Facebook</t>
        </is>
      </c>
      <c r="H2658" t="inlineStr">
        <is>
          <t>Ana Quintero</t>
        </is>
      </c>
      <c r="I2658" t="inlineStr">
        <is>
          <t>Propuesta enviada</t>
        </is>
      </c>
      <c r="J2658" s="28" t="n">
        <v>46088</v>
      </c>
      <c r="K2658" s="28" t="n">
        <v>46216</v>
      </c>
      <c r="L2658" t="inlineStr">
        <is>
          <t>Cotización enviada</t>
        </is>
      </c>
    </row>
    <row r="2659">
      <c r="A2659" t="inlineStr">
        <is>
          <t>CLI-2657</t>
        </is>
      </c>
      <c r="B2659" t="inlineStr">
        <is>
          <t>Iván Palacio Uribe</t>
        </is>
      </c>
      <c r="C2659" t="inlineStr">
        <is>
          <t>3173462264</t>
        </is>
      </c>
      <c r="D2659" t="inlineStr">
        <is>
          <t>ivan.palacio47@outlook.com</t>
        </is>
      </c>
      <c r="E2659" t="inlineStr">
        <is>
          <t>Sabaneta</t>
        </is>
      </c>
      <c r="F2659" t="inlineStr">
        <is>
          <t>PRY-008</t>
        </is>
      </c>
      <c r="G2659" t="inlineStr">
        <is>
          <t>Facebook</t>
        </is>
      </c>
      <c r="H2659" t="inlineStr">
        <is>
          <t>Luis Bedoya</t>
        </is>
      </c>
      <c r="I2659" t="inlineStr">
        <is>
          <t>Ganado</t>
        </is>
      </c>
      <c r="J2659" s="28" t="n">
        <v>46088</v>
      </c>
      <c r="K2659" s="28" t="n">
        <v>46199</v>
      </c>
      <c r="L2659" t="inlineStr">
        <is>
          <t>Compró Casa 18 en Valle Verde Itagüí</t>
        </is>
      </c>
    </row>
    <row r="2660">
      <c r="A2660" t="inlineStr">
        <is>
          <t>CLI-2658</t>
        </is>
      </c>
      <c r="B2660" t="inlineStr">
        <is>
          <t>Daniela Hernández Cifuentes</t>
        </is>
      </c>
      <c r="C2660" t="inlineStr">
        <is>
          <t>3131035817</t>
        </is>
      </c>
      <c r="D2660" t="inlineStr">
        <is>
          <t>daniela.hernandez5@hotmail.com</t>
        </is>
      </c>
      <c r="E2660" t="inlineStr">
        <is>
          <t>Medellín</t>
        </is>
      </c>
      <c r="F2660" t="inlineStr">
        <is>
          <t>PRY-001</t>
        </is>
      </c>
      <c r="G2660" t="inlineStr">
        <is>
          <t>Llamada directa</t>
        </is>
      </c>
      <c r="H2660" t="inlineStr">
        <is>
          <t>Mateo Herrera</t>
        </is>
      </c>
      <c r="I2660" t="inlineStr">
        <is>
          <t>Perdido</t>
        </is>
      </c>
      <c r="J2660" s="28" t="n">
        <v>46088</v>
      </c>
      <c r="K2660" s="28" t="n">
        <v>46095</v>
      </c>
      <c r="L2660" t="inlineStr">
        <is>
          <t>No calificó para crédito</t>
        </is>
      </c>
    </row>
    <row r="2661">
      <c r="A2661" t="inlineStr">
        <is>
          <t>CLI-2659</t>
        </is>
      </c>
      <c r="B2661" t="inlineStr">
        <is>
          <t>Cristian Rojas Zapata</t>
        </is>
      </c>
      <c r="C2661" t="inlineStr">
        <is>
          <t>3228356238</t>
        </is>
      </c>
      <c r="D2661" t="inlineStr">
        <is>
          <t>cristian.rojas75@yahoo.com</t>
        </is>
      </c>
      <c r="E2661" t="inlineStr">
        <is>
          <t>Medellín</t>
        </is>
      </c>
      <c r="F2661" t="inlineStr">
        <is>
          <t>PRY-001</t>
        </is>
      </c>
      <c r="G2661" t="inlineStr">
        <is>
          <t>Feria Inmobiliaria</t>
        </is>
      </c>
      <c r="H2661" t="inlineStr">
        <is>
          <t>Luis Bedoya</t>
        </is>
      </c>
      <c r="I2661" t="inlineStr">
        <is>
          <t>Perdido</t>
        </is>
      </c>
      <c r="J2661" s="28" t="n">
        <v>46088</v>
      </c>
      <c r="K2661" s="28" t="n">
        <v>46105</v>
      </c>
      <c r="L2661" t="inlineStr">
        <is>
          <t>Buscaba arriendo, no compra</t>
        </is>
      </c>
    </row>
    <row r="2662">
      <c r="A2662" t="inlineStr">
        <is>
          <t>CLI-2660</t>
        </is>
      </c>
      <c r="B2662" t="inlineStr">
        <is>
          <t>Juliana Rojas Salazar</t>
        </is>
      </c>
      <c r="C2662" t="inlineStr">
        <is>
          <t>3007380876</t>
        </is>
      </c>
      <c r="D2662" t="inlineStr">
        <is>
          <t>juliana.rojas33@gmail.com</t>
        </is>
      </c>
      <c r="E2662" t="inlineStr">
        <is>
          <t>Medellín</t>
        </is>
      </c>
      <c r="F2662" t="inlineStr">
        <is>
          <t>PRY-002</t>
        </is>
      </c>
      <c r="G2662" t="inlineStr">
        <is>
          <t>Llamada directa</t>
        </is>
      </c>
      <c r="H2662" t="inlineStr">
        <is>
          <t>Ana Quintero</t>
        </is>
      </c>
      <c r="I2662" t="inlineStr">
        <is>
          <t>Perdido</t>
        </is>
      </c>
      <c r="J2662" s="28" t="n">
        <v>46088</v>
      </c>
      <c r="K2662" s="28" t="n">
        <v>46106</v>
      </c>
      <c r="L2662" t="inlineStr">
        <is>
          <t>Datos de contacto errados</t>
        </is>
      </c>
    </row>
    <row r="2663">
      <c r="A2663" t="inlineStr">
        <is>
          <t>CLI-2661</t>
        </is>
      </c>
      <c r="B2663" t="inlineStr">
        <is>
          <t>Lorena Cano Henao</t>
        </is>
      </c>
      <c r="C2663" t="inlineStr">
        <is>
          <t>3017512502</t>
        </is>
      </c>
      <c r="D2663" t="inlineStr">
        <is>
          <t>lorena.cano86@gmail.com</t>
        </is>
      </c>
      <c r="E2663" t="inlineStr">
        <is>
          <t>Rionegro</t>
        </is>
      </c>
      <c r="F2663" t="inlineStr">
        <is>
          <t>PRY-002</t>
        </is>
      </c>
      <c r="G2663" t="inlineStr">
        <is>
          <t>Feria Inmobiliaria</t>
        </is>
      </c>
      <c r="H2663" t="inlineStr">
        <is>
          <t>Luis Bedoya</t>
        </is>
      </c>
      <c r="I2663" t="inlineStr">
        <is>
          <t>Perdido</t>
        </is>
      </c>
      <c r="J2663" s="28" t="n">
        <v>46088</v>
      </c>
      <c r="K2663" s="28" t="n">
        <v>46114</v>
      </c>
      <c r="L2663" t="inlineStr">
        <is>
          <t>Datos de contacto errados</t>
        </is>
      </c>
    </row>
    <row r="2664">
      <c r="A2664" t="inlineStr">
        <is>
          <t>CLI-2662</t>
        </is>
      </c>
      <c r="B2664" t="inlineStr">
        <is>
          <t>Paola Rojas Rojas</t>
        </is>
      </c>
      <c r="C2664" t="inlineStr">
        <is>
          <t>3231463614</t>
        </is>
      </c>
      <c r="D2664" t="inlineStr">
        <is>
          <t>paola.rojas99@hotmail.com</t>
        </is>
      </c>
      <c r="E2664" t="inlineStr">
        <is>
          <t>Sabaneta</t>
        </is>
      </c>
      <c r="F2664" t="inlineStr">
        <is>
          <t>PRY-002</t>
        </is>
      </c>
      <c r="G2664" t="inlineStr">
        <is>
          <t>Portal Web</t>
        </is>
      </c>
      <c r="H2664" t="inlineStr">
        <is>
          <t>Sofía Prada</t>
        </is>
      </c>
      <c r="I2664" t="inlineStr">
        <is>
          <t>Perdido</t>
        </is>
      </c>
      <c r="J2664" s="28" t="n">
        <v>46089</v>
      </c>
      <c r="K2664" s="28" t="n">
        <v>46104</v>
      </c>
      <c r="L2664" t="inlineStr">
        <is>
          <t>Sin respuesta tras 3 contactos</t>
        </is>
      </c>
    </row>
    <row r="2665">
      <c r="A2665" t="inlineStr">
        <is>
          <t>CLI-2663</t>
        </is>
      </c>
      <c r="B2665" t="inlineStr">
        <is>
          <t>Patricia Salcedo Zuluaga</t>
        </is>
      </c>
      <c r="C2665" t="inlineStr">
        <is>
          <t>3202947298</t>
        </is>
      </c>
      <c r="D2665" t="inlineStr">
        <is>
          <t>patricia.salcedo98@outlook.com</t>
        </is>
      </c>
      <c r="E2665" t="inlineStr">
        <is>
          <t>La Estrella</t>
        </is>
      </c>
      <c r="F2665" t="inlineStr">
        <is>
          <t>PRY-007</t>
        </is>
      </c>
      <c r="G2665" t="inlineStr">
        <is>
          <t>Portal Web</t>
        </is>
      </c>
      <c r="H2665" t="inlineStr">
        <is>
          <t>Miguel Salazar</t>
        </is>
      </c>
      <c r="I2665" t="inlineStr">
        <is>
          <t>Perdido</t>
        </is>
      </c>
      <c r="J2665" s="28" t="n">
        <v>46089</v>
      </c>
      <c r="K2665" s="28" t="n">
        <v>46100</v>
      </c>
      <c r="L2665" t="inlineStr">
        <is>
          <t>Sin respuesta tras 3 contactos</t>
        </is>
      </c>
    </row>
    <row r="2666">
      <c r="A2666" t="inlineStr">
        <is>
          <t>CLI-2664</t>
        </is>
      </c>
      <c r="B2666" t="inlineStr">
        <is>
          <t>Alejandro Salazar López</t>
        </is>
      </c>
      <c r="C2666" t="inlineStr">
        <is>
          <t>3246069770</t>
        </is>
      </c>
      <c r="D2666" t="inlineStr">
        <is>
          <t>alejandro.salazar40@yahoo.com</t>
        </is>
      </c>
      <c r="E2666" t="inlineStr">
        <is>
          <t>Rionegro</t>
        </is>
      </c>
      <c r="F2666" t="inlineStr">
        <is>
          <t>PRY-006</t>
        </is>
      </c>
      <c r="G2666" t="inlineStr">
        <is>
          <t>Referido</t>
        </is>
      </c>
      <c r="H2666" t="inlineStr">
        <is>
          <t>Juliana Vélez</t>
        </is>
      </c>
      <c r="I2666" t="inlineStr">
        <is>
          <t>Ganado</t>
        </is>
      </c>
      <c r="J2666" s="28" t="n">
        <v>46090</v>
      </c>
      <c r="K2666" s="28" t="n">
        <v>46233</v>
      </c>
      <c r="L2666" t="inlineStr">
        <is>
          <t>Compró Local 32 en Plaza Bello</t>
        </is>
      </c>
    </row>
    <row r="2667">
      <c r="A2667" t="inlineStr">
        <is>
          <t>CLI-2665</t>
        </is>
      </c>
      <c r="B2667" t="inlineStr">
        <is>
          <t>David Franco Betancur</t>
        </is>
      </c>
      <c r="C2667" t="inlineStr">
        <is>
          <t>3142124631</t>
        </is>
      </c>
      <c r="D2667" t="inlineStr">
        <is>
          <t>david.franco90@yahoo.com</t>
        </is>
      </c>
      <c r="E2667" t="inlineStr">
        <is>
          <t>Itagüí</t>
        </is>
      </c>
      <c r="F2667" t="inlineStr">
        <is>
          <t>PRY-008</t>
        </is>
      </c>
      <c r="G2667" t="inlineStr">
        <is>
          <t>Portal Web</t>
        </is>
      </c>
      <c r="H2667" t="inlineStr">
        <is>
          <t>Paula Arenas</t>
        </is>
      </c>
      <c r="I2667" t="inlineStr">
        <is>
          <t>Ganado</t>
        </is>
      </c>
      <c r="J2667" s="28" t="n">
        <v>46090</v>
      </c>
      <c r="K2667" s="28" t="n">
        <v>46188</v>
      </c>
      <c r="L2667" t="inlineStr">
        <is>
          <t>Compró Casa 13 en Valle Verde Itagüí</t>
        </is>
      </c>
    </row>
    <row r="2668">
      <c r="A2668" t="inlineStr">
        <is>
          <t>CLI-2666</t>
        </is>
      </c>
      <c r="B2668" t="inlineStr">
        <is>
          <t>Sofía Valencia Cardona</t>
        </is>
      </c>
      <c r="C2668" t="inlineStr">
        <is>
          <t>3143172426</t>
        </is>
      </c>
      <c r="D2668" t="inlineStr">
        <is>
          <t>sofia.valencia79@yahoo.com</t>
        </is>
      </c>
      <c r="E2668" t="inlineStr">
        <is>
          <t>Medellín</t>
        </is>
      </c>
      <c r="F2668" t="inlineStr">
        <is>
          <t>PRY-003</t>
        </is>
      </c>
      <c r="G2668" t="inlineStr">
        <is>
          <t>Facebook</t>
        </is>
      </c>
      <c r="H2668" t="inlineStr">
        <is>
          <t>Juliana Vélez</t>
        </is>
      </c>
      <c r="I2668" t="inlineStr">
        <is>
          <t>Perdido</t>
        </is>
      </c>
      <c r="J2668" s="28" t="n">
        <v>46090</v>
      </c>
      <c r="K2668" s="28" t="n">
        <v>46101</v>
      </c>
      <c r="L2668" t="inlineStr">
        <is>
          <t>Presupuesto insuficiente</t>
        </is>
      </c>
    </row>
    <row r="2669">
      <c r="A2669" t="inlineStr">
        <is>
          <t>CLI-2667</t>
        </is>
      </c>
      <c r="B2669" t="inlineStr">
        <is>
          <t>Juan Pablo Bedoya Ramírez</t>
        </is>
      </c>
      <c r="C2669" t="inlineStr">
        <is>
          <t>3045419462</t>
        </is>
      </c>
      <c r="D2669" t="inlineStr">
        <is>
          <t>juan.bedoya61@yahoo.com</t>
        </is>
      </c>
      <c r="E2669" t="inlineStr">
        <is>
          <t>Envigado</t>
        </is>
      </c>
      <c r="F2669" t="inlineStr">
        <is>
          <t>PRY-007</t>
        </is>
      </c>
      <c r="G2669" t="inlineStr">
        <is>
          <t>Instagram</t>
        </is>
      </c>
      <c r="H2669" t="inlineStr">
        <is>
          <t>Juliana Vélez</t>
        </is>
      </c>
      <c r="I2669" t="inlineStr">
        <is>
          <t>Perdido</t>
        </is>
      </c>
      <c r="J2669" s="28" t="n">
        <v>46090</v>
      </c>
      <c r="K2669" s="28" t="n">
        <v>46108</v>
      </c>
      <c r="L2669" t="inlineStr">
        <is>
          <t>Sin respuesta tras 3 contactos</t>
        </is>
      </c>
    </row>
    <row r="2670">
      <c r="A2670" t="inlineStr">
        <is>
          <t>CLI-2668</t>
        </is>
      </c>
      <c r="B2670" t="inlineStr">
        <is>
          <t>Julián Zapata Salcedo</t>
        </is>
      </c>
      <c r="C2670" t="inlineStr">
        <is>
          <t>3134036957</t>
        </is>
      </c>
      <c r="D2670" t="inlineStr">
        <is>
          <t>julian.zapata65@outlook.com</t>
        </is>
      </c>
      <c r="E2670" t="inlineStr">
        <is>
          <t>Medellín</t>
        </is>
      </c>
      <c r="F2670" t="inlineStr">
        <is>
          <t>PRY-003</t>
        </is>
      </c>
      <c r="G2670" t="inlineStr">
        <is>
          <t>Portal Web</t>
        </is>
      </c>
      <c r="H2670" t="inlineStr">
        <is>
          <t>Santiago Muñoz</t>
        </is>
      </c>
      <c r="I2670" t="inlineStr">
        <is>
          <t>Ganado</t>
        </is>
      </c>
      <c r="J2670" s="28" t="n">
        <v>46091</v>
      </c>
      <c r="K2670" s="28" t="n">
        <v>46232</v>
      </c>
      <c r="L2670" t="inlineStr">
        <is>
          <t>Compró Apto 903 en Conecta Laureles</t>
        </is>
      </c>
    </row>
    <row r="2671">
      <c r="A2671" t="inlineStr">
        <is>
          <t>CLI-2669</t>
        </is>
      </c>
      <c r="B2671" t="inlineStr">
        <is>
          <t>Lorena Cano Rojas</t>
        </is>
      </c>
      <c r="C2671" t="inlineStr">
        <is>
          <t>3202494737</t>
        </is>
      </c>
      <c r="D2671" t="inlineStr">
        <is>
          <t>lorena.cano73@hotmail.com</t>
        </is>
      </c>
      <c r="E2671" t="inlineStr">
        <is>
          <t>Medellín</t>
        </is>
      </c>
      <c r="F2671" t="inlineStr">
        <is>
          <t>PRY-001</t>
        </is>
      </c>
      <c r="G2671" t="inlineStr">
        <is>
          <t>Instagram</t>
        </is>
      </c>
      <c r="H2671" t="inlineStr">
        <is>
          <t>Luis Bedoya</t>
        </is>
      </c>
      <c r="I2671" t="inlineStr">
        <is>
          <t>Perdido</t>
        </is>
      </c>
      <c r="J2671" s="28" t="n">
        <v>46091</v>
      </c>
      <c r="K2671" s="28" t="n">
        <v>46183</v>
      </c>
      <c r="L2671" t="inlineStr">
        <is>
          <t>Desistió de la compra</t>
        </is>
      </c>
    </row>
    <row r="2672">
      <c r="A2672" t="inlineStr">
        <is>
          <t>CLI-2670</t>
        </is>
      </c>
      <c r="B2672" t="inlineStr">
        <is>
          <t>Jorge Cardona Uribe</t>
        </is>
      </c>
      <c r="C2672" t="inlineStr">
        <is>
          <t>3207181129</t>
        </is>
      </c>
      <c r="D2672" t="inlineStr">
        <is>
          <t>jorge.cardona37@hotmail.com</t>
        </is>
      </c>
      <c r="E2672" t="inlineStr">
        <is>
          <t>Medellín</t>
        </is>
      </c>
      <c r="F2672" t="inlineStr">
        <is>
          <t>PRY-003</t>
        </is>
      </c>
      <c r="G2672" t="inlineStr">
        <is>
          <t>Instagram</t>
        </is>
      </c>
      <c r="H2672" t="inlineStr">
        <is>
          <t>Ana Quintero</t>
        </is>
      </c>
      <c r="I2672" t="inlineStr">
        <is>
          <t>Perdido</t>
        </is>
      </c>
      <c r="J2672" s="28" t="n">
        <v>46091</v>
      </c>
      <c r="K2672" s="28" t="n">
        <v>46120</v>
      </c>
      <c r="L2672" t="inlineStr">
        <is>
          <t>Sin respuesta tras 3 contactos</t>
        </is>
      </c>
    </row>
    <row r="2673">
      <c r="A2673" t="inlineStr">
        <is>
          <t>CLI-2671</t>
        </is>
      </c>
      <c r="B2673" t="inlineStr">
        <is>
          <t>Diana Restrepo Valencia</t>
        </is>
      </c>
      <c r="C2673" t="inlineStr">
        <is>
          <t>3203810514</t>
        </is>
      </c>
      <c r="D2673" t="inlineStr">
        <is>
          <t>diana.restrepo21@outlook.com</t>
        </is>
      </c>
      <c r="E2673" t="inlineStr">
        <is>
          <t>Bello</t>
        </is>
      </c>
      <c r="F2673" t="inlineStr">
        <is>
          <t>PRY-006</t>
        </is>
      </c>
      <c r="G2673" t="inlineStr">
        <is>
          <t>Feria Inmobiliaria</t>
        </is>
      </c>
      <c r="H2673" t="inlineStr">
        <is>
          <t>Andrés Torres</t>
        </is>
      </c>
      <c r="I2673" t="inlineStr">
        <is>
          <t>Perdido</t>
        </is>
      </c>
      <c r="J2673" s="28" t="n">
        <v>46091</v>
      </c>
      <c r="K2673" s="28" t="n">
        <v>46104</v>
      </c>
      <c r="L2673" t="inlineStr">
        <is>
          <t>Sin respuesta tras 3 contactos</t>
        </is>
      </c>
    </row>
    <row r="2674">
      <c r="A2674" t="inlineStr">
        <is>
          <t>CLI-2672</t>
        </is>
      </c>
      <c r="B2674" t="inlineStr">
        <is>
          <t>Felipe Peláez Osorio</t>
        </is>
      </c>
      <c r="C2674" t="inlineStr">
        <is>
          <t>3014556400</t>
        </is>
      </c>
      <c r="D2674" t="inlineStr">
        <is>
          <t>felipe.pelaez45@yahoo.com</t>
        </is>
      </c>
      <c r="E2674" t="inlineStr">
        <is>
          <t>Rionegro</t>
        </is>
      </c>
      <c r="F2674" t="inlineStr">
        <is>
          <t>PRY-005</t>
        </is>
      </c>
      <c r="G2674" t="inlineStr">
        <is>
          <t>Referido</t>
        </is>
      </c>
      <c r="H2674" t="inlineStr">
        <is>
          <t>Mateo Herrera</t>
        </is>
      </c>
      <c r="I2674" t="inlineStr">
        <is>
          <t>Perdido</t>
        </is>
      </c>
      <c r="J2674" s="28" t="n">
        <v>46091</v>
      </c>
      <c r="K2674" s="28" t="n">
        <v>46106</v>
      </c>
      <c r="L2674" t="inlineStr">
        <is>
          <t>Sin respuesta tras 3 contactos</t>
        </is>
      </c>
    </row>
    <row r="2675">
      <c r="A2675" t="inlineStr">
        <is>
          <t>CLI-2673</t>
        </is>
      </c>
      <c r="B2675" t="inlineStr">
        <is>
          <t>Daniela Marín Salcedo</t>
        </is>
      </c>
      <c r="C2675" t="inlineStr">
        <is>
          <t>3109423460</t>
        </is>
      </c>
      <c r="D2675" t="inlineStr">
        <is>
          <t>daniela.marin28@gmail.com</t>
        </is>
      </c>
      <c r="E2675" t="inlineStr">
        <is>
          <t>Itagüí</t>
        </is>
      </c>
      <c r="F2675" t="inlineStr">
        <is>
          <t>PRY-008</t>
        </is>
      </c>
      <c r="G2675" t="inlineStr">
        <is>
          <t>Instagram</t>
        </is>
      </c>
      <c r="H2675" t="inlineStr">
        <is>
          <t>Sofía Prada</t>
        </is>
      </c>
      <c r="I2675" t="inlineStr">
        <is>
          <t>Perdido</t>
        </is>
      </c>
      <c r="J2675" s="28" t="n">
        <v>46092</v>
      </c>
      <c r="K2675" s="28" t="n">
        <v>46119</v>
      </c>
      <c r="L2675" t="inlineStr">
        <is>
          <t>No calificó para crédito</t>
        </is>
      </c>
    </row>
    <row r="2676">
      <c r="A2676" t="inlineStr">
        <is>
          <t>CLI-2674</t>
        </is>
      </c>
      <c r="B2676" t="inlineStr">
        <is>
          <t>Catalina Duque Duque</t>
        </is>
      </c>
      <c r="C2676" t="inlineStr">
        <is>
          <t>3158178904</t>
        </is>
      </c>
      <c r="D2676" t="inlineStr">
        <is>
          <t>catalina.duque45@hotmail.com</t>
        </is>
      </c>
      <c r="E2676" t="inlineStr">
        <is>
          <t>Bello</t>
        </is>
      </c>
      <c r="F2676" t="inlineStr">
        <is>
          <t>PRY-006</t>
        </is>
      </c>
      <c r="G2676" t="inlineStr">
        <is>
          <t>Llamada directa</t>
        </is>
      </c>
      <c r="H2676" t="inlineStr">
        <is>
          <t>Juliana Vélez</t>
        </is>
      </c>
      <c r="I2676" t="inlineStr">
        <is>
          <t>Perdido</t>
        </is>
      </c>
      <c r="J2676" s="28" t="n">
        <v>46092</v>
      </c>
      <c r="K2676" s="28" t="n">
        <v>46101</v>
      </c>
      <c r="L2676" t="inlineStr">
        <is>
          <t>Sin respuesta tras 3 contactos</t>
        </is>
      </c>
    </row>
    <row r="2677">
      <c r="A2677" t="inlineStr">
        <is>
          <t>CLI-2675</t>
        </is>
      </c>
      <c r="B2677" t="inlineStr">
        <is>
          <t>Wilson Duque Sánchez</t>
        </is>
      </c>
      <c r="C2677" t="inlineStr">
        <is>
          <t>3173033559</t>
        </is>
      </c>
      <c r="D2677" t="inlineStr">
        <is>
          <t>wilson.duque71@outlook.com</t>
        </is>
      </c>
      <c r="E2677" t="inlineStr">
        <is>
          <t>Envigado</t>
        </is>
      </c>
      <c r="F2677" t="inlineStr">
        <is>
          <t>PRY-007</t>
        </is>
      </c>
      <c r="G2677" t="inlineStr">
        <is>
          <t>Facebook</t>
        </is>
      </c>
      <c r="H2677" t="inlineStr">
        <is>
          <t>Santiago Muñoz</t>
        </is>
      </c>
      <c r="I2677" t="inlineStr">
        <is>
          <t>Perdido</t>
        </is>
      </c>
      <c r="J2677" s="28" t="n">
        <v>46093</v>
      </c>
      <c r="K2677" s="28" t="n">
        <v>46114</v>
      </c>
      <c r="L2677" t="inlineStr">
        <is>
          <t>Presupuesto insuficiente</t>
        </is>
      </c>
    </row>
    <row r="2678">
      <c r="A2678" t="inlineStr">
        <is>
          <t>CLI-2676</t>
        </is>
      </c>
      <c r="B2678" t="inlineStr">
        <is>
          <t>Nicolás Franco Peláez</t>
        </is>
      </c>
      <c r="C2678" t="inlineStr">
        <is>
          <t>3043905920</t>
        </is>
      </c>
      <c r="D2678" t="inlineStr">
        <is>
          <t>nicolas.franco43@outlook.com</t>
        </is>
      </c>
      <c r="E2678" t="inlineStr">
        <is>
          <t>Rionegro</t>
        </is>
      </c>
      <c r="F2678" t="inlineStr">
        <is>
          <t>PRY-005</t>
        </is>
      </c>
      <c r="G2678" t="inlineStr">
        <is>
          <t>Instagram</t>
        </is>
      </c>
      <c r="H2678" t="inlineStr">
        <is>
          <t>Ana Quintero</t>
        </is>
      </c>
      <c r="I2678" t="inlineStr">
        <is>
          <t>Negociación</t>
        </is>
      </c>
      <c r="J2678" s="28" t="n">
        <v>46094</v>
      </c>
      <c r="K2678" s="28" t="n">
        <v>46210</v>
      </c>
      <c r="L2678" t="inlineStr">
        <is>
          <t>Negociando descuento por pago de contado</t>
        </is>
      </c>
    </row>
    <row r="2679">
      <c r="A2679" t="inlineStr">
        <is>
          <t>CLI-2677</t>
        </is>
      </c>
      <c r="B2679" t="inlineStr">
        <is>
          <t>Catalina Toro Londoño</t>
        </is>
      </c>
      <c r="C2679" t="inlineStr">
        <is>
          <t>3171899483</t>
        </is>
      </c>
      <c r="D2679" t="inlineStr">
        <is>
          <t>catalina.toro3@outlook.com</t>
        </is>
      </c>
      <c r="E2679" t="inlineStr">
        <is>
          <t>Rionegro</t>
        </is>
      </c>
      <c r="F2679" t="inlineStr">
        <is>
          <t>PRY-005</t>
        </is>
      </c>
      <c r="G2679" t="inlineStr">
        <is>
          <t>Llamada directa</t>
        </is>
      </c>
      <c r="H2679" t="inlineStr">
        <is>
          <t>Santiago Muñoz</t>
        </is>
      </c>
      <c r="I2679" t="inlineStr">
        <is>
          <t>Perdido</t>
        </is>
      </c>
      <c r="J2679" s="28" t="n">
        <v>46094</v>
      </c>
      <c r="K2679" s="28" t="n">
        <v>46151</v>
      </c>
      <c r="L2679" t="inlineStr">
        <is>
          <t>Precio fuera de presupuesto</t>
        </is>
      </c>
    </row>
    <row r="2680">
      <c r="A2680" t="inlineStr">
        <is>
          <t>CLI-2678</t>
        </is>
      </c>
      <c r="B2680" t="inlineStr">
        <is>
          <t>Laura Gómez Muñoz</t>
        </is>
      </c>
      <c r="C2680" t="inlineStr">
        <is>
          <t>3045529750</t>
        </is>
      </c>
      <c r="D2680" t="inlineStr">
        <is>
          <t>laura.gomez92@hotmail.com</t>
        </is>
      </c>
      <c r="E2680" t="inlineStr">
        <is>
          <t>Sabaneta</t>
        </is>
      </c>
      <c r="F2680" t="inlineStr">
        <is>
          <t>PRY-006</t>
        </is>
      </c>
      <c r="G2680" t="inlineStr">
        <is>
          <t>Portal Web</t>
        </is>
      </c>
      <c r="H2680" t="inlineStr">
        <is>
          <t>Juliana Vélez</t>
        </is>
      </c>
      <c r="I2680" t="inlineStr">
        <is>
          <t>Perdido</t>
        </is>
      </c>
      <c r="J2680" s="28" t="n">
        <v>46094</v>
      </c>
      <c r="K2680" s="28" t="n">
        <v>46111</v>
      </c>
      <c r="L2680" t="inlineStr">
        <is>
          <t>No calificó para crédito</t>
        </is>
      </c>
    </row>
    <row r="2681">
      <c r="A2681" t="inlineStr">
        <is>
          <t>CLI-2679</t>
        </is>
      </c>
      <c r="B2681" t="inlineStr">
        <is>
          <t>Ximena Zuluaga Zuluaga</t>
        </is>
      </c>
      <c r="C2681" t="inlineStr">
        <is>
          <t>3133582427</t>
        </is>
      </c>
      <c r="D2681" t="inlineStr">
        <is>
          <t>ximena.zuluaga46@yahoo.com</t>
        </is>
      </c>
      <c r="E2681" t="inlineStr">
        <is>
          <t>La Estrella</t>
        </is>
      </c>
      <c r="F2681" t="inlineStr">
        <is>
          <t>PRY-007</t>
        </is>
      </c>
      <c r="G2681" t="inlineStr">
        <is>
          <t>Facebook</t>
        </is>
      </c>
      <c r="H2681" t="inlineStr">
        <is>
          <t>Juliana Vélez</t>
        </is>
      </c>
      <c r="I2681" t="inlineStr">
        <is>
          <t>Propuesta enviada</t>
        </is>
      </c>
      <c r="J2681" s="28" t="n">
        <v>46095</v>
      </c>
      <c r="K2681" s="28" t="n">
        <v>46206</v>
      </c>
      <c r="L2681" t="inlineStr">
        <is>
          <t>Cotización enviada</t>
        </is>
      </c>
    </row>
    <row r="2682">
      <c r="A2682" t="inlineStr">
        <is>
          <t>CLI-2680</t>
        </is>
      </c>
      <c r="B2682" t="inlineStr">
        <is>
          <t>Fernando Restrepo Arango</t>
        </is>
      </c>
      <c r="C2682" t="inlineStr">
        <is>
          <t>3158804260</t>
        </is>
      </c>
      <c r="D2682" t="inlineStr">
        <is>
          <t>fernando.restrepo76@yahoo.com</t>
        </is>
      </c>
      <c r="E2682" t="inlineStr">
        <is>
          <t>Sabaneta</t>
        </is>
      </c>
      <c r="F2682" t="inlineStr">
        <is>
          <t>PRY-002</t>
        </is>
      </c>
      <c r="G2682" t="inlineStr">
        <is>
          <t>Instagram</t>
        </is>
      </c>
      <c r="H2682" t="inlineStr">
        <is>
          <t>Sofía Prada</t>
        </is>
      </c>
      <c r="I2682" t="inlineStr">
        <is>
          <t>Propuesta enviada</t>
        </is>
      </c>
      <c r="J2682" s="28" t="n">
        <v>46095</v>
      </c>
      <c r="K2682" s="28" t="n">
        <v>46204</v>
      </c>
      <c r="L2682" t="inlineStr">
        <is>
          <t>Evaluando plan de pagos</t>
        </is>
      </c>
    </row>
    <row r="2683">
      <c r="A2683" t="inlineStr">
        <is>
          <t>CLI-2681</t>
        </is>
      </c>
      <c r="B2683" t="inlineStr">
        <is>
          <t>Cristian Vargas Marín</t>
        </is>
      </c>
      <c r="C2683" t="inlineStr">
        <is>
          <t>3013504929</t>
        </is>
      </c>
      <c r="D2683" t="inlineStr">
        <is>
          <t>cristian.vargas17@yahoo.com</t>
        </is>
      </c>
      <c r="E2683" t="inlineStr">
        <is>
          <t>Medellín</t>
        </is>
      </c>
      <c r="F2683" t="inlineStr">
        <is>
          <t>PRY-001</t>
        </is>
      </c>
      <c r="G2683" t="inlineStr">
        <is>
          <t>Facebook</t>
        </is>
      </c>
      <c r="H2683" t="inlineStr">
        <is>
          <t>Ana Quintero</t>
        </is>
      </c>
      <c r="I2683" t="inlineStr">
        <is>
          <t>Perdido</t>
        </is>
      </c>
      <c r="J2683" s="28" t="n">
        <v>46095</v>
      </c>
      <c r="K2683" s="28" t="n">
        <v>46119</v>
      </c>
      <c r="L2683" t="inlineStr">
        <is>
          <t>Datos de contacto errados</t>
        </is>
      </c>
    </row>
    <row r="2684">
      <c r="A2684" t="inlineStr">
        <is>
          <t>CLI-2682</t>
        </is>
      </c>
      <c r="B2684" t="inlineStr">
        <is>
          <t>Mariana Betancur Cardona</t>
        </is>
      </c>
      <c r="C2684" t="inlineStr">
        <is>
          <t>3228912899</t>
        </is>
      </c>
      <c r="D2684" t="inlineStr">
        <is>
          <t>mariana.betancur66@outlook.com</t>
        </is>
      </c>
      <c r="E2684" t="inlineStr">
        <is>
          <t>Rionegro</t>
        </is>
      </c>
      <c r="F2684" t="inlineStr">
        <is>
          <t>PRY-005</t>
        </is>
      </c>
      <c r="G2684" t="inlineStr">
        <is>
          <t>Referido</t>
        </is>
      </c>
      <c r="H2684" t="inlineStr">
        <is>
          <t>Andrés Torres</t>
        </is>
      </c>
      <c r="I2684" t="inlineStr">
        <is>
          <t>Perdido</t>
        </is>
      </c>
      <c r="J2684" s="28" t="n">
        <v>46095</v>
      </c>
      <c r="K2684" s="28" t="n">
        <v>46124</v>
      </c>
      <c r="L2684" t="inlineStr">
        <is>
          <t>Datos de contacto errados</t>
        </is>
      </c>
    </row>
    <row r="2685">
      <c r="A2685" t="inlineStr">
        <is>
          <t>CLI-2683</t>
        </is>
      </c>
      <c r="B2685" t="inlineStr">
        <is>
          <t>Santiago Cano Gómez</t>
        </is>
      </c>
      <c r="C2685" t="inlineStr">
        <is>
          <t>3155831673</t>
        </is>
      </c>
      <c r="D2685" t="inlineStr">
        <is>
          <t>santiago.cano33@outlook.com</t>
        </is>
      </c>
      <c r="E2685" t="inlineStr">
        <is>
          <t>Medellín</t>
        </is>
      </c>
      <c r="F2685" t="inlineStr">
        <is>
          <t>PRY-002</t>
        </is>
      </c>
      <c r="G2685" t="inlineStr">
        <is>
          <t>Portal Web</t>
        </is>
      </c>
      <c r="H2685" t="inlineStr">
        <is>
          <t>Santiago Muñoz</t>
        </is>
      </c>
      <c r="I2685" t="inlineStr">
        <is>
          <t>Perdido</t>
        </is>
      </c>
      <c r="J2685" s="28" t="n">
        <v>46095</v>
      </c>
      <c r="K2685" s="28" t="n">
        <v>46122</v>
      </c>
      <c r="L2685" t="inlineStr">
        <is>
          <t>No calificó para crédito</t>
        </is>
      </c>
    </row>
    <row r="2686">
      <c r="A2686" t="inlineStr">
        <is>
          <t>CLI-2684</t>
        </is>
      </c>
      <c r="B2686" t="inlineStr">
        <is>
          <t>Carolina Espinosa Bedoya</t>
        </is>
      </c>
      <c r="C2686" t="inlineStr">
        <is>
          <t>3221938449</t>
        </is>
      </c>
      <c r="D2686" t="inlineStr">
        <is>
          <t>carolina.espinosa47@gmail.com</t>
        </is>
      </c>
      <c r="E2686" t="inlineStr">
        <is>
          <t>Sabaneta</t>
        </is>
      </c>
      <c r="F2686" t="inlineStr">
        <is>
          <t>PRY-008</t>
        </is>
      </c>
      <c r="G2686" t="inlineStr">
        <is>
          <t>Portal Web</t>
        </is>
      </c>
      <c r="H2686" t="inlineStr">
        <is>
          <t>Sofía Prada</t>
        </is>
      </c>
      <c r="I2686" t="inlineStr">
        <is>
          <t>Ganado</t>
        </is>
      </c>
      <c r="J2686" s="28" t="n">
        <v>46096</v>
      </c>
      <c r="K2686" s="28" t="n">
        <v>46183</v>
      </c>
      <c r="L2686" t="inlineStr">
        <is>
          <t>Compró Casa 84 en Valle Verde Itagüí</t>
        </is>
      </c>
    </row>
    <row r="2687">
      <c r="A2687" t="inlineStr">
        <is>
          <t>CLI-2685</t>
        </is>
      </c>
      <c r="B2687" t="inlineStr">
        <is>
          <t>Daniel Agudelo Muñoz</t>
        </is>
      </c>
      <c r="C2687" t="inlineStr">
        <is>
          <t>3043532529</t>
        </is>
      </c>
      <c r="D2687" t="inlineStr">
        <is>
          <t>daniel.agudelo70@yahoo.com</t>
        </is>
      </c>
      <c r="E2687" t="inlineStr">
        <is>
          <t>Rionegro</t>
        </is>
      </c>
      <c r="F2687" t="inlineStr">
        <is>
          <t>PRY-005</t>
        </is>
      </c>
      <c r="G2687" t="inlineStr">
        <is>
          <t>Instagram</t>
        </is>
      </c>
      <c r="H2687" t="inlineStr">
        <is>
          <t>Miguel Salazar</t>
        </is>
      </c>
      <c r="I2687" t="inlineStr">
        <is>
          <t>Perdido</t>
        </is>
      </c>
      <c r="J2687" s="28" t="n">
        <v>46096</v>
      </c>
      <c r="K2687" s="28" t="n">
        <v>46122</v>
      </c>
      <c r="L2687" t="inlineStr">
        <is>
          <t>No calificó para crédito</t>
        </is>
      </c>
    </row>
    <row r="2688">
      <c r="A2688" t="inlineStr">
        <is>
          <t>CLI-2686</t>
        </is>
      </c>
      <c r="B2688" t="inlineStr">
        <is>
          <t>Wilson Henao Montes</t>
        </is>
      </c>
      <c r="C2688" t="inlineStr">
        <is>
          <t>3104772548</t>
        </is>
      </c>
      <c r="D2688" t="inlineStr">
        <is>
          <t>wilson.henao14@gmail.com</t>
        </is>
      </c>
      <c r="E2688" t="inlineStr">
        <is>
          <t>Bello</t>
        </is>
      </c>
      <c r="F2688" t="inlineStr">
        <is>
          <t>PRY-005</t>
        </is>
      </c>
      <c r="G2688" t="inlineStr">
        <is>
          <t>Facebook</t>
        </is>
      </c>
      <c r="H2688" t="inlineStr">
        <is>
          <t>Paula Arenas</t>
        </is>
      </c>
      <c r="I2688" t="inlineStr">
        <is>
          <t>Perdido</t>
        </is>
      </c>
      <c r="J2688" s="28" t="n">
        <v>46096</v>
      </c>
      <c r="K2688" s="28" t="n">
        <v>46107</v>
      </c>
      <c r="L2688" t="inlineStr">
        <is>
          <t>Buscaba arriendo, no compra</t>
        </is>
      </c>
    </row>
    <row r="2689">
      <c r="A2689" t="inlineStr">
        <is>
          <t>CLI-2687</t>
        </is>
      </c>
      <c r="B2689" t="inlineStr">
        <is>
          <t>Alejandro Sánchez Ochoa</t>
        </is>
      </c>
      <c r="C2689" t="inlineStr">
        <is>
          <t>3229693285</t>
        </is>
      </c>
      <c r="D2689" t="inlineStr">
        <is>
          <t>alejandro.sanchez90@hotmail.com</t>
        </is>
      </c>
      <c r="E2689" t="inlineStr">
        <is>
          <t>Medellín</t>
        </is>
      </c>
      <c r="F2689" t="inlineStr">
        <is>
          <t>PRY-002</t>
        </is>
      </c>
      <c r="G2689" t="inlineStr">
        <is>
          <t>Portal Web</t>
        </is>
      </c>
      <c r="H2689" t="inlineStr">
        <is>
          <t>Luis Bedoya</t>
        </is>
      </c>
      <c r="I2689" t="inlineStr">
        <is>
          <t>Negociación</t>
        </is>
      </c>
      <c r="J2689" s="28" t="n">
        <v>46097</v>
      </c>
      <c r="K2689" s="28" t="n">
        <v>46208</v>
      </c>
      <c r="L2689" t="inlineStr">
        <is>
          <t>Requiere aprobación de crédito</t>
        </is>
      </c>
    </row>
    <row r="2690">
      <c r="A2690" t="inlineStr">
        <is>
          <t>CLI-2688</t>
        </is>
      </c>
      <c r="B2690" t="inlineStr">
        <is>
          <t>Ricardo Correa Álvarez</t>
        </is>
      </c>
      <c r="C2690" t="inlineStr">
        <is>
          <t>3248117452</t>
        </is>
      </c>
      <c r="D2690" t="inlineStr">
        <is>
          <t>ricardo.correa40@outlook.com</t>
        </is>
      </c>
      <c r="E2690" t="inlineStr">
        <is>
          <t>Medellín</t>
        </is>
      </c>
      <c r="F2690" t="inlineStr">
        <is>
          <t>PRY-006</t>
        </is>
      </c>
      <c r="G2690" t="inlineStr">
        <is>
          <t>Instagram</t>
        </is>
      </c>
      <c r="H2690" t="inlineStr">
        <is>
          <t>Juliana Vélez</t>
        </is>
      </c>
      <c r="I2690" t="inlineStr">
        <is>
          <t>Perdido</t>
        </is>
      </c>
      <c r="J2690" s="28" t="n">
        <v>46097</v>
      </c>
      <c r="K2690" s="28" t="n">
        <v>46123</v>
      </c>
      <c r="L2690" t="inlineStr">
        <is>
          <t>Buscaba arriendo, no compra</t>
        </is>
      </c>
    </row>
    <row r="2691">
      <c r="A2691" t="inlineStr">
        <is>
          <t>CLI-2689</t>
        </is>
      </c>
      <c r="B2691" t="inlineStr">
        <is>
          <t>Fernando Castaño Osorio</t>
        </is>
      </c>
      <c r="C2691" t="inlineStr">
        <is>
          <t>3247264669</t>
        </is>
      </c>
      <c r="D2691" t="inlineStr">
        <is>
          <t>fernando.castano76@gmail.com</t>
        </is>
      </c>
      <c r="E2691" t="inlineStr">
        <is>
          <t>Envigado</t>
        </is>
      </c>
      <c r="F2691" t="inlineStr">
        <is>
          <t>PRY-007</t>
        </is>
      </c>
      <c r="G2691" t="inlineStr">
        <is>
          <t>Feria Inmobiliaria</t>
        </is>
      </c>
      <c r="H2691" t="inlineStr">
        <is>
          <t>Ana Quintero</t>
        </is>
      </c>
      <c r="I2691" t="inlineStr">
        <is>
          <t>Perdido</t>
        </is>
      </c>
      <c r="J2691" s="28" t="n">
        <v>46098</v>
      </c>
      <c r="K2691" s="28" t="n">
        <v>46123</v>
      </c>
      <c r="L2691" t="inlineStr">
        <is>
          <t>Sin respuesta tras 3 contactos</t>
        </is>
      </c>
    </row>
    <row r="2692">
      <c r="A2692" t="inlineStr">
        <is>
          <t>CLI-2690</t>
        </is>
      </c>
      <c r="B2692" t="inlineStr">
        <is>
          <t>Ricardo Montes Rojas</t>
        </is>
      </c>
      <c r="C2692" t="inlineStr">
        <is>
          <t>3209464604</t>
        </is>
      </c>
      <c r="D2692" t="inlineStr">
        <is>
          <t>ricardo.montes94@gmail.com</t>
        </is>
      </c>
      <c r="E2692" t="inlineStr">
        <is>
          <t>La Estrella</t>
        </is>
      </c>
      <c r="F2692" t="inlineStr">
        <is>
          <t>PRY-005</t>
        </is>
      </c>
      <c r="G2692" t="inlineStr">
        <is>
          <t>Portal Web</t>
        </is>
      </c>
      <c r="H2692" t="inlineStr">
        <is>
          <t>Juliana Vélez</t>
        </is>
      </c>
      <c r="I2692" t="inlineStr">
        <is>
          <t>Perdido</t>
        </is>
      </c>
      <c r="J2692" s="28" t="n">
        <v>46098</v>
      </c>
      <c r="K2692" s="28" t="n">
        <v>46110</v>
      </c>
      <c r="L2692" t="inlineStr">
        <is>
          <t>Sin respuesta tras 3 contactos</t>
        </is>
      </c>
    </row>
    <row r="2693">
      <c r="A2693" t="inlineStr">
        <is>
          <t>CLI-2691</t>
        </is>
      </c>
      <c r="B2693" t="inlineStr">
        <is>
          <t>Rodrigo Ríos Escobar</t>
        </is>
      </c>
      <c r="C2693" t="inlineStr">
        <is>
          <t>3131259235</t>
        </is>
      </c>
      <c r="D2693" t="inlineStr">
        <is>
          <t>rodrigo.rios55@gmail.com</t>
        </is>
      </c>
      <c r="E2693" t="inlineStr">
        <is>
          <t>Itagüí</t>
        </is>
      </c>
      <c r="F2693" t="inlineStr">
        <is>
          <t>PRY-001</t>
        </is>
      </c>
      <c r="G2693" t="inlineStr">
        <is>
          <t>Facebook</t>
        </is>
      </c>
      <c r="H2693" t="inlineStr">
        <is>
          <t>Miguel Salazar</t>
        </is>
      </c>
      <c r="I2693" t="inlineStr">
        <is>
          <t>Perdido</t>
        </is>
      </c>
      <c r="J2693" s="28" t="n">
        <v>46098</v>
      </c>
      <c r="K2693" s="28" t="n">
        <v>46128</v>
      </c>
      <c r="L2693" t="inlineStr">
        <is>
          <t>No calificó para crédito</t>
        </is>
      </c>
    </row>
    <row r="2694">
      <c r="A2694" t="inlineStr">
        <is>
          <t>CLI-2692</t>
        </is>
      </c>
      <c r="B2694" t="inlineStr">
        <is>
          <t>Gloria Marín Correa</t>
        </is>
      </c>
      <c r="C2694" t="inlineStr">
        <is>
          <t>3108630374</t>
        </is>
      </c>
      <c r="D2694" t="inlineStr">
        <is>
          <t>gloria.marin28@gmail.com</t>
        </is>
      </c>
      <c r="E2694" t="inlineStr">
        <is>
          <t>Itagüí</t>
        </is>
      </c>
      <c r="F2694" t="inlineStr">
        <is>
          <t>PRY-008</t>
        </is>
      </c>
      <c r="G2694" t="inlineStr">
        <is>
          <t>Portal Web</t>
        </is>
      </c>
      <c r="H2694" t="inlineStr">
        <is>
          <t>Paula Arenas</t>
        </is>
      </c>
      <c r="I2694" t="inlineStr">
        <is>
          <t>Perdido</t>
        </is>
      </c>
      <c r="J2694" s="28" t="n">
        <v>46098</v>
      </c>
      <c r="K2694" s="28" t="n">
        <v>46104</v>
      </c>
      <c r="L2694" t="inlineStr">
        <is>
          <t>Presupuesto insuficiente</t>
        </is>
      </c>
    </row>
    <row r="2695">
      <c r="A2695" t="inlineStr">
        <is>
          <t>CLI-2693</t>
        </is>
      </c>
      <c r="B2695" t="inlineStr">
        <is>
          <t>Daniela Zapata Pérez</t>
        </is>
      </c>
      <c r="C2695" t="inlineStr">
        <is>
          <t>3015487992</t>
        </is>
      </c>
      <c r="D2695" t="inlineStr">
        <is>
          <t>daniela.zapata95@yahoo.com</t>
        </is>
      </c>
      <c r="E2695" t="inlineStr">
        <is>
          <t>Bello</t>
        </is>
      </c>
      <c r="F2695" t="inlineStr">
        <is>
          <t>PRY-006</t>
        </is>
      </c>
      <c r="G2695" t="inlineStr">
        <is>
          <t>Referido</t>
        </is>
      </c>
      <c r="H2695" t="inlineStr">
        <is>
          <t>Ana Quintero</t>
        </is>
      </c>
      <c r="I2695" t="inlineStr">
        <is>
          <t>Ganado</t>
        </is>
      </c>
      <c r="J2695" s="28" t="n">
        <v>46099</v>
      </c>
      <c r="K2695" s="28" t="n">
        <v>46211</v>
      </c>
      <c r="L2695" t="inlineStr">
        <is>
          <t>Compró Local 28 en Plaza Bello</t>
        </is>
      </c>
    </row>
    <row r="2696">
      <c r="A2696" t="inlineStr">
        <is>
          <t>CLI-2694</t>
        </is>
      </c>
      <c r="B2696" t="inlineStr">
        <is>
          <t>Felipe Montes Espinosa</t>
        </is>
      </c>
      <c r="C2696" t="inlineStr">
        <is>
          <t>3223656821</t>
        </is>
      </c>
      <c r="D2696" t="inlineStr">
        <is>
          <t>felipe.montes48@outlook.com</t>
        </is>
      </c>
      <c r="E2696" t="inlineStr">
        <is>
          <t>Medellín</t>
        </is>
      </c>
      <c r="F2696" t="inlineStr">
        <is>
          <t>PRY-001</t>
        </is>
      </c>
      <c r="G2696" t="inlineStr">
        <is>
          <t>Facebook</t>
        </is>
      </c>
      <c r="H2696" t="inlineStr">
        <is>
          <t>Mateo Herrera</t>
        </is>
      </c>
      <c r="I2696" t="inlineStr">
        <is>
          <t>Negociación</t>
        </is>
      </c>
      <c r="J2696" s="28" t="n">
        <v>46099</v>
      </c>
      <c r="K2696" s="28" t="n">
        <v>46206</v>
      </c>
      <c r="L2696" t="inlineStr">
        <is>
          <t>Negociando descuento por pago de contado</t>
        </is>
      </c>
    </row>
    <row r="2697">
      <c r="A2697" t="inlineStr">
        <is>
          <t>CLI-2695</t>
        </is>
      </c>
      <c r="B2697" t="inlineStr">
        <is>
          <t>Wilson Montoya Uribe</t>
        </is>
      </c>
      <c r="C2697" t="inlineStr">
        <is>
          <t>3238333904</t>
        </is>
      </c>
      <c r="D2697" t="inlineStr">
        <is>
          <t>wilson.montoya50@yahoo.com</t>
        </is>
      </c>
      <c r="E2697" t="inlineStr">
        <is>
          <t>Medellín</t>
        </is>
      </c>
      <c r="F2697" t="inlineStr">
        <is>
          <t>PRY-003</t>
        </is>
      </c>
      <c r="G2697" t="inlineStr">
        <is>
          <t>Instagram</t>
        </is>
      </c>
      <c r="H2697" t="inlineStr">
        <is>
          <t>Miguel Salazar</t>
        </is>
      </c>
      <c r="I2697" t="inlineStr">
        <is>
          <t>Perdido</t>
        </is>
      </c>
      <c r="J2697" s="28" t="n">
        <v>46099</v>
      </c>
      <c r="K2697" s="28" t="n">
        <v>46113</v>
      </c>
      <c r="L2697" t="inlineStr">
        <is>
          <t>Sin respuesta tras 3 contactos</t>
        </is>
      </c>
    </row>
    <row r="2698">
      <c r="A2698" t="inlineStr">
        <is>
          <t>CLI-2696</t>
        </is>
      </c>
      <c r="B2698" t="inlineStr">
        <is>
          <t>Rodrigo Restrepo Rojas</t>
        </is>
      </c>
      <c r="C2698" t="inlineStr">
        <is>
          <t>3132270390</t>
        </is>
      </c>
      <c r="D2698" t="inlineStr">
        <is>
          <t>rodrigo.restrepo92@outlook.com</t>
        </is>
      </c>
      <c r="E2698" t="inlineStr">
        <is>
          <t>Bello</t>
        </is>
      </c>
      <c r="F2698" t="inlineStr">
        <is>
          <t>PRY-006</t>
        </is>
      </c>
      <c r="G2698" t="inlineStr">
        <is>
          <t>Referido</t>
        </is>
      </c>
      <c r="H2698" t="inlineStr">
        <is>
          <t>Paula Arenas</t>
        </is>
      </c>
      <c r="I2698" t="inlineStr">
        <is>
          <t>Perdido</t>
        </is>
      </c>
      <c r="J2698" s="28" t="n">
        <v>46099</v>
      </c>
      <c r="K2698" s="28" t="n">
        <v>46127</v>
      </c>
      <c r="L2698" t="inlineStr">
        <is>
          <t>Sin respuesta tras 3 contactos</t>
        </is>
      </c>
    </row>
    <row r="2699">
      <c r="A2699" t="inlineStr">
        <is>
          <t>CLI-2697</t>
        </is>
      </c>
      <c r="B2699" t="inlineStr">
        <is>
          <t>Marcela Duque Rojas</t>
        </is>
      </c>
      <c r="C2699" t="inlineStr">
        <is>
          <t>3049297672</t>
        </is>
      </c>
      <c r="D2699" t="inlineStr">
        <is>
          <t>marcela.duque71@yahoo.com</t>
        </is>
      </c>
      <c r="E2699" t="inlineStr">
        <is>
          <t>La Estrella</t>
        </is>
      </c>
      <c r="F2699" t="inlineStr">
        <is>
          <t>PRY-008</t>
        </is>
      </c>
      <c r="G2699" t="inlineStr">
        <is>
          <t>Portal Web</t>
        </is>
      </c>
      <c r="H2699" t="inlineStr">
        <is>
          <t>Sofía Prada</t>
        </is>
      </c>
      <c r="I2699" t="inlineStr">
        <is>
          <t>Perdido</t>
        </is>
      </c>
      <c r="J2699" s="28" t="n">
        <v>46099</v>
      </c>
      <c r="K2699" s="28" t="n">
        <v>46128</v>
      </c>
      <c r="L2699" t="inlineStr">
        <is>
          <t>Buscaba arriendo, no compra</t>
        </is>
      </c>
    </row>
    <row r="2700">
      <c r="A2700" t="inlineStr">
        <is>
          <t>CLI-2698</t>
        </is>
      </c>
      <c r="B2700" t="inlineStr">
        <is>
          <t>Mónica Giraldo Castaño</t>
        </is>
      </c>
      <c r="C2700" t="inlineStr">
        <is>
          <t>3011031175</t>
        </is>
      </c>
      <c r="D2700" t="inlineStr">
        <is>
          <t>monica.giraldo46@yahoo.com</t>
        </is>
      </c>
      <c r="E2700" t="inlineStr">
        <is>
          <t>Rionegro</t>
        </is>
      </c>
      <c r="F2700" t="inlineStr">
        <is>
          <t>PRY-005</t>
        </is>
      </c>
      <c r="G2700" t="inlineStr">
        <is>
          <t>Portal Web</t>
        </is>
      </c>
      <c r="H2700" t="inlineStr">
        <is>
          <t>Luis Bedoya</t>
        </is>
      </c>
      <c r="I2700" t="inlineStr">
        <is>
          <t>Perdido</t>
        </is>
      </c>
      <c r="J2700" s="28" t="n">
        <v>46099</v>
      </c>
      <c r="K2700" s="28" t="n">
        <v>46122</v>
      </c>
      <c r="L2700" t="inlineStr">
        <is>
          <t>Buscaba arriendo, no compra</t>
        </is>
      </c>
    </row>
    <row r="2701">
      <c r="A2701" t="inlineStr">
        <is>
          <t>CLI-2699</t>
        </is>
      </c>
      <c r="B2701" t="inlineStr">
        <is>
          <t>Sofía Escobar Londoño</t>
        </is>
      </c>
      <c r="C2701" t="inlineStr">
        <is>
          <t>3006556756</t>
        </is>
      </c>
      <c r="D2701" t="inlineStr">
        <is>
          <t>sofia.escobar78@gmail.com</t>
        </is>
      </c>
      <c r="E2701" t="inlineStr">
        <is>
          <t>Bello</t>
        </is>
      </c>
      <c r="F2701" t="inlineStr">
        <is>
          <t>PRY-008</t>
        </is>
      </c>
      <c r="G2701" t="inlineStr">
        <is>
          <t>Portal Web</t>
        </is>
      </c>
      <c r="H2701" t="inlineStr">
        <is>
          <t>Ana Quintero</t>
        </is>
      </c>
      <c r="I2701" t="inlineStr">
        <is>
          <t>Perdido</t>
        </is>
      </c>
      <c r="J2701" s="28" t="n">
        <v>46099</v>
      </c>
      <c r="K2701" s="28" t="n">
        <v>46122</v>
      </c>
      <c r="L2701" t="inlineStr">
        <is>
          <t>Presupuesto insuficiente</t>
        </is>
      </c>
    </row>
    <row r="2702">
      <c r="A2702" t="inlineStr">
        <is>
          <t>CLI-2700</t>
        </is>
      </c>
      <c r="B2702" t="inlineStr">
        <is>
          <t>Fernando Quintero Toro</t>
        </is>
      </c>
      <c r="C2702" t="inlineStr">
        <is>
          <t>3172382047</t>
        </is>
      </c>
      <c r="D2702" t="inlineStr">
        <is>
          <t>fernando.quintero53@hotmail.com</t>
        </is>
      </c>
      <c r="E2702" t="inlineStr">
        <is>
          <t>Envigado</t>
        </is>
      </c>
      <c r="F2702" t="inlineStr">
        <is>
          <t>PRY-006</t>
        </is>
      </c>
      <c r="G2702" t="inlineStr">
        <is>
          <t>Instagram</t>
        </is>
      </c>
      <c r="H2702" t="inlineStr">
        <is>
          <t>Daniela Ríos</t>
        </is>
      </c>
      <c r="I2702" t="inlineStr">
        <is>
          <t>Perdido</t>
        </is>
      </c>
      <c r="J2702" s="28" t="n">
        <v>46099</v>
      </c>
      <c r="K2702" s="28" t="n">
        <v>46127</v>
      </c>
      <c r="L2702" t="inlineStr">
        <is>
          <t>Presupuesto insuficiente</t>
        </is>
      </c>
    </row>
    <row r="2703">
      <c r="A2703" t="inlineStr">
        <is>
          <t>CLI-2701</t>
        </is>
      </c>
      <c r="B2703" t="inlineStr">
        <is>
          <t>Daniela Vásquez Franco</t>
        </is>
      </c>
      <c r="C2703" t="inlineStr">
        <is>
          <t>3222922604</t>
        </is>
      </c>
      <c r="D2703" t="inlineStr">
        <is>
          <t>daniela.vasquez41@hotmail.com</t>
        </is>
      </c>
      <c r="E2703" t="inlineStr">
        <is>
          <t>Medellín</t>
        </is>
      </c>
      <c r="F2703" t="inlineStr">
        <is>
          <t>PRY-003</t>
        </is>
      </c>
      <c r="G2703" t="inlineStr">
        <is>
          <t>Instagram</t>
        </is>
      </c>
      <c r="H2703" t="inlineStr">
        <is>
          <t>Paula Arenas</t>
        </is>
      </c>
      <c r="I2703" t="inlineStr">
        <is>
          <t>Perdido</t>
        </is>
      </c>
      <c r="J2703" s="28" t="n">
        <v>46100</v>
      </c>
      <c r="K2703" s="28" t="n">
        <v>46130</v>
      </c>
      <c r="L2703" t="inlineStr">
        <is>
          <t>Eligió otro proyecto</t>
        </is>
      </c>
    </row>
    <row r="2704">
      <c r="A2704" t="inlineStr">
        <is>
          <t>CLI-2702</t>
        </is>
      </c>
      <c r="B2704" t="inlineStr">
        <is>
          <t>Esteban Palacio Marín</t>
        </is>
      </c>
      <c r="C2704" t="inlineStr">
        <is>
          <t>3149938731</t>
        </is>
      </c>
      <c r="D2704" t="inlineStr">
        <is>
          <t>esteban.palacio34@outlook.com</t>
        </is>
      </c>
      <c r="E2704" t="inlineStr">
        <is>
          <t>Bello</t>
        </is>
      </c>
      <c r="F2704" t="inlineStr">
        <is>
          <t>PRY-003</t>
        </is>
      </c>
      <c r="G2704" t="inlineStr">
        <is>
          <t>Portal Web</t>
        </is>
      </c>
      <c r="H2704" t="inlineStr">
        <is>
          <t>Juliana Vélez</t>
        </is>
      </c>
      <c r="I2704" t="inlineStr">
        <is>
          <t>Ganado</t>
        </is>
      </c>
      <c r="J2704" s="28" t="n">
        <v>46100</v>
      </c>
      <c r="K2704" s="28" t="n">
        <v>46181</v>
      </c>
      <c r="L2704" t="inlineStr">
        <is>
          <t>Compró Apto 2506 en Conecta Laureles</t>
        </is>
      </c>
    </row>
    <row r="2705">
      <c r="A2705" t="inlineStr">
        <is>
          <t>CLI-2703</t>
        </is>
      </c>
      <c r="B2705" t="inlineStr">
        <is>
          <t>David Londoño Bedoya</t>
        </is>
      </c>
      <c r="C2705" t="inlineStr">
        <is>
          <t>3204488993</t>
        </is>
      </c>
      <c r="D2705" t="inlineStr">
        <is>
          <t>david.londono35@outlook.com</t>
        </is>
      </c>
      <c r="E2705" t="inlineStr">
        <is>
          <t>Rionegro</t>
        </is>
      </c>
      <c r="F2705" t="inlineStr">
        <is>
          <t>PRY-003</t>
        </is>
      </c>
      <c r="G2705" t="inlineStr">
        <is>
          <t>Instagram</t>
        </is>
      </c>
      <c r="H2705" t="inlineStr">
        <is>
          <t>Sofía Prada</t>
        </is>
      </c>
      <c r="I2705" t="inlineStr">
        <is>
          <t>Ganado</t>
        </is>
      </c>
      <c r="J2705" s="28" t="n">
        <v>46100</v>
      </c>
      <c r="K2705" s="28" t="n">
        <v>46203</v>
      </c>
      <c r="L2705" t="inlineStr">
        <is>
          <t>Compró Apto 1806 en Conecta Laureles</t>
        </is>
      </c>
    </row>
    <row r="2706">
      <c r="A2706" t="inlineStr">
        <is>
          <t>CLI-2704</t>
        </is>
      </c>
      <c r="B2706" t="inlineStr">
        <is>
          <t>Fernando Betancur Mejía</t>
        </is>
      </c>
      <c r="C2706" t="inlineStr">
        <is>
          <t>3171394301</t>
        </is>
      </c>
      <c r="D2706" t="inlineStr">
        <is>
          <t>fernando.betancur47@gmail.com</t>
        </is>
      </c>
      <c r="E2706" t="inlineStr">
        <is>
          <t>Rionegro</t>
        </is>
      </c>
      <c r="F2706" t="inlineStr">
        <is>
          <t>PRY-003</t>
        </is>
      </c>
      <c r="G2706" t="inlineStr">
        <is>
          <t>Portal Web</t>
        </is>
      </c>
      <c r="H2706" t="inlineStr">
        <is>
          <t>Ana Quintero</t>
        </is>
      </c>
      <c r="I2706" t="inlineStr">
        <is>
          <t>Visita agendada</t>
        </is>
      </c>
      <c r="J2706" s="28" t="n">
        <v>46100</v>
      </c>
      <c r="K2706" s="28" t="n">
        <v>46206</v>
      </c>
      <c r="L2706" t="inlineStr">
        <is>
          <t>Visitó el apartamento modelo</t>
        </is>
      </c>
    </row>
    <row r="2707">
      <c r="A2707" t="inlineStr">
        <is>
          <t>CLI-2705</t>
        </is>
      </c>
      <c r="B2707" t="inlineStr">
        <is>
          <t>Julián Cano Giraldo</t>
        </is>
      </c>
      <c r="C2707" t="inlineStr">
        <is>
          <t>3047614617</t>
        </is>
      </c>
      <c r="D2707" t="inlineStr">
        <is>
          <t>julian.cano46@outlook.com</t>
        </is>
      </c>
      <c r="E2707" t="inlineStr">
        <is>
          <t>Medellín</t>
        </is>
      </c>
      <c r="F2707" t="inlineStr">
        <is>
          <t>PRY-003</t>
        </is>
      </c>
      <c r="G2707" t="inlineStr">
        <is>
          <t>Llamada directa</t>
        </is>
      </c>
      <c r="H2707" t="inlineStr">
        <is>
          <t>Luis Bedoya</t>
        </is>
      </c>
      <c r="I2707" t="inlineStr">
        <is>
          <t>Perdido</t>
        </is>
      </c>
      <c r="J2707" s="28" t="n">
        <v>46100</v>
      </c>
      <c r="K2707" s="28" t="n">
        <v>46122</v>
      </c>
      <c r="L2707" t="inlineStr">
        <is>
          <t>Sin respuesta tras 3 contactos</t>
        </is>
      </c>
    </row>
    <row r="2708">
      <c r="A2708" t="inlineStr">
        <is>
          <t>CLI-2706</t>
        </is>
      </c>
      <c r="B2708" t="inlineStr">
        <is>
          <t>Katherine Correa Cano</t>
        </is>
      </c>
      <c r="C2708" t="inlineStr">
        <is>
          <t>3179657844</t>
        </is>
      </c>
      <c r="D2708" t="inlineStr">
        <is>
          <t>katherine.correa84@yahoo.com</t>
        </is>
      </c>
      <c r="E2708" t="inlineStr">
        <is>
          <t>La Estrella</t>
        </is>
      </c>
      <c r="F2708" t="inlineStr">
        <is>
          <t>PRY-008</t>
        </is>
      </c>
      <c r="G2708" t="inlineStr">
        <is>
          <t>Instagram</t>
        </is>
      </c>
      <c r="H2708" t="inlineStr">
        <is>
          <t>Paula Arenas</t>
        </is>
      </c>
      <c r="I2708" t="inlineStr">
        <is>
          <t>Perdido</t>
        </is>
      </c>
      <c r="J2708" s="28" t="n">
        <v>46100</v>
      </c>
      <c r="K2708" s="28" t="n">
        <v>46129</v>
      </c>
      <c r="L2708" t="inlineStr">
        <is>
          <t>Sin respuesta tras 3 contactos</t>
        </is>
      </c>
    </row>
    <row r="2709">
      <c r="A2709" t="inlineStr">
        <is>
          <t>CLI-2707</t>
        </is>
      </c>
      <c r="B2709" t="inlineStr">
        <is>
          <t>Katherine Ramírez Salcedo</t>
        </is>
      </c>
      <c r="C2709" t="inlineStr">
        <is>
          <t>3008310475</t>
        </is>
      </c>
      <c r="D2709" t="inlineStr">
        <is>
          <t>katherine.ramirez7@outlook.com</t>
        </is>
      </c>
      <c r="E2709" t="inlineStr">
        <is>
          <t>Medellín</t>
        </is>
      </c>
      <c r="F2709" t="inlineStr">
        <is>
          <t>PRY-005</t>
        </is>
      </c>
      <c r="G2709" t="inlineStr">
        <is>
          <t>Llamada directa</t>
        </is>
      </c>
      <c r="H2709" t="inlineStr">
        <is>
          <t>Sofía Prada</t>
        </is>
      </c>
      <c r="I2709" t="inlineStr">
        <is>
          <t>Perdido</t>
        </is>
      </c>
      <c r="J2709" s="28" t="n">
        <v>46100</v>
      </c>
      <c r="K2709" s="28" t="n">
        <v>46125</v>
      </c>
      <c r="L2709" t="inlineStr">
        <is>
          <t>Buscaba arriendo, no compra</t>
        </is>
      </c>
    </row>
    <row r="2710">
      <c r="A2710" t="inlineStr">
        <is>
          <t>CLI-2708</t>
        </is>
      </c>
      <c r="B2710" t="inlineStr">
        <is>
          <t>Jhon Cano Valencia</t>
        </is>
      </c>
      <c r="C2710" t="inlineStr">
        <is>
          <t>3224489684</t>
        </is>
      </c>
      <c r="D2710" t="inlineStr">
        <is>
          <t>jhon.cano32@hotmail.com</t>
        </is>
      </c>
      <c r="E2710" t="inlineStr">
        <is>
          <t>Rionegro</t>
        </is>
      </c>
      <c r="F2710" t="inlineStr">
        <is>
          <t>PRY-005</t>
        </is>
      </c>
      <c r="G2710" t="inlineStr">
        <is>
          <t>Llamada directa</t>
        </is>
      </c>
      <c r="H2710" t="inlineStr">
        <is>
          <t>Luis Bedoya</t>
        </is>
      </c>
      <c r="I2710" t="inlineStr">
        <is>
          <t>Perdido</t>
        </is>
      </c>
      <c r="J2710" s="28" t="n">
        <v>46101</v>
      </c>
      <c r="K2710" s="28" t="n">
        <v>46193</v>
      </c>
      <c r="L2710" t="inlineStr">
        <is>
          <t>Crédito no aprobado</t>
        </is>
      </c>
    </row>
    <row r="2711">
      <c r="A2711" t="inlineStr">
        <is>
          <t>CLI-2709</t>
        </is>
      </c>
      <c r="B2711" t="inlineStr">
        <is>
          <t>Felipe Bedoya Arango</t>
        </is>
      </c>
      <c r="C2711" t="inlineStr">
        <is>
          <t>3011033556</t>
        </is>
      </c>
      <c r="D2711" t="inlineStr">
        <is>
          <t>felipe.bedoya86@gmail.com</t>
        </is>
      </c>
      <c r="E2711" t="inlineStr">
        <is>
          <t>Bello</t>
        </is>
      </c>
      <c r="F2711" t="inlineStr">
        <is>
          <t>PRY-006</t>
        </is>
      </c>
      <c r="G2711" t="inlineStr">
        <is>
          <t>Feria Inmobiliaria</t>
        </is>
      </c>
      <c r="H2711" t="inlineStr">
        <is>
          <t>Mateo Herrera</t>
        </is>
      </c>
      <c r="I2711" t="inlineStr">
        <is>
          <t>Perdido</t>
        </is>
      </c>
      <c r="J2711" s="28" t="n">
        <v>46101</v>
      </c>
      <c r="K2711" s="28" t="n">
        <v>46111</v>
      </c>
      <c r="L2711" t="inlineStr">
        <is>
          <t>Presupuesto insuficiente</t>
        </is>
      </c>
    </row>
    <row r="2712">
      <c r="A2712" t="inlineStr">
        <is>
          <t>CLI-2710</t>
        </is>
      </c>
      <c r="B2712" t="inlineStr">
        <is>
          <t>Sofía Ríos Castaño</t>
        </is>
      </c>
      <c r="C2712" t="inlineStr">
        <is>
          <t>3006459116</t>
        </is>
      </c>
      <c r="D2712" t="inlineStr">
        <is>
          <t>sofia.rios59@yahoo.com</t>
        </is>
      </c>
      <c r="E2712" t="inlineStr">
        <is>
          <t>Rionegro</t>
        </is>
      </c>
      <c r="F2712" t="inlineStr">
        <is>
          <t>PRY-003</t>
        </is>
      </c>
      <c r="G2712" t="inlineStr">
        <is>
          <t>Feria Inmobiliaria</t>
        </is>
      </c>
      <c r="H2712" t="inlineStr">
        <is>
          <t>Ana Quintero</t>
        </is>
      </c>
      <c r="I2712" t="inlineStr">
        <is>
          <t>Perdido</t>
        </is>
      </c>
      <c r="J2712" s="28" t="n">
        <v>46101</v>
      </c>
      <c r="K2712" s="28" t="n">
        <v>46113</v>
      </c>
      <c r="L2712" t="inlineStr">
        <is>
          <t>Sin respuesta tras 3 contactos</t>
        </is>
      </c>
    </row>
    <row r="2713">
      <c r="A2713" t="inlineStr">
        <is>
          <t>CLI-2711</t>
        </is>
      </c>
      <c r="B2713" t="inlineStr">
        <is>
          <t>Cristian Palacio Salcedo</t>
        </is>
      </c>
      <c r="C2713" t="inlineStr">
        <is>
          <t>3248255369</t>
        </is>
      </c>
      <c r="D2713" t="inlineStr">
        <is>
          <t>cristian.palacio35@gmail.com</t>
        </is>
      </c>
      <c r="E2713" t="inlineStr">
        <is>
          <t>Medellín</t>
        </is>
      </c>
      <c r="F2713" t="inlineStr">
        <is>
          <t>PRY-001</t>
        </is>
      </c>
      <c r="G2713" t="inlineStr">
        <is>
          <t>Referido</t>
        </is>
      </c>
      <c r="H2713" t="inlineStr">
        <is>
          <t>Andrés Torres</t>
        </is>
      </c>
      <c r="I2713" t="inlineStr">
        <is>
          <t>Ganado</t>
        </is>
      </c>
      <c r="J2713" s="28" t="n">
        <v>46102</v>
      </c>
      <c r="K2713" s="28" t="n">
        <v>46229</v>
      </c>
      <c r="L2713" t="inlineStr">
        <is>
          <t>Compró Apto 703 en Torres del Poblado</t>
        </is>
      </c>
    </row>
    <row r="2714">
      <c r="A2714" t="inlineStr">
        <is>
          <t>CLI-2712</t>
        </is>
      </c>
      <c r="B2714" t="inlineStr">
        <is>
          <t>Mariana Salcedo Marín</t>
        </is>
      </c>
      <c r="C2714" t="inlineStr">
        <is>
          <t>3014393982</t>
        </is>
      </c>
      <c r="D2714" t="inlineStr">
        <is>
          <t>mariana.salcedo52@yahoo.com</t>
        </is>
      </c>
      <c r="E2714" t="inlineStr">
        <is>
          <t>Rionegro</t>
        </is>
      </c>
      <c r="F2714" t="inlineStr">
        <is>
          <t>PRY-001</t>
        </is>
      </c>
      <c r="G2714" t="inlineStr">
        <is>
          <t>Portal Web</t>
        </is>
      </c>
      <c r="H2714" t="inlineStr">
        <is>
          <t>Paula Arenas</t>
        </is>
      </c>
      <c r="I2714" t="inlineStr">
        <is>
          <t>Perdido</t>
        </is>
      </c>
      <c r="J2714" s="28" t="n">
        <v>46102</v>
      </c>
      <c r="K2714" s="28" t="n">
        <v>46112</v>
      </c>
      <c r="L2714" t="inlineStr">
        <is>
          <t>Sin respuesta tras 3 contactos</t>
        </is>
      </c>
    </row>
    <row r="2715">
      <c r="A2715" t="inlineStr">
        <is>
          <t>CLI-2713</t>
        </is>
      </c>
      <c r="B2715" t="inlineStr">
        <is>
          <t>Sebastián Vásquez Restrepo</t>
        </is>
      </c>
      <c r="C2715" t="inlineStr">
        <is>
          <t>3144357749</t>
        </is>
      </c>
      <c r="D2715" t="inlineStr">
        <is>
          <t>sebastian.vasquez16@hotmail.com</t>
        </is>
      </c>
      <c r="E2715" t="inlineStr">
        <is>
          <t>Rionegro</t>
        </is>
      </c>
      <c r="F2715" t="inlineStr">
        <is>
          <t>PRY-005</t>
        </is>
      </c>
      <c r="G2715" t="inlineStr">
        <is>
          <t>Portal Web</t>
        </is>
      </c>
      <c r="H2715" t="inlineStr">
        <is>
          <t>Juliana Vélez</t>
        </is>
      </c>
      <c r="I2715" t="inlineStr">
        <is>
          <t>Perdido</t>
        </is>
      </c>
      <c r="J2715" s="28" t="n">
        <v>46103</v>
      </c>
      <c r="K2715" s="28" t="n">
        <v>46132</v>
      </c>
      <c r="L2715" t="inlineStr">
        <is>
          <t>Buscaba arriendo, no compra</t>
        </is>
      </c>
    </row>
    <row r="2716">
      <c r="A2716" t="inlineStr">
        <is>
          <t>CLI-2714</t>
        </is>
      </c>
      <c r="B2716" t="inlineStr">
        <is>
          <t>Jorge Cifuentes Osorio</t>
        </is>
      </c>
      <c r="C2716" t="inlineStr">
        <is>
          <t>3232476462</t>
        </is>
      </c>
      <c r="D2716" t="inlineStr">
        <is>
          <t>jorge.cifuentes88@hotmail.com</t>
        </is>
      </c>
      <c r="E2716" t="inlineStr">
        <is>
          <t>Envigado</t>
        </is>
      </c>
      <c r="F2716" t="inlineStr">
        <is>
          <t>PRY-002</t>
        </is>
      </c>
      <c r="G2716" t="inlineStr">
        <is>
          <t>Feria Inmobiliaria</t>
        </is>
      </c>
      <c r="H2716" t="inlineStr">
        <is>
          <t>Sofía Prada</t>
        </is>
      </c>
      <c r="I2716" t="inlineStr">
        <is>
          <t>Perdido</t>
        </is>
      </c>
      <c r="J2716" s="28" t="n">
        <v>46103</v>
      </c>
      <c r="K2716" s="28" t="n">
        <v>46130</v>
      </c>
      <c r="L2716" t="inlineStr">
        <is>
          <t>Presupuesto insuficiente</t>
        </is>
      </c>
    </row>
    <row r="2717">
      <c r="A2717" t="inlineStr">
        <is>
          <t>CLI-2715</t>
        </is>
      </c>
      <c r="B2717" t="inlineStr">
        <is>
          <t>Sofía Echeverri Higuita</t>
        </is>
      </c>
      <c r="C2717" t="inlineStr">
        <is>
          <t>3241386381</t>
        </is>
      </c>
      <c r="D2717" t="inlineStr">
        <is>
          <t>sofia.echeverri78@hotmail.com</t>
        </is>
      </c>
      <c r="E2717" t="inlineStr">
        <is>
          <t>Medellín</t>
        </is>
      </c>
      <c r="F2717" t="inlineStr">
        <is>
          <t>PRY-002</t>
        </is>
      </c>
      <c r="G2717" t="inlineStr">
        <is>
          <t>Portal Web</t>
        </is>
      </c>
      <c r="H2717" t="inlineStr">
        <is>
          <t>Miguel Salazar</t>
        </is>
      </c>
      <c r="I2717" t="inlineStr">
        <is>
          <t>Perdido</t>
        </is>
      </c>
      <c r="J2717" s="28" t="n">
        <v>46103</v>
      </c>
      <c r="K2717" s="28" t="n">
        <v>46117</v>
      </c>
      <c r="L2717" t="inlineStr">
        <is>
          <t>Sin respuesta tras 3 contactos</t>
        </is>
      </c>
    </row>
    <row r="2718">
      <c r="A2718" t="inlineStr">
        <is>
          <t>CLI-2716</t>
        </is>
      </c>
      <c r="B2718" t="inlineStr">
        <is>
          <t>Gloria Franco Vásquez</t>
        </is>
      </c>
      <c r="C2718" t="inlineStr">
        <is>
          <t>3204462390</t>
        </is>
      </c>
      <c r="D2718" t="inlineStr">
        <is>
          <t>gloria.franco71@outlook.com</t>
        </is>
      </c>
      <c r="E2718" t="inlineStr">
        <is>
          <t>Medellín</t>
        </is>
      </c>
      <c r="F2718" t="inlineStr">
        <is>
          <t>PRY-003</t>
        </is>
      </c>
      <c r="G2718" t="inlineStr">
        <is>
          <t>Portal Web</t>
        </is>
      </c>
      <c r="H2718" t="inlineStr">
        <is>
          <t>Juliana Vélez</t>
        </is>
      </c>
      <c r="I2718" t="inlineStr">
        <is>
          <t>Perdido</t>
        </is>
      </c>
      <c r="J2718" s="28" t="n">
        <v>46103</v>
      </c>
      <c r="K2718" s="28" t="n">
        <v>46128</v>
      </c>
      <c r="L2718" t="inlineStr">
        <is>
          <t>Buscaba arriendo, no compra</t>
        </is>
      </c>
    </row>
    <row r="2719">
      <c r="A2719" t="inlineStr">
        <is>
          <t>CLI-2717</t>
        </is>
      </c>
      <c r="B2719" t="inlineStr">
        <is>
          <t>Mónica Zapata Mejía</t>
        </is>
      </c>
      <c r="C2719" t="inlineStr">
        <is>
          <t>3155039748</t>
        </is>
      </c>
      <c r="D2719" t="inlineStr">
        <is>
          <t>monica.zapata16@yahoo.com</t>
        </is>
      </c>
      <c r="E2719" t="inlineStr">
        <is>
          <t>Medellín</t>
        </is>
      </c>
      <c r="F2719" t="inlineStr">
        <is>
          <t>PRY-003</t>
        </is>
      </c>
      <c r="G2719" t="inlineStr">
        <is>
          <t>Instagram</t>
        </is>
      </c>
      <c r="H2719" t="inlineStr">
        <is>
          <t>Luis Bedoya</t>
        </is>
      </c>
      <c r="I2719" t="inlineStr">
        <is>
          <t>Perdido</t>
        </is>
      </c>
      <c r="J2719" s="28" t="n">
        <v>46104</v>
      </c>
      <c r="K2719" s="28" t="n">
        <v>46160</v>
      </c>
      <c r="L2719" t="inlineStr">
        <is>
          <t>No volvió a responder</t>
        </is>
      </c>
    </row>
    <row r="2720">
      <c r="A2720" t="inlineStr">
        <is>
          <t>CLI-2718</t>
        </is>
      </c>
      <c r="B2720" t="inlineStr">
        <is>
          <t>Óscar Ramírez Agudelo</t>
        </is>
      </c>
      <c r="C2720" t="inlineStr">
        <is>
          <t>3008187926</t>
        </is>
      </c>
      <c r="D2720" t="inlineStr">
        <is>
          <t>oscar.ramirez14@yahoo.com</t>
        </is>
      </c>
      <c r="E2720" t="inlineStr">
        <is>
          <t>Bello</t>
        </is>
      </c>
      <c r="F2720" t="inlineStr">
        <is>
          <t>PRY-007</t>
        </is>
      </c>
      <c r="G2720" t="inlineStr">
        <is>
          <t>Referido</t>
        </is>
      </c>
      <c r="H2720" t="inlineStr">
        <is>
          <t>Juliana Vélez</t>
        </is>
      </c>
      <c r="I2720" t="inlineStr">
        <is>
          <t>Negociación</t>
        </is>
      </c>
      <c r="J2720" s="28" t="n">
        <v>46104</v>
      </c>
      <c r="K2720" s="28" t="n">
        <v>46207</v>
      </c>
      <c r="L2720" t="inlineStr">
        <is>
          <t>Negociando descuento por pago de contado</t>
        </is>
      </c>
    </row>
    <row r="2721">
      <c r="A2721" t="inlineStr">
        <is>
          <t>CLI-2719</t>
        </is>
      </c>
      <c r="B2721" t="inlineStr">
        <is>
          <t>Jhon Palacio Montoya</t>
        </is>
      </c>
      <c r="C2721" t="inlineStr">
        <is>
          <t>3102808238</t>
        </is>
      </c>
      <c r="D2721" t="inlineStr">
        <is>
          <t>jhon.palacio60@outlook.com</t>
        </is>
      </c>
      <c r="E2721" t="inlineStr">
        <is>
          <t>Envigado</t>
        </is>
      </c>
      <c r="F2721" t="inlineStr">
        <is>
          <t>PRY-007</t>
        </is>
      </c>
      <c r="G2721" t="inlineStr">
        <is>
          <t>Portal Web</t>
        </is>
      </c>
      <c r="H2721" t="inlineStr">
        <is>
          <t>Santiago Muñoz</t>
        </is>
      </c>
      <c r="I2721" t="inlineStr">
        <is>
          <t>Perdido</t>
        </is>
      </c>
      <c r="J2721" s="28" t="n">
        <v>46104</v>
      </c>
      <c r="K2721" s="28" t="n">
        <v>46120</v>
      </c>
      <c r="L2721" t="inlineStr">
        <is>
          <t>Sin respuesta tras 3 contactos</t>
        </is>
      </c>
    </row>
    <row r="2722">
      <c r="A2722" t="inlineStr">
        <is>
          <t>CLI-2720</t>
        </is>
      </c>
      <c r="B2722" t="inlineStr">
        <is>
          <t>Daniel Salcedo Echeverri</t>
        </is>
      </c>
      <c r="C2722" t="inlineStr">
        <is>
          <t>3204751737</t>
        </is>
      </c>
      <c r="D2722" t="inlineStr">
        <is>
          <t>daniel.salcedo72@yahoo.com</t>
        </is>
      </c>
      <c r="E2722" t="inlineStr">
        <is>
          <t>Medellín</t>
        </is>
      </c>
      <c r="F2722" t="inlineStr">
        <is>
          <t>PRY-002</t>
        </is>
      </c>
      <c r="G2722" t="inlineStr">
        <is>
          <t>Portal Web</t>
        </is>
      </c>
      <c r="H2722" t="inlineStr">
        <is>
          <t>Sofía Prada</t>
        </is>
      </c>
      <c r="I2722" t="inlineStr">
        <is>
          <t>Perdido</t>
        </is>
      </c>
      <c r="J2722" s="28" t="n">
        <v>46104</v>
      </c>
      <c r="K2722" s="28" t="n">
        <v>46132</v>
      </c>
      <c r="L2722" t="inlineStr">
        <is>
          <t>Buscaba arriendo, no compra</t>
        </is>
      </c>
    </row>
    <row r="2723">
      <c r="A2723" t="inlineStr">
        <is>
          <t>CLI-2721</t>
        </is>
      </c>
      <c r="B2723" t="inlineStr">
        <is>
          <t>Luisa Cano Toro</t>
        </is>
      </c>
      <c r="C2723" t="inlineStr">
        <is>
          <t>3244446959</t>
        </is>
      </c>
      <c r="D2723" t="inlineStr">
        <is>
          <t>luisa.cano84@gmail.com</t>
        </is>
      </c>
      <c r="E2723" t="inlineStr">
        <is>
          <t>Medellín</t>
        </is>
      </c>
      <c r="F2723" t="inlineStr">
        <is>
          <t>PRY-005</t>
        </is>
      </c>
      <c r="G2723" t="inlineStr">
        <is>
          <t>Portal Web</t>
        </is>
      </c>
      <c r="H2723" t="inlineStr">
        <is>
          <t>Luis Bedoya</t>
        </is>
      </c>
      <c r="I2723" t="inlineStr">
        <is>
          <t>Perdido</t>
        </is>
      </c>
      <c r="J2723" s="28" t="n">
        <v>46104</v>
      </c>
      <c r="K2723" s="28" t="n">
        <v>46132</v>
      </c>
      <c r="L2723" t="inlineStr">
        <is>
          <t>Sin respuesta tras 3 contactos</t>
        </is>
      </c>
    </row>
    <row r="2724">
      <c r="A2724" t="inlineStr">
        <is>
          <t>CLI-2722</t>
        </is>
      </c>
      <c r="B2724" t="inlineStr">
        <is>
          <t>Sofía Toro Hernández</t>
        </is>
      </c>
      <c r="C2724" t="inlineStr">
        <is>
          <t>3242436756</t>
        </is>
      </c>
      <c r="D2724" t="inlineStr">
        <is>
          <t>sofia.toro66@hotmail.com</t>
        </is>
      </c>
      <c r="E2724" t="inlineStr">
        <is>
          <t>Itagüí</t>
        </is>
      </c>
      <c r="F2724" t="inlineStr">
        <is>
          <t>PRY-003</t>
        </is>
      </c>
      <c r="G2724" t="inlineStr">
        <is>
          <t>Portal Web</t>
        </is>
      </c>
      <c r="H2724" t="inlineStr">
        <is>
          <t>Miguel Salazar</t>
        </is>
      </c>
      <c r="I2724" t="inlineStr">
        <is>
          <t>Negociación</t>
        </is>
      </c>
      <c r="J2724" s="28" t="n">
        <v>46105</v>
      </c>
      <c r="K2724" s="28" t="n">
        <v>46214</v>
      </c>
      <c r="L2724" t="inlineStr">
        <is>
          <t>Separación en trámite</t>
        </is>
      </c>
    </row>
    <row r="2725">
      <c r="A2725" t="inlineStr">
        <is>
          <t>CLI-2723</t>
        </is>
      </c>
      <c r="B2725" t="inlineStr">
        <is>
          <t>Simón Franco Agudelo</t>
        </is>
      </c>
      <c r="C2725" t="inlineStr">
        <is>
          <t>3016033172</t>
        </is>
      </c>
      <c r="D2725" t="inlineStr">
        <is>
          <t>simon.franco7@gmail.com</t>
        </is>
      </c>
      <c r="E2725" t="inlineStr">
        <is>
          <t>Rionegro</t>
        </is>
      </c>
      <c r="F2725" t="inlineStr">
        <is>
          <t>PRY-005</t>
        </is>
      </c>
      <c r="G2725" t="inlineStr">
        <is>
          <t>Feria Inmobiliaria</t>
        </is>
      </c>
      <c r="H2725" t="inlineStr">
        <is>
          <t>Paula Arenas</t>
        </is>
      </c>
      <c r="I2725" t="inlineStr">
        <is>
          <t>Ganado</t>
        </is>
      </c>
      <c r="J2725" s="28" t="n">
        <v>46105</v>
      </c>
      <c r="K2725" s="28" t="n">
        <v>46213</v>
      </c>
      <c r="L2725" t="inlineStr">
        <is>
          <t>Compró Apto 302 en Ciudadela Rionegro</t>
        </is>
      </c>
    </row>
    <row r="2726">
      <c r="A2726" t="inlineStr">
        <is>
          <t>CLI-2724</t>
        </is>
      </c>
      <c r="B2726" t="inlineStr">
        <is>
          <t>Diego Espinosa Duque</t>
        </is>
      </c>
      <c r="C2726" t="inlineStr">
        <is>
          <t>3175773040</t>
        </is>
      </c>
      <c r="D2726" t="inlineStr">
        <is>
          <t>diego.espinosa18@hotmail.com</t>
        </is>
      </c>
      <c r="E2726" t="inlineStr">
        <is>
          <t>Envigado</t>
        </is>
      </c>
      <c r="F2726" t="inlineStr">
        <is>
          <t>PRY-007</t>
        </is>
      </c>
      <c r="G2726" t="inlineStr">
        <is>
          <t>Instagram</t>
        </is>
      </c>
      <c r="H2726" t="inlineStr">
        <is>
          <t>Luis Bedoya</t>
        </is>
      </c>
      <c r="I2726" t="inlineStr">
        <is>
          <t>Perdido</t>
        </is>
      </c>
      <c r="J2726" s="28" t="n">
        <v>46105</v>
      </c>
      <c r="K2726" s="28" t="n">
        <v>46114</v>
      </c>
      <c r="L2726" t="inlineStr">
        <is>
          <t>No calificó para crédito</t>
        </is>
      </c>
    </row>
    <row r="2727">
      <c r="A2727" t="inlineStr">
        <is>
          <t>CLI-2725</t>
        </is>
      </c>
      <c r="B2727" t="inlineStr">
        <is>
          <t>Valentina Palacio Rojas</t>
        </is>
      </c>
      <c r="C2727" t="inlineStr">
        <is>
          <t>3238132175</t>
        </is>
      </c>
      <c r="D2727" t="inlineStr">
        <is>
          <t>valentina.palacio18@yahoo.com</t>
        </is>
      </c>
      <c r="E2727" t="inlineStr">
        <is>
          <t>Envigado</t>
        </is>
      </c>
      <c r="F2727" t="inlineStr">
        <is>
          <t>PRY-005</t>
        </is>
      </c>
      <c r="G2727" t="inlineStr">
        <is>
          <t>Facebook</t>
        </is>
      </c>
      <c r="H2727" t="inlineStr">
        <is>
          <t>Mateo Herrera</t>
        </is>
      </c>
      <c r="I2727" t="inlineStr">
        <is>
          <t>Perdido</t>
        </is>
      </c>
      <c r="J2727" s="28" t="n">
        <v>46105</v>
      </c>
      <c r="K2727" s="28" t="n">
        <v>46125</v>
      </c>
      <c r="L2727" t="inlineStr">
        <is>
          <t>Presupuesto insuficiente</t>
        </is>
      </c>
    </row>
    <row r="2728">
      <c r="A2728" t="inlineStr">
        <is>
          <t>CLI-2726</t>
        </is>
      </c>
      <c r="B2728" t="inlineStr">
        <is>
          <t>Juan Pablo Álvarez Betancur</t>
        </is>
      </c>
      <c r="C2728" t="inlineStr">
        <is>
          <t>3136554811</t>
        </is>
      </c>
      <c r="D2728" t="inlineStr">
        <is>
          <t>juan.alvarez64@yahoo.com</t>
        </is>
      </c>
      <c r="E2728" t="inlineStr">
        <is>
          <t>Rionegro</t>
        </is>
      </c>
      <c r="F2728" t="inlineStr">
        <is>
          <t>PRY-007</t>
        </is>
      </c>
      <c r="G2728" t="inlineStr">
        <is>
          <t>Llamada directa</t>
        </is>
      </c>
      <c r="H2728" t="inlineStr">
        <is>
          <t>Juliana Vélez</t>
        </is>
      </c>
      <c r="I2728" t="inlineStr">
        <is>
          <t>Perdido</t>
        </is>
      </c>
      <c r="J2728" s="28" t="n">
        <v>46105</v>
      </c>
      <c r="K2728" s="28" t="n">
        <v>46121</v>
      </c>
      <c r="L2728" t="inlineStr">
        <is>
          <t>Buscaba arriendo, no compra</t>
        </is>
      </c>
    </row>
    <row r="2729">
      <c r="A2729" t="inlineStr">
        <is>
          <t>CLI-2727</t>
        </is>
      </c>
      <c r="B2729" t="inlineStr">
        <is>
          <t>Mateo Gaviria Sánchez</t>
        </is>
      </c>
      <c r="C2729" t="inlineStr">
        <is>
          <t>3237595324</t>
        </is>
      </c>
      <c r="D2729" t="inlineStr">
        <is>
          <t>mateo.gaviria21@gmail.com</t>
        </is>
      </c>
      <c r="E2729" t="inlineStr">
        <is>
          <t>Itagüí</t>
        </is>
      </c>
      <c r="F2729" t="inlineStr">
        <is>
          <t>PRY-008</t>
        </is>
      </c>
      <c r="G2729" t="inlineStr">
        <is>
          <t>Portal Web</t>
        </is>
      </c>
      <c r="H2729" t="inlineStr">
        <is>
          <t>Luis Bedoya</t>
        </is>
      </c>
      <c r="I2729" t="inlineStr">
        <is>
          <t>Perdido</t>
        </is>
      </c>
      <c r="J2729" s="28" t="n">
        <v>46105</v>
      </c>
      <c r="K2729" s="28" t="n">
        <v>46129</v>
      </c>
      <c r="L2729" t="inlineStr">
        <is>
          <t>Buscaba arriendo, no compra</t>
        </is>
      </c>
    </row>
    <row r="2730">
      <c r="A2730" t="inlineStr">
        <is>
          <t>CLI-2728</t>
        </is>
      </c>
      <c r="B2730" t="inlineStr">
        <is>
          <t>Katherine Echeverri Higuita</t>
        </is>
      </c>
      <c r="C2730" t="inlineStr">
        <is>
          <t>3174683674</t>
        </is>
      </c>
      <c r="D2730" t="inlineStr">
        <is>
          <t>katherine.echeverri4@yahoo.com</t>
        </is>
      </c>
      <c r="E2730" t="inlineStr">
        <is>
          <t>Itagüí</t>
        </is>
      </c>
      <c r="F2730" t="inlineStr">
        <is>
          <t>PRY-008</t>
        </is>
      </c>
      <c r="G2730" t="inlineStr">
        <is>
          <t>Portal Web</t>
        </is>
      </c>
      <c r="H2730" t="inlineStr">
        <is>
          <t>Miguel Salazar</t>
        </is>
      </c>
      <c r="I2730" t="inlineStr">
        <is>
          <t>Ganado</t>
        </is>
      </c>
      <c r="J2730" s="28" t="n">
        <v>46106</v>
      </c>
      <c r="K2730" s="28" t="n">
        <v>46220</v>
      </c>
      <c r="L2730" t="inlineStr">
        <is>
          <t>Compró Casa 43 en Valle Verde Itagüí</t>
        </is>
      </c>
    </row>
    <row r="2731">
      <c r="A2731" t="inlineStr">
        <is>
          <t>CLI-2729</t>
        </is>
      </c>
      <c r="B2731" t="inlineStr">
        <is>
          <t>Verónica Rojas Hernández</t>
        </is>
      </c>
      <c r="C2731" t="inlineStr">
        <is>
          <t>3206730489</t>
        </is>
      </c>
      <c r="D2731" t="inlineStr">
        <is>
          <t>veronica.rojas31@outlook.com</t>
        </is>
      </c>
      <c r="E2731" t="inlineStr">
        <is>
          <t>Bello</t>
        </is>
      </c>
      <c r="F2731" t="inlineStr">
        <is>
          <t>PRY-008</t>
        </is>
      </c>
      <c r="G2731" t="inlineStr">
        <is>
          <t>Facebook</t>
        </is>
      </c>
      <c r="H2731" t="inlineStr">
        <is>
          <t>Juliana Vélez</t>
        </is>
      </c>
      <c r="I2731" t="inlineStr">
        <is>
          <t>Perdido</t>
        </is>
      </c>
      <c r="J2731" s="28" t="n">
        <v>46106</v>
      </c>
      <c r="K2731" s="28" t="n">
        <v>46118</v>
      </c>
      <c r="L2731" t="inlineStr">
        <is>
          <t>Presupuesto insuficiente</t>
        </is>
      </c>
    </row>
    <row r="2732">
      <c r="A2732" t="inlineStr">
        <is>
          <t>CLI-2730</t>
        </is>
      </c>
      <c r="B2732" t="inlineStr">
        <is>
          <t>Fernando Rojas Zuluaga</t>
        </is>
      </c>
      <c r="C2732" t="inlineStr">
        <is>
          <t>3245872186</t>
        </is>
      </c>
      <c r="D2732" t="inlineStr">
        <is>
          <t>fernando.rojas72@gmail.com</t>
        </is>
      </c>
      <c r="E2732" t="inlineStr">
        <is>
          <t>Rionegro</t>
        </is>
      </c>
      <c r="F2732" t="inlineStr">
        <is>
          <t>PRY-005</t>
        </is>
      </c>
      <c r="G2732" t="inlineStr">
        <is>
          <t>Instagram</t>
        </is>
      </c>
      <c r="H2732" t="inlineStr">
        <is>
          <t>Luis Bedoya</t>
        </is>
      </c>
      <c r="I2732" t="inlineStr">
        <is>
          <t>Perdido</t>
        </is>
      </c>
      <c r="J2732" s="28" t="n">
        <v>46106</v>
      </c>
      <c r="K2732" s="28" t="n">
        <v>46133</v>
      </c>
      <c r="L2732" t="inlineStr">
        <is>
          <t>Buscaba arriendo, no compra</t>
        </is>
      </c>
    </row>
    <row r="2733">
      <c r="A2733" t="inlineStr">
        <is>
          <t>CLI-2731</t>
        </is>
      </c>
      <c r="B2733" t="inlineStr">
        <is>
          <t>Esteban Zapata Álvarez</t>
        </is>
      </c>
      <c r="C2733" t="inlineStr">
        <is>
          <t>3133732655</t>
        </is>
      </c>
      <c r="D2733" t="inlineStr">
        <is>
          <t>esteban.zapata39@yahoo.com</t>
        </is>
      </c>
      <c r="E2733" t="inlineStr">
        <is>
          <t>Medellín</t>
        </is>
      </c>
      <c r="F2733" t="inlineStr">
        <is>
          <t>PRY-001</t>
        </is>
      </c>
      <c r="G2733" t="inlineStr">
        <is>
          <t>Facebook</t>
        </is>
      </c>
      <c r="H2733" t="inlineStr">
        <is>
          <t>Andrés Torres</t>
        </is>
      </c>
      <c r="I2733" t="inlineStr">
        <is>
          <t>Perdido</t>
        </is>
      </c>
      <c r="J2733" s="28" t="n">
        <v>46107</v>
      </c>
      <c r="K2733" s="28" t="n">
        <v>46197</v>
      </c>
      <c r="L2733" t="inlineStr">
        <is>
          <t>Desistió de la compra</t>
        </is>
      </c>
    </row>
    <row r="2734">
      <c r="A2734" t="inlineStr">
        <is>
          <t>CLI-2732</t>
        </is>
      </c>
      <c r="B2734" t="inlineStr">
        <is>
          <t>Alejandro Jaramillo Muñoz</t>
        </is>
      </c>
      <c r="C2734" t="inlineStr">
        <is>
          <t>3149727034</t>
        </is>
      </c>
      <c r="D2734" t="inlineStr">
        <is>
          <t>alejandro.jaramillo21@yahoo.com</t>
        </is>
      </c>
      <c r="E2734" t="inlineStr">
        <is>
          <t>Envigado</t>
        </is>
      </c>
      <c r="F2734" t="inlineStr">
        <is>
          <t>PRY-007</t>
        </is>
      </c>
      <c r="G2734" t="inlineStr">
        <is>
          <t>Llamada directa</t>
        </is>
      </c>
      <c r="H2734" t="inlineStr">
        <is>
          <t>Juliana Vélez</t>
        </is>
      </c>
      <c r="I2734" t="inlineStr">
        <is>
          <t>Perdido</t>
        </is>
      </c>
      <c r="J2734" s="28" t="n">
        <v>46107</v>
      </c>
      <c r="K2734" s="28" t="n">
        <v>46137</v>
      </c>
      <c r="L2734" t="inlineStr">
        <is>
          <t>Presupuesto insuficiente</t>
        </is>
      </c>
    </row>
    <row r="2735">
      <c r="A2735" t="inlineStr">
        <is>
          <t>CLI-2733</t>
        </is>
      </c>
      <c r="B2735" t="inlineStr">
        <is>
          <t>Diana Echeverri Zuluaga</t>
        </is>
      </c>
      <c r="C2735" t="inlineStr">
        <is>
          <t>3203937982</t>
        </is>
      </c>
      <c r="D2735" t="inlineStr">
        <is>
          <t>diana.echeverri67@gmail.com</t>
        </is>
      </c>
      <c r="E2735" t="inlineStr">
        <is>
          <t>Medellín</t>
        </is>
      </c>
      <c r="F2735" t="inlineStr">
        <is>
          <t>PRY-008</t>
        </is>
      </c>
      <c r="G2735" t="inlineStr">
        <is>
          <t>Portal Web</t>
        </is>
      </c>
      <c r="H2735" t="inlineStr">
        <is>
          <t>Ana Quintero</t>
        </is>
      </c>
      <c r="I2735" t="inlineStr">
        <is>
          <t>Propuesta enviada</t>
        </is>
      </c>
      <c r="J2735" s="28" t="n">
        <v>46108</v>
      </c>
      <c r="K2735" s="28" t="n">
        <v>46210</v>
      </c>
      <c r="L2735" t="inlineStr">
        <is>
          <t>Cotización enviada</t>
        </is>
      </c>
    </row>
    <row r="2736">
      <c r="A2736" t="inlineStr">
        <is>
          <t>CLI-2734</t>
        </is>
      </c>
      <c r="B2736" t="inlineStr">
        <is>
          <t>Paula Marín Valencia</t>
        </is>
      </c>
      <c r="C2736" t="inlineStr">
        <is>
          <t>3221390514</t>
        </is>
      </c>
      <c r="D2736" t="inlineStr">
        <is>
          <t>paula.marin29@hotmail.com</t>
        </is>
      </c>
      <c r="E2736" t="inlineStr">
        <is>
          <t>Bello</t>
        </is>
      </c>
      <c r="F2736" t="inlineStr">
        <is>
          <t>PRY-007</t>
        </is>
      </c>
      <c r="G2736" t="inlineStr">
        <is>
          <t>Instagram</t>
        </is>
      </c>
      <c r="H2736" t="inlineStr">
        <is>
          <t>Juliana Vélez</t>
        </is>
      </c>
      <c r="I2736" t="inlineStr">
        <is>
          <t>Perdido</t>
        </is>
      </c>
      <c r="J2736" s="28" t="n">
        <v>46108</v>
      </c>
      <c r="K2736" s="28" t="n">
        <v>46126</v>
      </c>
      <c r="L2736" t="inlineStr">
        <is>
          <t>No calificó para crédito</t>
        </is>
      </c>
    </row>
    <row r="2737">
      <c r="A2737" t="inlineStr">
        <is>
          <t>CLI-2735</t>
        </is>
      </c>
      <c r="B2737" t="inlineStr">
        <is>
          <t>Felipe Rojas Salcedo</t>
        </is>
      </c>
      <c r="C2737" t="inlineStr">
        <is>
          <t>3049940607</t>
        </is>
      </c>
      <c r="D2737" t="inlineStr">
        <is>
          <t>felipe.rojas67@yahoo.com</t>
        </is>
      </c>
      <c r="E2737" t="inlineStr">
        <is>
          <t>Envigado</t>
        </is>
      </c>
      <c r="F2737" t="inlineStr">
        <is>
          <t>PRY-001</t>
        </is>
      </c>
      <c r="G2737" t="inlineStr">
        <is>
          <t>Feria Inmobiliaria</t>
        </is>
      </c>
      <c r="H2737" t="inlineStr">
        <is>
          <t>Juliana Vélez</t>
        </is>
      </c>
      <c r="I2737" t="inlineStr">
        <is>
          <t>Perdido</t>
        </is>
      </c>
      <c r="J2737" s="28" t="n">
        <v>46108</v>
      </c>
      <c r="K2737" s="28" t="n">
        <v>46138</v>
      </c>
      <c r="L2737" t="inlineStr">
        <is>
          <t>Presupuesto insuficiente</t>
        </is>
      </c>
    </row>
    <row r="2738">
      <c r="A2738" t="inlineStr">
        <is>
          <t>CLI-2736</t>
        </is>
      </c>
      <c r="B2738" t="inlineStr">
        <is>
          <t>Camila Montoya Duque</t>
        </is>
      </c>
      <c r="C2738" t="inlineStr">
        <is>
          <t>3248430053</t>
        </is>
      </c>
      <c r="D2738" t="inlineStr">
        <is>
          <t>camila.montoya99@outlook.com</t>
        </is>
      </c>
      <c r="E2738" t="inlineStr">
        <is>
          <t>Rionegro</t>
        </is>
      </c>
      <c r="F2738" t="inlineStr">
        <is>
          <t>PRY-008</t>
        </is>
      </c>
      <c r="G2738" t="inlineStr">
        <is>
          <t>Facebook</t>
        </is>
      </c>
      <c r="H2738" t="inlineStr">
        <is>
          <t>Miguel Salazar</t>
        </is>
      </c>
      <c r="I2738" t="inlineStr">
        <is>
          <t>Perdido</t>
        </is>
      </c>
      <c r="J2738" s="28" t="n">
        <v>46108</v>
      </c>
      <c r="K2738" s="28" t="n">
        <v>46131</v>
      </c>
      <c r="L2738" t="inlineStr">
        <is>
          <t>No calificó para crédito</t>
        </is>
      </c>
    </row>
    <row r="2739">
      <c r="A2739" t="inlineStr">
        <is>
          <t>CLI-2737</t>
        </is>
      </c>
      <c r="B2739" t="inlineStr">
        <is>
          <t>Natalia Agudelo Gaviria</t>
        </is>
      </c>
      <c r="C2739" t="inlineStr">
        <is>
          <t>3177121955</t>
        </is>
      </c>
      <c r="D2739" t="inlineStr">
        <is>
          <t>natalia.agudelo50@hotmail.com</t>
        </is>
      </c>
      <c r="E2739" t="inlineStr">
        <is>
          <t>Medellín</t>
        </is>
      </c>
      <c r="F2739" t="inlineStr">
        <is>
          <t>PRY-007</t>
        </is>
      </c>
      <c r="G2739" t="inlineStr">
        <is>
          <t>Facebook</t>
        </is>
      </c>
      <c r="H2739" t="inlineStr">
        <is>
          <t>Juliana Vélez</t>
        </is>
      </c>
      <c r="I2739" t="inlineStr">
        <is>
          <t>Negociación</t>
        </is>
      </c>
      <c r="J2739" s="28" t="n">
        <v>46109</v>
      </c>
      <c r="K2739" s="28" t="n">
        <v>46212</v>
      </c>
      <c r="L2739" t="inlineStr">
        <is>
          <t>Requiere aprobación de crédito</t>
        </is>
      </c>
    </row>
    <row r="2740">
      <c r="A2740" t="inlineStr">
        <is>
          <t>CLI-2738</t>
        </is>
      </c>
      <c r="B2740" t="inlineStr">
        <is>
          <t>Mauricio Marín Muñoz</t>
        </is>
      </c>
      <c r="C2740" t="inlineStr">
        <is>
          <t>3235849693</t>
        </is>
      </c>
      <c r="D2740" t="inlineStr">
        <is>
          <t>mauricio.marin12@yahoo.com</t>
        </is>
      </c>
      <c r="E2740" t="inlineStr">
        <is>
          <t>Sabaneta</t>
        </is>
      </c>
      <c r="F2740" t="inlineStr">
        <is>
          <t>PRY-003</t>
        </is>
      </c>
      <c r="G2740" t="inlineStr">
        <is>
          <t>Portal Web</t>
        </is>
      </c>
      <c r="H2740" t="inlineStr">
        <is>
          <t>Andrés Torres</t>
        </is>
      </c>
      <c r="I2740" t="inlineStr">
        <is>
          <t>Ganado</t>
        </is>
      </c>
      <c r="J2740" s="28" t="n">
        <v>46109</v>
      </c>
      <c r="K2740" s="28" t="n">
        <v>46205</v>
      </c>
      <c r="L2740" t="inlineStr">
        <is>
          <t>Compró Apto 1207 en Conecta Laureles</t>
        </is>
      </c>
    </row>
    <row r="2741">
      <c r="A2741" t="inlineStr">
        <is>
          <t>CLI-2739</t>
        </is>
      </c>
      <c r="B2741" t="inlineStr">
        <is>
          <t>Wilson Jaramillo Uribe</t>
        </is>
      </c>
      <c r="C2741" t="inlineStr">
        <is>
          <t>3048781037</t>
        </is>
      </c>
      <c r="D2741" t="inlineStr">
        <is>
          <t>wilson.jaramillo92@gmail.com</t>
        </is>
      </c>
      <c r="E2741" t="inlineStr">
        <is>
          <t>Sabaneta</t>
        </is>
      </c>
      <c r="F2741" t="inlineStr">
        <is>
          <t>PRY-003</t>
        </is>
      </c>
      <c r="G2741" t="inlineStr">
        <is>
          <t>Llamada directa</t>
        </is>
      </c>
      <c r="H2741" t="inlineStr">
        <is>
          <t>Luis Bedoya</t>
        </is>
      </c>
      <c r="I2741" t="inlineStr">
        <is>
          <t>Perdido</t>
        </is>
      </c>
      <c r="J2741" s="28" t="n">
        <v>46109</v>
      </c>
      <c r="K2741" s="28" t="n">
        <v>46125</v>
      </c>
      <c r="L2741" t="inlineStr">
        <is>
          <t>Datos de contacto errados</t>
        </is>
      </c>
    </row>
    <row r="2742">
      <c r="A2742" t="inlineStr">
        <is>
          <t>CLI-2740</t>
        </is>
      </c>
      <c r="B2742" t="inlineStr">
        <is>
          <t>Emilio Gómez Vásquez</t>
        </is>
      </c>
      <c r="C2742" t="inlineStr">
        <is>
          <t>3108484376</t>
        </is>
      </c>
      <c r="D2742" t="inlineStr">
        <is>
          <t>emilio.gomez47@outlook.com</t>
        </is>
      </c>
      <c r="E2742" t="inlineStr">
        <is>
          <t>Itagüí</t>
        </is>
      </c>
      <c r="F2742" t="inlineStr">
        <is>
          <t>PRY-005</t>
        </is>
      </c>
      <c r="G2742" t="inlineStr">
        <is>
          <t>Portal Web</t>
        </is>
      </c>
      <c r="H2742" t="inlineStr">
        <is>
          <t>Daniela Ríos</t>
        </is>
      </c>
      <c r="I2742" t="inlineStr">
        <is>
          <t>Negociación</t>
        </is>
      </c>
      <c r="J2742" s="28" t="n">
        <v>46110</v>
      </c>
      <c r="K2742" s="28" t="n">
        <v>46217</v>
      </c>
      <c r="L2742" t="inlineStr">
        <is>
          <t>Negociando descuento por pago de contado</t>
        </is>
      </c>
    </row>
    <row r="2743">
      <c r="A2743" t="inlineStr">
        <is>
          <t>CLI-2741</t>
        </is>
      </c>
      <c r="B2743" t="inlineStr">
        <is>
          <t>Marcela Franco Castaño</t>
        </is>
      </c>
      <c r="C2743" t="inlineStr">
        <is>
          <t>3143842910</t>
        </is>
      </c>
      <c r="D2743" t="inlineStr">
        <is>
          <t>marcela.franco26@gmail.com</t>
        </is>
      </c>
      <c r="E2743" t="inlineStr">
        <is>
          <t>Itagüí</t>
        </is>
      </c>
      <c r="F2743" t="inlineStr">
        <is>
          <t>PRY-002</t>
        </is>
      </c>
      <c r="G2743" t="inlineStr">
        <is>
          <t>Portal Web</t>
        </is>
      </c>
      <c r="H2743" t="inlineStr">
        <is>
          <t>Miguel Salazar</t>
        </is>
      </c>
      <c r="I2743" t="inlineStr">
        <is>
          <t>Perdido</t>
        </is>
      </c>
      <c r="J2743" s="28" t="n">
        <v>46111</v>
      </c>
      <c r="K2743" s="28" t="n">
        <v>46116</v>
      </c>
      <c r="L2743" t="inlineStr">
        <is>
          <t>No calificó para crédito</t>
        </is>
      </c>
    </row>
    <row r="2744">
      <c r="A2744" t="inlineStr">
        <is>
          <t>CLI-2742</t>
        </is>
      </c>
      <c r="B2744" t="inlineStr">
        <is>
          <t>Verónica Palacio Franco</t>
        </is>
      </c>
      <c r="C2744" t="inlineStr">
        <is>
          <t>3133362684</t>
        </is>
      </c>
      <c r="D2744" t="inlineStr">
        <is>
          <t>veronica.palacio91@hotmail.com</t>
        </is>
      </c>
      <c r="E2744" t="inlineStr">
        <is>
          <t>Bello</t>
        </is>
      </c>
      <c r="F2744" t="inlineStr">
        <is>
          <t>PRY-007</t>
        </is>
      </c>
      <c r="G2744" t="inlineStr">
        <is>
          <t>Facebook</t>
        </is>
      </c>
      <c r="H2744" t="inlineStr">
        <is>
          <t>Sofía Prada</t>
        </is>
      </c>
      <c r="I2744" t="inlineStr">
        <is>
          <t>Perdido</t>
        </is>
      </c>
      <c r="J2744" s="28" t="n">
        <v>46111</v>
      </c>
      <c r="K2744" s="28" t="n">
        <v>46119</v>
      </c>
      <c r="L2744" t="inlineStr">
        <is>
          <t>Sin respuesta tras 3 contactos</t>
        </is>
      </c>
    </row>
    <row r="2745">
      <c r="A2745" t="inlineStr">
        <is>
          <t>CLI-2743</t>
        </is>
      </c>
      <c r="B2745" t="inlineStr">
        <is>
          <t>Ricardo Cano Álvarez</t>
        </is>
      </c>
      <c r="C2745" t="inlineStr">
        <is>
          <t>3231878340</t>
        </is>
      </c>
      <c r="D2745" t="inlineStr">
        <is>
          <t>ricardo.cano61@yahoo.com</t>
        </is>
      </c>
      <c r="E2745" t="inlineStr">
        <is>
          <t>Rionegro</t>
        </is>
      </c>
      <c r="F2745" t="inlineStr">
        <is>
          <t>PRY-005</t>
        </is>
      </c>
      <c r="G2745" t="inlineStr">
        <is>
          <t>Portal Web</t>
        </is>
      </c>
      <c r="H2745" t="inlineStr">
        <is>
          <t>Paula Arenas</t>
        </is>
      </c>
      <c r="I2745" t="inlineStr">
        <is>
          <t>Perdido</t>
        </is>
      </c>
      <c r="J2745" s="28" t="n">
        <v>46111</v>
      </c>
      <c r="K2745" s="28" t="n">
        <v>46130</v>
      </c>
      <c r="L2745" t="inlineStr">
        <is>
          <t>Buscaba arriendo, no compra</t>
        </is>
      </c>
    </row>
    <row r="2746">
      <c r="A2746" t="inlineStr">
        <is>
          <t>CLI-2744</t>
        </is>
      </c>
      <c r="B2746" t="inlineStr">
        <is>
          <t>David Arango Duque</t>
        </is>
      </c>
      <c r="C2746" t="inlineStr">
        <is>
          <t>3177124259</t>
        </is>
      </c>
      <c r="D2746" t="inlineStr">
        <is>
          <t>david.arango68@yahoo.com</t>
        </is>
      </c>
      <c r="E2746" t="inlineStr">
        <is>
          <t>Bello</t>
        </is>
      </c>
      <c r="F2746" t="inlineStr">
        <is>
          <t>PRY-008</t>
        </is>
      </c>
      <c r="G2746" t="inlineStr">
        <is>
          <t>Facebook</t>
        </is>
      </c>
      <c r="H2746" t="inlineStr">
        <is>
          <t>Daniela Ríos</t>
        </is>
      </c>
      <c r="I2746" t="inlineStr">
        <is>
          <t>Perdido</t>
        </is>
      </c>
      <c r="J2746" s="28" t="n">
        <v>46112</v>
      </c>
      <c r="K2746" s="28" t="n">
        <v>46146</v>
      </c>
      <c r="L2746" t="inlineStr">
        <is>
          <t>Desistió de la compra</t>
        </is>
      </c>
    </row>
    <row r="2747">
      <c r="A2747" t="inlineStr">
        <is>
          <t>CLI-2745</t>
        </is>
      </c>
      <c r="B2747" t="inlineStr">
        <is>
          <t>Jorge Marín Valencia</t>
        </is>
      </c>
      <c r="C2747" t="inlineStr">
        <is>
          <t>3234077145</t>
        </is>
      </c>
      <c r="D2747" t="inlineStr">
        <is>
          <t>jorge.marin25@outlook.com</t>
        </is>
      </c>
      <c r="E2747" t="inlineStr">
        <is>
          <t>Medellín</t>
        </is>
      </c>
      <c r="F2747" t="inlineStr">
        <is>
          <t>PRY-003</t>
        </is>
      </c>
      <c r="G2747" t="inlineStr">
        <is>
          <t>Facebook</t>
        </is>
      </c>
      <c r="H2747" t="inlineStr">
        <is>
          <t>Miguel Salazar</t>
        </is>
      </c>
      <c r="I2747" t="inlineStr">
        <is>
          <t>Visita agendada</t>
        </is>
      </c>
      <c r="J2747" s="28" t="n">
        <v>46112</v>
      </c>
      <c r="K2747" s="28" t="n">
        <v>46217</v>
      </c>
      <c r="L2747" t="inlineStr">
        <is>
          <t>Visita a sala de ventas agendada</t>
        </is>
      </c>
    </row>
    <row r="2748">
      <c r="A2748" t="inlineStr">
        <is>
          <t>CLI-2746</t>
        </is>
      </c>
      <c r="B2748" t="inlineStr">
        <is>
          <t>David Cano Bedoya</t>
        </is>
      </c>
      <c r="C2748" t="inlineStr">
        <is>
          <t>3176873822</t>
        </is>
      </c>
      <c r="D2748" t="inlineStr">
        <is>
          <t>david.cano50@yahoo.com</t>
        </is>
      </c>
      <c r="E2748" t="inlineStr">
        <is>
          <t>Bello</t>
        </is>
      </c>
      <c r="F2748" t="inlineStr">
        <is>
          <t>PRY-002</t>
        </is>
      </c>
      <c r="G2748" t="inlineStr">
        <is>
          <t>Instagram</t>
        </is>
      </c>
      <c r="H2748" t="inlineStr">
        <is>
          <t>Santiago Muñoz</t>
        </is>
      </c>
      <c r="I2748" t="inlineStr">
        <is>
          <t>Perdido</t>
        </is>
      </c>
      <c r="J2748" s="28" t="n">
        <v>46113</v>
      </c>
      <c r="K2748" s="28" t="n">
        <v>46118</v>
      </c>
      <c r="L2748" t="inlineStr">
        <is>
          <t>Presupuesto insuficiente</t>
        </is>
      </c>
    </row>
    <row r="2749">
      <c r="A2749" t="inlineStr">
        <is>
          <t>CLI-2747</t>
        </is>
      </c>
      <c r="B2749" t="inlineStr">
        <is>
          <t>Fernando Zapata Osorio</t>
        </is>
      </c>
      <c r="C2749" t="inlineStr">
        <is>
          <t>3239542484</t>
        </is>
      </c>
      <c r="D2749" t="inlineStr">
        <is>
          <t>fernando.zapata39@hotmail.com</t>
        </is>
      </c>
      <c r="E2749" t="inlineStr">
        <is>
          <t>Sabaneta</t>
        </is>
      </c>
      <c r="F2749" t="inlineStr">
        <is>
          <t>PRY-006</t>
        </is>
      </c>
      <c r="G2749" t="inlineStr">
        <is>
          <t>Portal Web</t>
        </is>
      </c>
      <c r="H2749" t="inlineStr">
        <is>
          <t>Santiago Muñoz</t>
        </is>
      </c>
      <c r="I2749" t="inlineStr">
        <is>
          <t>Perdido</t>
        </is>
      </c>
      <c r="J2749" s="28" t="n">
        <v>46113</v>
      </c>
      <c r="K2749" s="28" t="n">
        <v>46132</v>
      </c>
      <c r="L2749" t="inlineStr">
        <is>
          <t>Presupuesto insuficiente</t>
        </is>
      </c>
    </row>
    <row r="2750">
      <c r="A2750" t="inlineStr">
        <is>
          <t>CLI-2748</t>
        </is>
      </c>
      <c r="B2750" t="inlineStr">
        <is>
          <t>Simón Gaviria Betancur</t>
        </is>
      </c>
      <c r="C2750" t="inlineStr">
        <is>
          <t>3201040395</t>
        </is>
      </c>
      <c r="D2750" t="inlineStr">
        <is>
          <t>simon.gaviria12@gmail.com</t>
        </is>
      </c>
      <c r="E2750" t="inlineStr">
        <is>
          <t>Itagüí</t>
        </is>
      </c>
      <c r="F2750" t="inlineStr">
        <is>
          <t>PRY-001</t>
        </is>
      </c>
      <c r="G2750" t="inlineStr">
        <is>
          <t>Facebook</t>
        </is>
      </c>
      <c r="H2750" t="inlineStr">
        <is>
          <t>Miguel Salazar</t>
        </is>
      </c>
      <c r="I2750" t="inlineStr">
        <is>
          <t>Negociación</t>
        </is>
      </c>
      <c r="J2750" s="28" t="n">
        <v>46114</v>
      </c>
      <c r="K2750" s="28" t="n">
        <v>46209</v>
      </c>
      <c r="L2750" t="inlineStr">
        <is>
          <t>Firma de promesa de compraventa programada</t>
        </is>
      </c>
    </row>
    <row r="2751">
      <c r="A2751" t="inlineStr">
        <is>
          <t>CLI-2749</t>
        </is>
      </c>
      <c r="B2751" t="inlineStr">
        <is>
          <t>Felipe Montoya Pérez</t>
        </is>
      </c>
      <c r="C2751" t="inlineStr">
        <is>
          <t>3102370939</t>
        </is>
      </c>
      <c r="D2751" t="inlineStr">
        <is>
          <t>felipe.montoya11@outlook.com</t>
        </is>
      </c>
      <c r="E2751" t="inlineStr">
        <is>
          <t>Envigado</t>
        </is>
      </c>
      <c r="F2751" t="inlineStr">
        <is>
          <t>PRY-006</t>
        </is>
      </c>
      <c r="G2751" t="inlineStr">
        <is>
          <t>Portal Web</t>
        </is>
      </c>
      <c r="H2751" t="inlineStr">
        <is>
          <t>Miguel Salazar</t>
        </is>
      </c>
      <c r="I2751" t="inlineStr">
        <is>
          <t>Negociación</t>
        </is>
      </c>
      <c r="J2751" s="28" t="n">
        <v>46114</v>
      </c>
      <c r="K2751" s="28" t="n">
        <v>46206</v>
      </c>
      <c r="L2751" t="inlineStr">
        <is>
          <t>Separación en trámite</t>
        </is>
      </c>
    </row>
    <row r="2752">
      <c r="A2752" t="inlineStr">
        <is>
          <t>CLI-2750</t>
        </is>
      </c>
      <c r="B2752" t="inlineStr">
        <is>
          <t>Camila Marín Sánchez</t>
        </is>
      </c>
      <c r="C2752" t="inlineStr">
        <is>
          <t>3223829289</t>
        </is>
      </c>
      <c r="D2752" t="inlineStr">
        <is>
          <t>camila.marin51@gmail.com</t>
        </is>
      </c>
      <c r="E2752" t="inlineStr">
        <is>
          <t>Sabaneta</t>
        </is>
      </c>
      <c r="F2752" t="inlineStr">
        <is>
          <t>PRY-005</t>
        </is>
      </c>
      <c r="G2752" t="inlineStr">
        <is>
          <t>Portal Web</t>
        </is>
      </c>
      <c r="H2752" t="inlineStr">
        <is>
          <t>Luis Bedoya</t>
        </is>
      </c>
      <c r="I2752" t="inlineStr">
        <is>
          <t>Negociación</t>
        </is>
      </c>
      <c r="J2752" s="28" t="n">
        <v>46115</v>
      </c>
      <c r="K2752" s="28" t="n">
        <v>46216</v>
      </c>
      <c r="L2752" t="inlineStr">
        <is>
          <t>Requiere aprobación de crédito</t>
        </is>
      </c>
    </row>
    <row r="2753">
      <c r="A2753" t="inlineStr">
        <is>
          <t>CLI-2751</t>
        </is>
      </c>
      <c r="B2753" t="inlineStr">
        <is>
          <t>Andrés Gómez Sánchez</t>
        </is>
      </c>
      <c r="C2753" t="inlineStr">
        <is>
          <t>3159305183</t>
        </is>
      </c>
      <c r="D2753" t="inlineStr">
        <is>
          <t>andres.gomez16@yahoo.com</t>
        </is>
      </c>
      <c r="E2753" t="inlineStr">
        <is>
          <t>Bello</t>
        </is>
      </c>
      <c r="F2753" t="inlineStr">
        <is>
          <t>PRY-005</t>
        </is>
      </c>
      <c r="G2753" t="inlineStr">
        <is>
          <t>Portal Web</t>
        </is>
      </c>
      <c r="H2753" t="inlineStr">
        <is>
          <t>Miguel Salazar</t>
        </is>
      </c>
      <c r="I2753" t="inlineStr">
        <is>
          <t>Ganado</t>
        </is>
      </c>
      <c r="J2753" s="28" t="n">
        <v>46115</v>
      </c>
      <c r="K2753" s="28" t="n">
        <v>46223</v>
      </c>
      <c r="L2753" t="inlineStr">
        <is>
          <t>Compró Apto 1007 en Ciudadela Rionegro</t>
        </is>
      </c>
    </row>
    <row r="2754">
      <c r="A2754" t="inlineStr">
        <is>
          <t>CLI-2752</t>
        </is>
      </c>
      <c r="B2754" t="inlineStr">
        <is>
          <t>Alejandro Álvarez Montes</t>
        </is>
      </c>
      <c r="C2754" t="inlineStr">
        <is>
          <t>3003432808</t>
        </is>
      </c>
      <c r="D2754" t="inlineStr">
        <is>
          <t>alejandro.alvarez29@gmail.com</t>
        </is>
      </c>
      <c r="E2754" t="inlineStr">
        <is>
          <t>Envigado</t>
        </is>
      </c>
      <c r="F2754" t="inlineStr">
        <is>
          <t>PRY-003</t>
        </is>
      </c>
      <c r="G2754" t="inlineStr">
        <is>
          <t>Portal Web</t>
        </is>
      </c>
      <c r="H2754" t="inlineStr">
        <is>
          <t>Paula Arenas</t>
        </is>
      </c>
      <c r="I2754" t="inlineStr">
        <is>
          <t>Perdido</t>
        </is>
      </c>
      <c r="J2754" s="28" t="n">
        <v>46115</v>
      </c>
      <c r="K2754" s="28" t="n">
        <v>46184</v>
      </c>
      <c r="L2754" t="inlineStr">
        <is>
          <t>Eligió otro proyecto</t>
        </is>
      </c>
    </row>
    <row r="2755">
      <c r="A2755" t="inlineStr">
        <is>
          <t>CLI-2753</t>
        </is>
      </c>
      <c r="B2755" t="inlineStr">
        <is>
          <t>Valeria Quintero Echeverri</t>
        </is>
      </c>
      <c r="C2755" t="inlineStr">
        <is>
          <t>3134203347</t>
        </is>
      </c>
      <c r="D2755" t="inlineStr">
        <is>
          <t>valeria.quintero1@yahoo.com</t>
        </is>
      </c>
      <c r="E2755" t="inlineStr">
        <is>
          <t>Medellín</t>
        </is>
      </c>
      <c r="F2755" t="inlineStr">
        <is>
          <t>PRY-002</t>
        </is>
      </c>
      <c r="G2755" t="inlineStr">
        <is>
          <t>Llamada directa</t>
        </is>
      </c>
      <c r="H2755" t="inlineStr">
        <is>
          <t>Luis Bedoya</t>
        </is>
      </c>
      <c r="I2755" t="inlineStr">
        <is>
          <t>Perdido</t>
        </is>
      </c>
      <c r="J2755" s="28" t="n">
        <v>46115</v>
      </c>
      <c r="K2755" s="28" t="n">
        <v>46134</v>
      </c>
      <c r="L2755" t="inlineStr">
        <is>
          <t>Datos de contacto errados</t>
        </is>
      </c>
    </row>
    <row r="2756">
      <c r="A2756" t="inlineStr">
        <is>
          <t>CLI-2754</t>
        </is>
      </c>
      <c r="B2756" t="inlineStr">
        <is>
          <t>Paola Betancur Restrepo</t>
        </is>
      </c>
      <c r="C2756" t="inlineStr">
        <is>
          <t>3249245103</t>
        </is>
      </c>
      <c r="D2756" t="inlineStr">
        <is>
          <t>paola.betancur45@hotmail.com</t>
        </is>
      </c>
      <c r="E2756" t="inlineStr">
        <is>
          <t>Envigado</t>
        </is>
      </c>
      <c r="F2756" t="inlineStr">
        <is>
          <t>PRY-007</t>
        </is>
      </c>
      <c r="G2756" t="inlineStr">
        <is>
          <t>Facebook</t>
        </is>
      </c>
      <c r="H2756" t="inlineStr">
        <is>
          <t>Sofía Prada</t>
        </is>
      </c>
      <c r="I2756" t="inlineStr">
        <is>
          <t>Perdido</t>
        </is>
      </c>
      <c r="J2756" s="28" t="n">
        <v>46115</v>
      </c>
      <c r="K2756" s="28" t="n">
        <v>46140</v>
      </c>
      <c r="L2756" t="inlineStr">
        <is>
          <t>Buscaba arriendo, no compra</t>
        </is>
      </c>
    </row>
    <row r="2757">
      <c r="A2757" t="inlineStr">
        <is>
          <t>CLI-2755</t>
        </is>
      </c>
      <c r="B2757" t="inlineStr">
        <is>
          <t>Cristian Salazar Higuita</t>
        </is>
      </c>
      <c r="C2757" t="inlineStr">
        <is>
          <t>3207580913</t>
        </is>
      </c>
      <c r="D2757" t="inlineStr">
        <is>
          <t>cristian.salazar99@yahoo.com</t>
        </is>
      </c>
      <c r="E2757" t="inlineStr">
        <is>
          <t>Bello</t>
        </is>
      </c>
      <c r="F2757" t="inlineStr">
        <is>
          <t>PRY-006</t>
        </is>
      </c>
      <c r="G2757" t="inlineStr">
        <is>
          <t>Portal Web</t>
        </is>
      </c>
      <c r="H2757" t="inlineStr">
        <is>
          <t>Miguel Salazar</t>
        </is>
      </c>
      <c r="I2757" t="inlineStr">
        <is>
          <t>Perdido</t>
        </is>
      </c>
      <c r="J2757" s="28" t="n">
        <v>46115</v>
      </c>
      <c r="K2757" s="28" t="n">
        <v>46144</v>
      </c>
      <c r="L2757" t="inlineStr">
        <is>
          <t>Sin respuesta tras 3 contactos</t>
        </is>
      </c>
    </row>
    <row r="2758">
      <c r="A2758" t="inlineStr">
        <is>
          <t>CLI-2756</t>
        </is>
      </c>
      <c r="B2758" t="inlineStr">
        <is>
          <t>Hernán Cano Escobar</t>
        </is>
      </c>
      <c r="C2758" t="inlineStr">
        <is>
          <t>3238269746</t>
        </is>
      </c>
      <c r="D2758" t="inlineStr">
        <is>
          <t>hernan.cano58@gmail.com</t>
        </is>
      </c>
      <c r="E2758" t="inlineStr">
        <is>
          <t>Rionegro</t>
        </is>
      </c>
      <c r="F2758" t="inlineStr">
        <is>
          <t>PRY-005</t>
        </is>
      </c>
      <c r="G2758" t="inlineStr">
        <is>
          <t>Feria Inmobiliaria</t>
        </is>
      </c>
      <c r="H2758" t="inlineStr">
        <is>
          <t>Andrés Torres</t>
        </is>
      </c>
      <c r="I2758" t="inlineStr">
        <is>
          <t>Ganado</t>
        </is>
      </c>
      <c r="J2758" s="28" t="n">
        <v>46116</v>
      </c>
      <c r="K2758" s="28" t="n">
        <v>46216</v>
      </c>
      <c r="L2758" t="inlineStr">
        <is>
          <t>Compró Apto 708 en Ciudadela Rionegro</t>
        </is>
      </c>
    </row>
    <row r="2759">
      <c r="A2759" t="inlineStr">
        <is>
          <t>CLI-2757</t>
        </is>
      </c>
      <c r="B2759" t="inlineStr">
        <is>
          <t>Mateo Vargas Giraldo</t>
        </is>
      </c>
      <c r="C2759" t="inlineStr">
        <is>
          <t>3174982699</t>
        </is>
      </c>
      <c r="D2759" t="inlineStr">
        <is>
          <t>mateo.vargas78@outlook.com</t>
        </is>
      </c>
      <c r="E2759" t="inlineStr">
        <is>
          <t>Itagüí</t>
        </is>
      </c>
      <c r="F2759" t="inlineStr">
        <is>
          <t>PRY-008</t>
        </is>
      </c>
      <c r="G2759" t="inlineStr">
        <is>
          <t>Referido</t>
        </is>
      </c>
      <c r="H2759" t="inlineStr">
        <is>
          <t>Mateo Herrera</t>
        </is>
      </c>
      <c r="I2759" t="inlineStr">
        <is>
          <t>Ganado</t>
        </is>
      </c>
      <c r="J2759" s="28" t="n">
        <v>46116</v>
      </c>
      <c r="K2759" s="28" t="n">
        <v>46172</v>
      </c>
      <c r="L2759" t="inlineStr">
        <is>
          <t>Compró Casa 80 en Valle Verde Itagüí</t>
        </is>
      </c>
    </row>
    <row r="2760">
      <c r="A2760" t="inlineStr">
        <is>
          <t>CLI-2758</t>
        </is>
      </c>
      <c r="B2760" t="inlineStr">
        <is>
          <t>Laura Ochoa Marín</t>
        </is>
      </c>
      <c r="C2760" t="inlineStr">
        <is>
          <t>3002952414</t>
        </is>
      </c>
      <c r="D2760" t="inlineStr">
        <is>
          <t>laura.ochoa11@yahoo.com</t>
        </is>
      </c>
      <c r="E2760" t="inlineStr">
        <is>
          <t>Bello</t>
        </is>
      </c>
      <c r="F2760" t="inlineStr">
        <is>
          <t>PRY-007</t>
        </is>
      </c>
      <c r="G2760" t="inlineStr">
        <is>
          <t>Instagram</t>
        </is>
      </c>
      <c r="H2760" t="inlineStr">
        <is>
          <t>Daniela Ríos</t>
        </is>
      </c>
      <c r="I2760" t="inlineStr">
        <is>
          <t>Perdido</t>
        </is>
      </c>
      <c r="J2760" s="28" t="n">
        <v>46116</v>
      </c>
      <c r="K2760" s="28" t="n">
        <v>46140</v>
      </c>
      <c r="L2760" t="inlineStr">
        <is>
          <t>Datos de contacto errados</t>
        </is>
      </c>
    </row>
    <row r="2761">
      <c r="A2761" t="inlineStr">
        <is>
          <t>CLI-2759</t>
        </is>
      </c>
      <c r="B2761" t="inlineStr">
        <is>
          <t>Luisa Zuluaga Rojas</t>
        </is>
      </c>
      <c r="C2761" t="inlineStr">
        <is>
          <t>3226876804</t>
        </is>
      </c>
      <c r="D2761" t="inlineStr">
        <is>
          <t>luisa.zuluaga97@outlook.com</t>
        </is>
      </c>
      <c r="E2761" t="inlineStr">
        <is>
          <t>La Estrella</t>
        </is>
      </c>
      <c r="F2761" t="inlineStr">
        <is>
          <t>PRY-006</t>
        </is>
      </c>
      <c r="G2761" t="inlineStr">
        <is>
          <t>Llamada directa</t>
        </is>
      </c>
      <c r="H2761" t="inlineStr">
        <is>
          <t>Miguel Salazar</t>
        </is>
      </c>
      <c r="I2761" t="inlineStr">
        <is>
          <t>Perdido</t>
        </is>
      </c>
      <c r="J2761" s="28" t="n">
        <v>46116</v>
      </c>
      <c r="K2761" s="28" t="n">
        <v>46141</v>
      </c>
      <c r="L2761" t="inlineStr">
        <is>
          <t>Sin respuesta tras 3 contactos</t>
        </is>
      </c>
    </row>
    <row r="2762">
      <c r="A2762" t="inlineStr">
        <is>
          <t>CLI-2760</t>
        </is>
      </c>
      <c r="B2762" t="inlineStr">
        <is>
          <t>Juliana Ramírez Álvarez</t>
        </is>
      </c>
      <c r="C2762" t="inlineStr">
        <is>
          <t>3227617634</t>
        </is>
      </c>
      <c r="D2762" t="inlineStr">
        <is>
          <t>juliana.ramirez63@outlook.com</t>
        </is>
      </c>
      <c r="E2762" t="inlineStr">
        <is>
          <t>Medellín</t>
        </is>
      </c>
      <c r="F2762" t="inlineStr">
        <is>
          <t>PRY-002</t>
        </is>
      </c>
      <c r="G2762" t="inlineStr">
        <is>
          <t>Instagram</t>
        </is>
      </c>
      <c r="H2762" t="inlineStr">
        <is>
          <t>Luis Bedoya</t>
        </is>
      </c>
      <c r="I2762" t="inlineStr">
        <is>
          <t>Perdido</t>
        </is>
      </c>
      <c r="J2762" s="28" t="n">
        <v>46116</v>
      </c>
      <c r="K2762" s="28" t="n">
        <v>46141</v>
      </c>
      <c r="L2762" t="inlineStr">
        <is>
          <t>Buscaba arriendo, no compra</t>
        </is>
      </c>
    </row>
    <row r="2763">
      <c r="A2763" t="inlineStr">
        <is>
          <t>CLI-2761</t>
        </is>
      </c>
      <c r="B2763" t="inlineStr">
        <is>
          <t>Iván Franco Espinosa</t>
        </is>
      </c>
      <c r="C2763" t="inlineStr">
        <is>
          <t>3151494895</t>
        </is>
      </c>
      <c r="D2763" t="inlineStr">
        <is>
          <t>ivan.franco84@hotmail.com</t>
        </is>
      </c>
      <c r="E2763" t="inlineStr">
        <is>
          <t>Bello</t>
        </is>
      </c>
      <c r="F2763" t="inlineStr">
        <is>
          <t>PRY-006</t>
        </is>
      </c>
      <c r="G2763" t="inlineStr">
        <is>
          <t>Llamada directa</t>
        </is>
      </c>
      <c r="H2763" t="inlineStr">
        <is>
          <t>Sofía Prada</t>
        </is>
      </c>
      <c r="I2763" t="inlineStr">
        <is>
          <t>Perdido</t>
        </is>
      </c>
      <c r="J2763" s="28" t="n">
        <v>46116</v>
      </c>
      <c r="K2763" s="28" t="n">
        <v>46124</v>
      </c>
      <c r="L2763" t="inlineStr">
        <is>
          <t>Sin respuesta tras 3 contactos</t>
        </is>
      </c>
    </row>
    <row r="2764">
      <c r="A2764" t="inlineStr">
        <is>
          <t>CLI-2762</t>
        </is>
      </c>
      <c r="B2764" t="inlineStr">
        <is>
          <t>Valeria Pérez Ríos</t>
        </is>
      </c>
      <c r="C2764" t="inlineStr">
        <is>
          <t>3019709668</t>
        </is>
      </c>
      <c r="D2764" t="inlineStr">
        <is>
          <t>valeria.perez51@yahoo.com</t>
        </is>
      </c>
      <c r="E2764" t="inlineStr">
        <is>
          <t>Medellín</t>
        </is>
      </c>
      <c r="F2764" t="inlineStr">
        <is>
          <t>PRY-001</t>
        </is>
      </c>
      <c r="G2764" t="inlineStr">
        <is>
          <t>Portal Web</t>
        </is>
      </c>
      <c r="H2764" t="inlineStr">
        <is>
          <t>Andrés Torres</t>
        </is>
      </c>
      <c r="I2764" t="inlineStr">
        <is>
          <t>Perdido</t>
        </is>
      </c>
      <c r="J2764" s="28" t="n">
        <v>46117</v>
      </c>
      <c r="K2764" s="28" t="n">
        <v>46147</v>
      </c>
      <c r="L2764" t="inlineStr">
        <is>
          <t>Sin respuesta tras 3 contactos</t>
        </is>
      </c>
    </row>
    <row r="2765">
      <c r="A2765" t="inlineStr">
        <is>
          <t>CLI-2763</t>
        </is>
      </c>
      <c r="B2765" t="inlineStr">
        <is>
          <t>Natalia Betancur Zuluaga</t>
        </is>
      </c>
      <c r="C2765" t="inlineStr">
        <is>
          <t>3049561209</t>
        </is>
      </c>
      <c r="D2765" t="inlineStr">
        <is>
          <t>natalia.betancur88@outlook.com</t>
        </is>
      </c>
      <c r="E2765" t="inlineStr">
        <is>
          <t>Rionegro</t>
        </is>
      </c>
      <c r="F2765" t="inlineStr">
        <is>
          <t>PRY-005</t>
        </is>
      </c>
      <c r="G2765" t="inlineStr">
        <is>
          <t>Instagram</t>
        </is>
      </c>
      <c r="H2765" t="inlineStr">
        <is>
          <t>Juliana Vélez</t>
        </is>
      </c>
      <c r="I2765" t="inlineStr">
        <is>
          <t>Perdido</t>
        </is>
      </c>
      <c r="J2765" s="28" t="n">
        <v>46117</v>
      </c>
      <c r="K2765" s="28" t="n">
        <v>46134</v>
      </c>
      <c r="L2765" t="inlineStr">
        <is>
          <t>Buscaba arriendo, no compra</t>
        </is>
      </c>
    </row>
    <row r="2766">
      <c r="A2766" t="inlineStr">
        <is>
          <t>CLI-2764</t>
        </is>
      </c>
      <c r="B2766" t="inlineStr">
        <is>
          <t>Mónica Agudelo Higuita</t>
        </is>
      </c>
      <c r="C2766" t="inlineStr">
        <is>
          <t>3005551561</t>
        </is>
      </c>
      <c r="D2766" t="inlineStr">
        <is>
          <t>monica.agudelo47@gmail.com</t>
        </is>
      </c>
      <c r="E2766" t="inlineStr">
        <is>
          <t>Bello</t>
        </is>
      </c>
      <c r="F2766" t="inlineStr">
        <is>
          <t>PRY-007</t>
        </is>
      </c>
      <c r="G2766" t="inlineStr">
        <is>
          <t>Instagram</t>
        </is>
      </c>
      <c r="H2766" t="inlineStr">
        <is>
          <t>Andrés Torres</t>
        </is>
      </c>
      <c r="I2766" t="inlineStr">
        <is>
          <t>Perdido</t>
        </is>
      </c>
      <c r="J2766" s="28" t="n">
        <v>46117</v>
      </c>
      <c r="K2766" s="28" t="n">
        <v>46126</v>
      </c>
      <c r="L2766" t="inlineStr">
        <is>
          <t>Presupuesto insuficiente</t>
        </is>
      </c>
    </row>
    <row r="2767">
      <c r="A2767" t="inlineStr">
        <is>
          <t>CLI-2765</t>
        </is>
      </c>
      <c r="B2767" t="inlineStr">
        <is>
          <t>Santiago Toro Mejía</t>
        </is>
      </c>
      <c r="C2767" t="inlineStr">
        <is>
          <t>3145155285</t>
        </is>
      </c>
      <c r="D2767" t="inlineStr">
        <is>
          <t>santiago.toro2@outlook.com</t>
        </is>
      </c>
      <c r="E2767" t="inlineStr">
        <is>
          <t>Rionegro</t>
        </is>
      </c>
      <c r="F2767" t="inlineStr">
        <is>
          <t>PRY-002</t>
        </is>
      </c>
      <c r="G2767" t="inlineStr">
        <is>
          <t>Feria Inmobiliaria</t>
        </is>
      </c>
      <c r="H2767" t="inlineStr">
        <is>
          <t>Andrés Torres</t>
        </is>
      </c>
      <c r="I2767" t="inlineStr">
        <is>
          <t>Ganado</t>
        </is>
      </c>
      <c r="J2767" s="28" t="n">
        <v>46118</v>
      </c>
      <c r="K2767" s="28" t="n">
        <v>46228</v>
      </c>
      <c r="L2767" t="inlineStr">
        <is>
          <t>Compró Casa 27 en Reserva Santa Elena</t>
        </is>
      </c>
    </row>
    <row r="2768">
      <c r="A2768" t="inlineStr">
        <is>
          <t>CLI-2766</t>
        </is>
      </c>
      <c r="B2768" t="inlineStr">
        <is>
          <t>María Cifuentes Mejía</t>
        </is>
      </c>
      <c r="C2768" t="inlineStr">
        <is>
          <t>3048366112</t>
        </is>
      </c>
      <c r="D2768" t="inlineStr">
        <is>
          <t>maria.cifuentes71@hotmail.com</t>
        </is>
      </c>
      <c r="E2768" t="inlineStr">
        <is>
          <t>Rionegro</t>
        </is>
      </c>
      <c r="F2768" t="inlineStr">
        <is>
          <t>PRY-005</t>
        </is>
      </c>
      <c r="G2768" t="inlineStr">
        <is>
          <t>Portal Web</t>
        </is>
      </c>
      <c r="H2768" t="inlineStr">
        <is>
          <t>Andrés Torres</t>
        </is>
      </c>
      <c r="I2768" t="inlineStr">
        <is>
          <t>Visita agendada</t>
        </is>
      </c>
      <c r="J2768" s="28" t="n">
        <v>46118</v>
      </c>
      <c r="K2768" s="28" t="n">
        <v>46211</v>
      </c>
      <c r="L2768" t="inlineStr">
        <is>
          <t>Visitó el apartamento modelo</t>
        </is>
      </c>
    </row>
    <row r="2769">
      <c r="A2769" t="inlineStr">
        <is>
          <t>CLI-2767</t>
        </is>
      </c>
      <c r="B2769" t="inlineStr">
        <is>
          <t>Santiago Osorio Muñoz</t>
        </is>
      </c>
      <c r="C2769" t="inlineStr">
        <is>
          <t>3242261847</t>
        </is>
      </c>
      <c r="D2769" t="inlineStr">
        <is>
          <t>santiago.osorio27@yahoo.com</t>
        </is>
      </c>
      <c r="E2769" t="inlineStr">
        <is>
          <t>Envigado</t>
        </is>
      </c>
      <c r="F2769" t="inlineStr">
        <is>
          <t>PRY-007</t>
        </is>
      </c>
      <c r="G2769" t="inlineStr">
        <is>
          <t>Llamada directa</t>
        </is>
      </c>
      <c r="H2769" t="inlineStr">
        <is>
          <t>Paula Arenas</t>
        </is>
      </c>
      <c r="I2769" t="inlineStr">
        <is>
          <t>Ganado</t>
        </is>
      </c>
      <c r="J2769" s="28" t="n">
        <v>46119</v>
      </c>
      <c r="K2769" s="28" t="n">
        <v>46204</v>
      </c>
      <c r="L2769" t="inlineStr">
        <is>
          <t>Compró Apto 705 en Mirador de Envigado</t>
        </is>
      </c>
    </row>
    <row r="2770">
      <c r="A2770" t="inlineStr">
        <is>
          <t>CLI-2768</t>
        </is>
      </c>
      <c r="B2770" t="inlineStr">
        <is>
          <t>Manuela Montoya Cardona</t>
        </is>
      </c>
      <c r="C2770" t="inlineStr">
        <is>
          <t>3047383664</t>
        </is>
      </c>
      <c r="D2770" t="inlineStr">
        <is>
          <t>manuela.montoya24@gmail.com</t>
        </is>
      </c>
      <c r="E2770" t="inlineStr">
        <is>
          <t>Medellín</t>
        </is>
      </c>
      <c r="F2770" t="inlineStr">
        <is>
          <t>PRY-001</t>
        </is>
      </c>
      <c r="G2770" t="inlineStr">
        <is>
          <t>Portal Web</t>
        </is>
      </c>
      <c r="H2770" t="inlineStr">
        <is>
          <t>Sofía Prada</t>
        </is>
      </c>
      <c r="I2770" t="inlineStr">
        <is>
          <t>En contacto</t>
        </is>
      </c>
      <c r="J2770" s="28" t="n">
        <v>46119</v>
      </c>
      <c r="K2770" s="28" t="n">
        <v>46207</v>
      </c>
      <c r="L2770" t="inlineStr">
        <is>
          <t>Primera llamada realizada</t>
        </is>
      </c>
    </row>
    <row r="2771">
      <c r="A2771" t="inlineStr">
        <is>
          <t>CLI-2769</t>
        </is>
      </c>
      <c r="B2771" t="inlineStr">
        <is>
          <t>Tomás Zapata Peláez</t>
        </is>
      </c>
      <c r="C2771" t="inlineStr">
        <is>
          <t>3108726466</t>
        </is>
      </c>
      <c r="D2771" t="inlineStr">
        <is>
          <t>tomas.zapata68@yahoo.com</t>
        </is>
      </c>
      <c r="E2771" t="inlineStr">
        <is>
          <t>Medellín</t>
        </is>
      </c>
      <c r="F2771" t="inlineStr">
        <is>
          <t>PRY-002</t>
        </is>
      </c>
      <c r="G2771" t="inlineStr">
        <is>
          <t>Feria Inmobiliaria</t>
        </is>
      </c>
      <c r="H2771" t="inlineStr">
        <is>
          <t>Sofía Prada</t>
        </is>
      </c>
      <c r="I2771" t="inlineStr">
        <is>
          <t>Perdido</t>
        </is>
      </c>
      <c r="J2771" s="28" t="n">
        <v>46119</v>
      </c>
      <c r="K2771" s="28" t="n">
        <v>46138</v>
      </c>
      <c r="L2771" t="inlineStr">
        <is>
          <t>Buscaba arriendo, no compra</t>
        </is>
      </c>
    </row>
    <row r="2772">
      <c r="A2772" t="inlineStr">
        <is>
          <t>CLI-2770</t>
        </is>
      </c>
      <c r="B2772" t="inlineStr">
        <is>
          <t>Mauricio Pérez Zuluaga</t>
        </is>
      </c>
      <c r="C2772" t="inlineStr">
        <is>
          <t>3133869079</t>
        </is>
      </c>
      <c r="D2772" t="inlineStr">
        <is>
          <t>mauricio.perez15@gmail.com</t>
        </is>
      </c>
      <c r="E2772" t="inlineStr">
        <is>
          <t>Itagüí</t>
        </is>
      </c>
      <c r="F2772" t="inlineStr">
        <is>
          <t>PRY-007</t>
        </is>
      </c>
      <c r="G2772" t="inlineStr">
        <is>
          <t>Portal Web</t>
        </is>
      </c>
      <c r="H2772" t="inlineStr">
        <is>
          <t>Ana Quintero</t>
        </is>
      </c>
      <c r="I2772" t="inlineStr">
        <is>
          <t>Perdido</t>
        </is>
      </c>
      <c r="J2772" s="28" t="n">
        <v>46120</v>
      </c>
      <c r="K2772" s="28" t="n">
        <v>46138</v>
      </c>
      <c r="L2772" t="inlineStr">
        <is>
          <t>Sin respuesta tras 3 contactos</t>
        </is>
      </c>
    </row>
    <row r="2773">
      <c r="A2773" t="inlineStr">
        <is>
          <t>CLI-2771</t>
        </is>
      </c>
      <c r="B2773" t="inlineStr">
        <is>
          <t>Camila Cifuentes Vásquez</t>
        </is>
      </c>
      <c r="C2773" t="inlineStr">
        <is>
          <t>3002472291</t>
        </is>
      </c>
      <c r="D2773" t="inlineStr">
        <is>
          <t>camila.cifuentes87@outlook.com</t>
        </is>
      </c>
      <c r="E2773" t="inlineStr">
        <is>
          <t>Bello</t>
        </is>
      </c>
      <c r="F2773" t="inlineStr">
        <is>
          <t>PRY-003</t>
        </is>
      </c>
      <c r="G2773" t="inlineStr">
        <is>
          <t>Portal Web</t>
        </is>
      </c>
      <c r="H2773" t="inlineStr">
        <is>
          <t>Luis Bedoya</t>
        </is>
      </c>
      <c r="I2773" t="inlineStr">
        <is>
          <t>Perdido</t>
        </is>
      </c>
      <c r="J2773" s="28" t="n">
        <v>46120</v>
      </c>
      <c r="K2773" s="28" t="n">
        <v>46150</v>
      </c>
      <c r="L2773" t="inlineStr">
        <is>
          <t>Presupuesto insuficiente</t>
        </is>
      </c>
    </row>
    <row r="2774">
      <c r="A2774" t="inlineStr">
        <is>
          <t>CLI-2772</t>
        </is>
      </c>
      <c r="B2774" t="inlineStr">
        <is>
          <t>Nicolás Jaramillo López</t>
        </is>
      </c>
      <c r="C2774" t="inlineStr">
        <is>
          <t>3228922554</t>
        </is>
      </c>
      <c r="D2774" t="inlineStr">
        <is>
          <t>nicolas.jaramillo34@hotmail.com</t>
        </is>
      </c>
      <c r="E2774" t="inlineStr">
        <is>
          <t>Bello</t>
        </is>
      </c>
      <c r="F2774" t="inlineStr">
        <is>
          <t>PRY-002</t>
        </is>
      </c>
      <c r="G2774" t="inlineStr">
        <is>
          <t>Facebook</t>
        </is>
      </c>
      <c r="H2774" t="inlineStr">
        <is>
          <t>Luis Bedoya</t>
        </is>
      </c>
      <c r="I2774" t="inlineStr">
        <is>
          <t>Perdido</t>
        </is>
      </c>
      <c r="J2774" s="28" t="n">
        <v>46120</v>
      </c>
      <c r="K2774" s="28" t="n">
        <v>46127</v>
      </c>
      <c r="L2774" t="inlineStr">
        <is>
          <t>No calificó para crédito</t>
        </is>
      </c>
    </row>
    <row r="2775">
      <c r="A2775" t="inlineStr">
        <is>
          <t>CLI-2773</t>
        </is>
      </c>
      <c r="B2775" t="inlineStr">
        <is>
          <t>Isabel Rojas Salcedo</t>
        </is>
      </c>
      <c r="C2775" t="inlineStr">
        <is>
          <t>3138503847</t>
        </is>
      </c>
      <c r="D2775" t="inlineStr">
        <is>
          <t>isabel.rojas60@gmail.com</t>
        </is>
      </c>
      <c r="E2775" t="inlineStr">
        <is>
          <t>La Estrella</t>
        </is>
      </c>
      <c r="F2775" t="inlineStr">
        <is>
          <t>PRY-008</t>
        </is>
      </c>
      <c r="G2775" t="inlineStr">
        <is>
          <t>Referido</t>
        </is>
      </c>
      <c r="H2775" t="inlineStr">
        <is>
          <t>Ana Quintero</t>
        </is>
      </c>
      <c r="I2775" t="inlineStr">
        <is>
          <t>Perdido</t>
        </is>
      </c>
      <c r="J2775" s="28" t="n">
        <v>46120</v>
      </c>
      <c r="K2775" s="28" t="n">
        <v>46127</v>
      </c>
      <c r="L2775" t="inlineStr">
        <is>
          <t>Buscaba arriendo, no compra</t>
        </is>
      </c>
    </row>
    <row r="2776">
      <c r="A2776" t="inlineStr">
        <is>
          <t>CLI-2774</t>
        </is>
      </c>
      <c r="B2776" t="inlineStr">
        <is>
          <t>Diana Correa Ríos</t>
        </is>
      </c>
      <c r="C2776" t="inlineStr">
        <is>
          <t>3171761510</t>
        </is>
      </c>
      <c r="D2776" t="inlineStr">
        <is>
          <t>diana.correa91@yahoo.com</t>
        </is>
      </c>
      <c r="E2776" t="inlineStr">
        <is>
          <t>Sabaneta</t>
        </is>
      </c>
      <c r="F2776" t="inlineStr">
        <is>
          <t>PRY-003</t>
        </is>
      </c>
      <c r="G2776" t="inlineStr">
        <is>
          <t>Portal Web</t>
        </is>
      </c>
      <c r="H2776" t="inlineStr">
        <is>
          <t>Ana Quintero</t>
        </is>
      </c>
      <c r="I2776" t="inlineStr">
        <is>
          <t>Negociación</t>
        </is>
      </c>
      <c r="J2776" s="28" t="n">
        <v>46121</v>
      </c>
      <c r="K2776" s="28" t="n">
        <v>46206</v>
      </c>
      <c r="L2776" t="inlineStr">
        <is>
          <t>Requiere aprobación de crédito</t>
        </is>
      </c>
    </row>
    <row r="2777">
      <c r="A2777" t="inlineStr">
        <is>
          <t>CLI-2775</t>
        </is>
      </c>
      <c r="B2777" t="inlineStr">
        <is>
          <t>Isabel Vásquez Quintero</t>
        </is>
      </c>
      <c r="C2777" t="inlineStr">
        <is>
          <t>3234673341</t>
        </is>
      </c>
      <c r="D2777" t="inlineStr">
        <is>
          <t>isabel.vasquez55@gmail.com</t>
        </is>
      </c>
      <c r="E2777" t="inlineStr">
        <is>
          <t>Medellín</t>
        </is>
      </c>
      <c r="F2777" t="inlineStr">
        <is>
          <t>PRY-002</t>
        </is>
      </c>
      <c r="G2777" t="inlineStr">
        <is>
          <t>Portal Web</t>
        </is>
      </c>
      <c r="H2777" t="inlineStr">
        <is>
          <t>Juliana Vélez</t>
        </is>
      </c>
      <c r="I2777" t="inlineStr">
        <is>
          <t>Perdido</t>
        </is>
      </c>
      <c r="J2777" s="28" t="n">
        <v>46121</v>
      </c>
      <c r="K2777" s="28" t="n">
        <v>46143</v>
      </c>
      <c r="L2777" t="inlineStr">
        <is>
          <t>Buscaba arriendo, no compra</t>
        </is>
      </c>
    </row>
    <row r="2778">
      <c r="A2778" t="inlineStr">
        <is>
          <t>CLI-2776</t>
        </is>
      </c>
      <c r="B2778" t="inlineStr">
        <is>
          <t>Mauricio Mejía Ochoa</t>
        </is>
      </c>
      <c r="C2778" t="inlineStr">
        <is>
          <t>3221132880</t>
        </is>
      </c>
      <c r="D2778" t="inlineStr">
        <is>
          <t>mauricio.mejia91@yahoo.com</t>
        </is>
      </c>
      <c r="E2778" t="inlineStr">
        <is>
          <t>Itagüí</t>
        </is>
      </c>
      <c r="F2778" t="inlineStr">
        <is>
          <t>PRY-008</t>
        </is>
      </c>
      <c r="G2778" t="inlineStr">
        <is>
          <t>Portal Web</t>
        </is>
      </c>
      <c r="H2778" t="inlineStr">
        <is>
          <t>Santiago Muñoz</t>
        </is>
      </c>
      <c r="I2778" t="inlineStr">
        <is>
          <t>Perdido</t>
        </is>
      </c>
      <c r="J2778" s="28" t="n">
        <v>46122</v>
      </c>
      <c r="K2778" s="28" t="n">
        <v>46180</v>
      </c>
      <c r="L2778" t="inlineStr">
        <is>
          <t>Precio fuera de presupuesto</t>
        </is>
      </c>
    </row>
    <row r="2779">
      <c r="A2779" t="inlineStr">
        <is>
          <t>CLI-2777</t>
        </is>
      </c>
      <c r="B2779" t="inlineStr">
        <is>
          <t>José Ríos Sánchez</t>
        </is>
      </c>
      <c r="C2779" t="inlineStr">
        <is>
          <t>3171803782</t>
        </is>
      </c>
      <c r="D2779" t="inlineStr">
        <is>
          <t>jose.rios28@hotmail.com</t>
        </is>
      </c>
      <c r="E2779" t="inlineStr">
        <is>
          <t>Bello</t>
        </is>
      </c>
      <c r="F2779" t="inlineStr">
        <is>
          <t>PRY-003</t>
        </is>
      </c>
      <c r="G2779" t="inlineStr">
        <is>
          <t>Facebook</t>
        </is>
      </c>
      <c r="H2779" t="inlineStr">
        <is>
          <t>Paula Arenas</t>
        </is>
      </c>
      <c r="I2779" t="inlineStr">
        <is>
          <t>Visita agendada</t>
        </is>
      </c>
      <c r="J2779" s="28" t="n">
        <v>46122</v>
      </c>
      <c r="K2779" s="28" t="n">
        <v>46209</v>
      </c>
      <c r="L2779" t="inlineStr">
        <is>
          <t>Visitó el apartamento modelo</t>
        </is>
      </c>
    </row>
    <row r="2780">
      <c r="A2780" t="inlineStr">
        <is>
          <t>CLI-2778</t>
        </is>
      </c>
      <c r="B2780" t="inlineStr">
        <is>
          <t>Patricia Bedoya Vargas</t>
        </is>
      </c>
      <c r="C2780" t="inlineStr">
        <is>
          <t>3236443090</t>
        </is>
      </c>
      <c r="D2780" t="inlineStr">
        <is>
          <t>patricia.bedoya74@gmail.com</t>
        </is>
      </c>
      <c r="E2780" t="inlineStr">
        <is>
          <t>Rionegro</t>
        </is>
      </c>
      <c r="F2780" t="inlineStr">
        <is>
          <t>PRY-005</t>
        </is>
      </c>
      <c r="G2780" t="inlineStr">
        <is>
          <t>Llamada directa</t>
        </is>
      </c>
      <c r="H2780" t="inlineStr">
        <is>
          <t>Mateo Herrera</t>
        </is>
      </c>
      <c r="I2780" t="inlineStr">
        <is>
          <t>Perdido</t>
        </is>
      </c>
      <c r="J2780" s="28" t="n">
        <v>46122</v>
      </c>
      <c r="K2780" s="28" t="n">
        <v>46131</v>
      </c>
      <c r="L2780" t="inlineStr">
        <is>
          <t>Presupuesto insuficiente</t>
        </is>
      </c>
    </row>
    <row r="2781">
      <c r="A2781" t="inlineStr">
        <is>
          <t>CLI-2779</t>
        </is>
      </c>
      <c r="B2781" t="inlineStr">
        <is>
          <t>Carolina Montoya Arango</t>
        </is>
      </c>
      <c r="C2781" t="inlineStr">
        <is>
          <t>3173007644</t>
        </is>
      </c>
      <c r="D2781" t="inlineStr">
        <is>
          <t>carolina.montoya91@gmail.com</t>
        </is>
      </c>
      <c r="E2781" t="inlineStr">
        <is>
          <t>Sabaneta</t>
        </is>
      </c>
      <c r="F2781" t="inlineStr">
        <is>
          <t>PRY-003</t>
        </is>
      </c>
      <c r="G2781" t="inlineStr">
        <is>
          <t>Instagram</t>
        </is>
      </c>
      <c r="H2781" t="inlineStr">
        <is>
          <t>Luis Bedoya</t>
        </is>
      </c>
      <c r="I2781" t="inlineStr">
        <is>
          <t>Perdido</t>
        </is>
      </c>
      <c r="J2781" s="28" t="n">
        <v>46123</v>
      </c>
      <c r="K2781" s="28" t="n">
        <v>46149</v>
      </c>
      <c r="L2781" t="inlineStr">
        <is>
          <t>Buscaba arriendo, no compra</t>
        </is>
      </c>
    </row>
    <row r="2782">
      <c r="A2782" t="inlineStr">
        <is>
          <t>CLI-2780</t>
        </is>
      </c>
      <c r="B2782" t="inlineStr">
        <is>
          <t>David Arango Henao</t>
        </is>
      </c>
      <c r="C2782" t="inlineStr">
        <is>
          <t>3134541389</t>
        </is>
      </c>
      <c r="D2782" t="inlineStr">
        <is>
          <t>david.arango48@outlook.com</t>
        </is>
      </c>
      <c r="E2782" t="inlineStr">
        <is>
          <t>Rionegro</t>
        </is>
      </c>
      <c r="F2782" t="inlineStr">
        <is>
          <t>PRY-005</t>
        </is>
      </c>
      <c r="G2782" t="inlineStr">
        <is>
          <t>Instagram</t>
        </is>
      </c>
      <c r="H2782" t="inlineStr">
        <is>
          <t>Andrés Torres</t>
        </is>
      </c>
      <c r="I2782" t="inlineStr">
        <is>
          <t>Perdido</t>
        </is>
      </c>
      <c r="J2782" s="28" t="n">
        <v>46123</v>
      </c>
      <c r="K2782" s="28" t="n">
        <v>46130</v>
      </c>
      <c r="L2782" t="inlineStr">
        <is>
          <t>Buscaba arriendo, no compra</t>
        </is>
      </c>
    </row>
    <row r="2783">
      <c r="A2783" t="inlineStr">
        <is>
          <t>CLI-2781</t>
        </is>
      </c>
      <c r="B2783" t="inlineStr">
        <is>
          <t>Gloria Higuita Gómez</t>
        </is>
      </c>
      <c r="C2783" t="inlineStr">
        <is>
          <t>3003088878</t>
        </is>
      </c>
      <c r="D2783" t="inlineStr">
        <is>
          <t>gloria.higuita99@gmail.com</t>
        </is>
      </c>
      <c r="E2783" t="inlineStr">
        <is>
          <t>Envigado</t>
        </is>
      </c>
      <c r="F2783" t="inlineStr">
        <is>
          <t>PRY-007</t>
        </is>
      </c>
      <c r="G2783" t="inlineStr">
        <is>
          <t>Llamada directa</t>
        </is>
      </c>
      <c r="H2783" t="inlineStr">
        <is>
          <t>Paula Arenas</t>
        </is>
      </c>
      <c r="I2783" t="inlineStr">
        <is>
          <t>Perdido</t>
        </is>
      </c>
      <c r="J2783" s="28" t="n">
        <v>46123</v>
      </c>
      <c r="K2783" s="28" t="n">
        <v>46143</v>
      </c>
      <c r="L2783" t="inlineStr">
        <is>
          <t>Sin respuesta tras 3 contactos</t>
        </is>
      </c>
    </row>
    <row r="2784">
      <c r="A2784" t="inlineStr">
        <is>
          <t>CLI-2782</t>
        </is>
      </c>
      <c r="B2784" t="inlineStr">
        <is>
          <t>Valentina Henao Mejía</t>
        </is>
      </c>
      <c r="C2784" t="inlineStr">
        <is>
          <t>3003760868</t>
        </is>
      </c>
      <c r="D2784" t="inlineStr">
        <is>
          <t>valentina.henao49@gmail.com</t>
        </is>
      </c>
      <c r="E2784" t="inlineStr">
        <is>
          <t>Bello</t>
        </is>
      </c>
      <c r="F2784" t="inlineStr">
        <is>
          <t>PRY-003</t>
        </is>
      </c>
      <c r="G2784" t="inlineStr">
        <is>
          <t>Instagram</t>
        </is>
      </c>
      <c r="H2784" t="inlineStr">
        <is>
          <t>Santiago Muñoz</t>
        </is>
      </c>
      <c r="I2784" t="inlineStr">
        <is>
          <t>Negociación</t>
        </is>
      </c>
      <c r="J2784" s="28" t="n">
        <v>46124</v>
      </c>
      <c r="K2784" s="28" t="n">
        <v>46217</v>
      </c>
      <c r="L2784" t="inlineStr">
        <is>
          <t>Requiere aprobación de crédito</t>
        </is>
      </c>
    </row>
    <row r="2785">
      <c r="A2785" t="inlineStr">
        <is>
          <t>CLI-2783</t>
        </is>
      </c>
      <c r="B2785" t="inlineStr">
        <is>
          <t>Natalia Gómez Cardona</t>
        </is>
      </c>
      <c r="C2785" t="inlineStr">
        <is>
          <t>3204058287</t>
        </is>
      </c>
      <c r="D2785" t="inlineStr">
        <is>
          <t>natalia.gomez70@gmail.com</t>
        </is>
      </c>
      <c r="E2785" t="inlineStr">
        <is>
          <t>Bello</t>
        </is>
      </c>
      <c r="F2785" t="inlineStr">
        <is>
          <t>PRY-006</t>
        </is>
      </c>
      <c r="G2785" t="inlineStr">
        <is>
          <t>Llamada directa</t>
        </is>
      </c>
      <c r="H2785" t="inlineStr">
        <is>
          <t>Luis Bedoya</t>
        </is>
      </c>
      <c r="I2785" t="inlineStr">
        <is>
          <t>Perdido</t>
        </is>
      </c>
      <c r="J2785" s="28" t="n">
        <v>46124</v>
      </c>
      <c r="K2785" s="28" t="n">
        <v>46134</v>
      </c>
      <c r="L2785" t="inlineStr">
        <is>
          <t>Sin respuesta tras 3 contactos</t>
        </is>
      </c>
    </row>
    <row r="2786">
      <c r="A2786" t="inlineStr">
        <is>
          <t>CLI-2784</t>
        </is>
      </c>
      <c r="B2786" t="inlineStr">
        <is>
          <t>Paula Muñoz Cardona</t>
        </is>
      </c>
      <c r="C2786" t="inlineStr">
        <is>
          <t>3223331145</t>
        </is>
      </c>
      <c r="D2786" t="inlineStr">
        <is>
          <t>paula.munoz40@hotmail.com</t>
        </is>
      </c>
      <c r="E2786" t="inlineStr">
        <is>
          <t>Medellín</t>
        </is>
      </c>
      <c r="F2786" t="inlineStr">
        <is>
          <t>PRY-003</t>
        </is>
      </c>
      <c r="G2786" t="inlineStr">
        <is>
          <t>Referido</t>
        </is>
      </c>
      <c r="H2786" t="inlineStr">
        <is>
          <t>Juliana Vélez</t>
        </is>
      </c>
      <c r="I2786" t="inlineStr">
        <is>
          <t>Ganado</t>
        </is>
      </c>
      <c r="J2786" s="28" t="n">
        <v>46125</v>
      </c>
      <c r="K2786" s="28" t="n">
        <v>46228</v>
      </c>
      <c r="L2786" t="inlineStr">
        <is>
          <t>Compró Apto 1201 en Conecta Laureles</t>
        </is>
      </c>
    </row>
    <row r="2787">
      <c r="A2787" t="inlineStr">
        <is>
          <t>CLI-2785</t>
        </is>
      </c>
      <c r="B2787" t="inlineStr">
        <is>
          <t>Sandra Montes Salazar</t>
        </is>
      </c>
      <c r="C2787" t="inlineStr">
        <is>
          <t>3105763736</t>
        </is>
      </c>
      <c r="D2787" t="inlineStr">
        <is>
          <t>sandra.montes49@yahoo.com</t>
        </is>
      </c>
      <c r="E2787" t="inlineStr">
        <is>
          <t>Envigado</t>
        </is>
      </c>
      <c r="F2787" t="inlineStr">
        <is>
          <t>PRY-006</t>
        </is>
      </c>
      <c r="G2787" t="inlineStr">
        <is>
          <t>Instagram</t>
        </is>
      </c>
      <c r="H2787" t="inlineStr">
        <is>
          <t>Santiago Muñoz</t>
        </is>
      </c>
      <c r="I2787" t="inlineStr">
        <is>
          <t>En contacto</t>
        </is>
      </c>
      <c r="J2787" s="28" t="n">
        <v>46125</v>
      </c>
      <c r="K2787" s="28" t="n">
        <v>46205</v>
      </c>
      <c r="L2787" t="inlineStr">
        <is>
          <t>Interesado, pidió plano de la unidad</t>
        </is>
      </c>
    </row>
    <row r="2788">
      <c r="A2788" t="inlineStr">
        <is>
          <t>CLI-2786</t>
        </is>
      </c>
      <c r="B2788" t="inlineStr">
        <is>
          <t>Juliana Vélez Salcedo</t>
        </is>
      </c>
      <c r="C2788" t="inlineStr">
        <is>
          <t>3142011903</t>
        </is>
      </c>
      <c r="D2788" t="inlineStr">
        <is>
          <t>juliana.velez86@outlook.com</t>
        </is>
      </c>
      <c r="E2788" t="inlineStr">
        <is>
          <t>Bello</t>
        </is>
      </c>
      <c r="F2788" t="inlineStr">
        <is>
          <t>PRY-006</t>
        </is>
      </c>
      <c r="G2788" t="inlineStr">
        <is>
          <t>Portal Web</t>
        </is>
      </c>
      <c r="H2788" t="inlineStr">
        <is>
          <t>Miguel Salazar</t>
        </is>
      </c>
      <c r="I2788" t="inlineStr">
        <is>
          <t>Negociación</t>
        </is>
      </c>
      <c r="J2788" s="28" t="n">
        <v>46126</v>
      </c>
      <c r="K2788" s="28" t="n">
        <v>46209</v>
      </c>
      <c r="L2788" t="inlineStr">
        <is>
          <t>Requiere aprobación de crédito</t>
        </is>
      </c>
    </row>
    <row r="2789">
      <c r="A2789" t="inlineStr">
        <is>
          <t>CLI-2787</t>
        </is>
      </c>
      <c r="B2789" t="inlineStr">
        <is>
          <t>Mauricio Escobar Cardona</t>
        </is>
      </c>
      <c r="C2789" t="inlineStr">
        <is>
          <t>3249684448</t>
        </is>
      </c>
      <c r="D2789" t="inlineStr">
        <is>
          <t>mauricio.escobar13@yahoo.com</t>
        </is>
      </c>
      <c r="E2789" t="inlineStr">
        <is>
          <t>Rionegro</t>
        </is>
      </c>
      <c r="F2789" t="inlineStr">
        <is>
          <t>PRY-007</t>
        </is>
      </c>
      <c r="G2789" t="inlineStr">
        <is>
          <t>Facebook</t>
        </is>
      </c>
      <c r="H2789" t="inlineStr">
        <is>
          <t>Ana Quintero</t>
        </is>
      </c>
      <c r="I2789" t="inlineStr">
        <is>
          <t>Perdido</t>
        </is>
      </c>
      <c r="J2789" s="28" t="n">
        <v>46126</v>
      </c>
      <c r="K2789" s="28" t="n">
        <v>46136</v>
      </c>
      <c r="L2789" t="inlineStr">
        <is>
          <t>Datos de contacto errados</t>
        </is>
      </c>
    </row>
    <row r="2790">
      <c r="A2790" t="inlineStr">
        <is>
          <t>CLI-2788</t>
        </is>
      </c>
      <c r="B2790" t="inlineStr">
        <is>
          <t>Diana Pérez Mejía</t>
        </is>
      </c>
      <c r="C2790" t="inlineStr">
        <is>
          <t>3005855779</t>
        </is>
      </c>
      <c r="D2790" t="inlineStr">
        <is>
          <t>diana.perez48@hotmail.com</t>
        </is>
      </c>
      <c r="E2790" t="inlineStr">
        <is>
          <t>Envigado</t>
        </is>
      </c>
      <c r="F2790" t="inlineStr">
        <is>
          <t>PRY-007</t>
        </is>
      </c>
      <c r="G2790" t="inlineStr">
        <is>
          <t>Portal Web</t>
        </is>
      </c>
      <c r="H2790" t="inlineStr">
        <is>
          <t>Juliana Vélez</t>
        </is>
      </c>
      <c r="I2790" t="inlineStr">
        <is>
          <t>Visita agendada</t>
        </is>
      </c>
      <c r="J2790" s="28" t="n">
        <v>46127</v>
      </c>
      <c r="K2790" s="28" t="n">
        <v>46207</v>
      </c>
      <c r="L2790" t="inlineStr">
        <is>
          <t>Visitó el apartamento modelo</t>
        </is>
      </c>
    </row>
    <row r="2791">
      <c r="A2791" t="inlineStr">
        <is>
          <t>CLI-2789</t>
        </is>
      </c>
      <c r="B2791" t="inlineStr">
        <is>
          <t>Emilio Salazar Londoño</t>
        </is>
      </c>
      <c r="C2791" t="inlineStr">
        <is>
          <t>3208989714</t>
        </is>
      </c>
      <c r="D2791" t="inlineStr">
        <is>
          <t>emilio.salazar70@hotmail.com</t>
        </is>
      </c>
      <c r="E2791" t="inlineStr">
        <is>
          <t>Rionegro</t>
        </is>
      </c>
      <c r="F2791" t="inlineStr">
        <is>
          <t>PRY-005</t>
        </is>
      </c>
      <c r="G2791" t="inlineStr">
        <is>
          <t>Portal Web</t>
        </is>
      </c>
      <c r="H2791" t="inlineStr">
        <is>
          <t>Miguel Salazar</t>
        </is>
      </c>
      <c r="I2791" t="inlineStr">
        <is>
          <t>Ganado</t>
        </is>
      </c>
      <c r="J2791" s="28" t="n">
        <v>46127</v>
      </c>
      <c r="K2791" s="28" t="n">
        <v>46225</v>
      </c>
      <c r="L2791" t="inlineStr">
        <is>
          <t>Compró Apto 607 en Ciudadela Rionegro</t>
        </is>
      </c>
    </row>
    <row r="2792">
      <c r="A2792" t="inlineStr">
        <is>
          <t>CLI-2790</t>
        </is>
      </c>
      <c r="B2792" t="inlineStr">
        <is>
          <t>María Ramírez Zuluaga</t>
        </is>
      </c>
      <c r="C2792" t="inlineStr">
        <is>
          <t>3223353808</t>
        </is>
      </c>
      <c r="D2792" t="inlineStr">
        <is>
          <t>maria.ramirez7@hotmail.com</t>
        </is>
      </c>
      <c r="E2792" t="inlineStr">
        <is>
          <t>Rionegro</t>
        </is>
      </c>
      <c r="F2792" t="inlineStr">
        <is>
          <t>PRY-003</t>
        </is>
      </c>
      <c r="G2792" t="inlineStr">
        <is>
          <t>Portal Web</t>
        </is>
      </c>
      <c r="H2792" t="inlineStr">
        <is>
          <t>Juliana Vélez</t>
        </is>
      </c>
      <c r="I2792" t="inlineStr">
        <is>
          <t>Perdido</t>
        </is>
      </c>
      <c r="J2792" s="28" t="n">
        <v>46127</v>
      </c>
      <c r="K2792" s="28" t="n">
        <v>46187</v>
      </c>
      <c r="L2792" t="inlineStr">
        <is>
          <t>Crédito no aprobado</t>
        </is>
      </c>
    </row>
    <row r="2793">
      <c r="A2793" t="inlineStr">
        <is>
          <t>CLI-2791</t>
        </is>
      </c>
      <c r="B2793" t="inlineStr">
        <is>
          <t>Sofía Sánchez Salcedo</t>
        </is>
      </c>
      <c r="C2793" t="inlineStr">
        <is>
          <t>3223454953</t>
        </is>
      </c>
      <c r="D2793" t="inlineStr">
        <is>
          <t>sofia.sanchez38@gmail.com</t>
        </is>
      </c>
      <c r="E2793" t="inlineStr">
        <is>
          <t>Sabaneta</t>
        </is>
      </c>
      <c r="F2793" t="inlineStr">
        <is>
          <t>PRY-002</t>
        </is>
      </c>
      <c r="G2793" t="inlineStr">
        <is>
          <t>Facebook</t>
        </is>
      </c>
      <c r="H2793" t="inlineStr">
        <is>
          <t>Sofía Prada</t>
        </is>
      </c>
      <c r="I2793" t="inlineStr">
        <is>
          <t>Perdido</t>
        </is>
      </c>
      <c r="J2793" s="28" t="n">
        <v>46128</v>
      </c>
      <c r="K2793" s="28" t="n">
        <v>46157</v>
      </c>
      <c r="L2793" t="inlineStr">
        <is>
          <t>No calificó para crédito</t>
        </is>
      </c>
    </row>
    <row r="2794">
      <c r="A2794" t="inlineStr">
        <is>
          <t>CLI-2792</t>
        </is>
      </c>
      <c r="B2794" t="inlineStr">
        <is>
          <t>Mauricio Vargas Zapata</t>
        </is>
      </c>
      <c r="C2794" t="inlineStr">
        <is>
          <t>3203366393</t>
        </is>
      </c>
      <c r="D2794" t="inlineStr">
        <is>
          <t>mauricio.vargas37@outlook.com</t>
        </is>
      </c>
      <c r="E2794" t="inlineStr">
        <is>
          <t>Rionegro</t>
        </is>
      </c>
      <c r="F2794" t="inlineStr">
        <is>
          <t>PRY-005</t>
        </is>
      </c>
      <c r="G2794" t="inlineStr">
        <is>
          <t>Instagram</t>
        </is>
      </c>
      <c r="H2794" t="inlineStr">
        <is>
          <t>Ana Quintero</t>
        </is>
      </c>
      <c r="I2794" t="inlineStr">
        <is>
          <t>Perdido</t>
        </is>
      </c>
      <c r="J2794" s="28" t="n">
        <v>46128</v>
      </c>
      <c r="K2794" s="28" t="n">
        <v>46152</v>
      </c>
      <c r="L2794" t="inlineStr">
        <is>
          <t>No calificó para crédito</t>
        </is>
      </c>
    </row>
    <row r="2795">
      <c r="A2795" t="inlineStr">
        <is>
          <t>CLI-2793</t>
        </is>
      </c>
      <c r="B2795" t="inlineStr">
        <is>
          <t>Simón Valencia Franco</t>
        </is>
      </c>
      <c r="C2795" t="inlineStr">
        <is>
          <t>3141961368</t>
        </is>
      </c>
      <c r="D2795" t="inlineStr">
        <is>
          <t>simon.valencia91@yahoo.com</t>
        </is>
      </c>
      <c r="E2795" t="inlineStr">
        <is>
          <t>Bello</t>
        </is>
      </c>
      <c r="F2795" t="inlineStr">
        <is>
          <t>PRY-006</t>
        </is>
      </c>
      <c r="G2795" t="inlineStr">
        <is>
          <t>Portal Web</t>
        </is>
      </c>
      <c r="H2795" t="inlineStr">
        <is>
          <t>Ana Quintero</t>
        </is>
      </c>
      <c r="I2795" t="inlineStr">
        <is>
          <t>Perdido</t>
        </is>
      </c>
      <c r="J2795" s="28" t="n">
        <v>46128</v>
      </c>
      <c r="K2795" s="28" t="n">
        <v>46148</v>
      </c>
      <c r="L2795" t="inlineStr">
        <is>
          <t>No calificó para crédito</t>
        </is>
      </c>
    </row>
    <row r="2796">
      <c r="A2796" t="inlineStr">
        <is>
          <t>CLI-2794</t>
        </is>
      </c>
      <c r="B2796" t="inlineStr">
        <is>
          <t>Cristian Peláez Álvarez</t>
        </is>
      </c>
      <c r="C2796" t="inlineStr">
        <is>
          <t>3171176050</t>
        </is>
      </c>
      <c r="D2796" t="inlineStr">
        <is>
          <t>cristian.pelaez3@gmail.com</t>
        </is>
      </c>
      <c r="E2796" t="inlineStr">
        <is>
          <t>La Estrella</t>
        </is>
      </c>
      <c r="F2796" t="inlineStr">
        <is>
          <t>PRY-001</t>
        </is>
      </c>
      <c r="G2796" t="inlineStr">
        <is>
          <t>Llamada directa</t>
        </is>
      </c>
      <c r="H2796" t="inlineStr">
        <is>
          <t>Luis Bedoya</t>
        </is>
      </c>
      <c r="I2796" t="inlineStr">
        <is>
          <t>Perdido</t>
        </is>
      </c>
      <c r="J2796" s="28" t="n">
        <v>46128</v>
      </c>
      <c r="K2796" s="28" t="n">
        <v>46158</v>
      </c>
      <c r="L2796" t="inlineStr">
        <is>
          <t>Sin respuesta tras 3 contactos</t>
        </is>
      </c>
    </row>
    <row r="2797">
      <c r="A2797" t="inlineStr">
        <is>
          <t>CLI-2795</t>
        </is>
      </c>
      <c r="B2797" t="inlineStr">
        <is>
          <t>Esteban Muñoz Cardona</t>
        </is>
      </c>
      <c r="C2797" t="inlineStr">
        <is>
          <t>3104734842</t>
        </is>
      </c>
      <c r="D2797" t="inlineStr">
        <is>
          <t>esteban.munoz47@gmail.com</t>
        </is>
      </c>
      <c r="E2797" t="inlineStr">
        <is>
          <t>Envigado</t>
        </is>
      </c>
      <c r="F2797" t="inlineStr">
        <is>
          <t>PRY-007</t>
        </is>
      </c>
      <c r="G2797" t="inlineStr">
        <is>
          <t>Portal Web</t>
        </is>
      </c>
      <c r="H2797" t="inlineStr">
        <is>
          <t>Andrés Torres</t>
        </is>
      </c>
      <c r="I2797" t="inlineStr">
        <is>
          <t>Negociación</t>
        </is>
      </c>
      <c r="J2797" s="28" t="n">
        <v>46129</v>
      </c>
      <c r="K2797" s="28" t="n">
        <v>46217</v>
      </c>
      <c r="L2797" t="inlineStr">
        <is>
          <t>Requiere aprobación de crédito</t>
        </is>
      </c>
    </row>
    <row r="2798">
      <c r="A2798" t="inlineStr">
        <is>
          <t>CLI-2796</t>
        </is>
      </c>
      <c r="B2798" t="inlineStr">
        <is>
          <t>Diego Rojas Mejía</t>
        </is>
      </c>
      <c r="C2798" t="inlineStr">
        <is>
          <t>3202715247</t>
        </is>
      </c>
      <c r="D2798" t="inlineStr">
        <is>
          <t>diego.rojas24@hotmail.com</t>
        </is>
      </c>
      <c r="E2798" t="inlineStr">
        <is>
          <t>Sabaneta</t>
        </is>
      </c>
      <c r="F2798" t="inlineStr">
        <is>
          <t>PRY-001</t>
        </is>
      </c>
      <c r="G2798" t="inlineStr">
        <is>
          <t>Llamada directa</t>
        </is>
      </c>
      <c r="H2798" t="inlineStr">
        <is>
          <t>Juliana Vélez</t>
        </is>
      </c>
      <c r="I2798" t="inlineStr">
        <is>
          <t>Visita agendada</t>
        </is>
      </c>
      <c r="J2798" s="28" t="n">
        <v>46129</v>
      </c>
      <c r="K2798" s="28" t="n">
        <v>46216</v>
      </c>
      <c r="L2798" t="inlineStr">
        <is>
          <t>Visitó el apartamento modelo</t>
        </is>
      </c>
    </row>
    <row r="2799">
      <c r="A2799" t="inlineStr">
        <is>
          <t>CLI-2797</t>
        </is>
      </c>
      <c r="B2799" t="inlineStr">
        <is>
          <t>Fernando Bedoya Quintero</t>
        </is>
      </c>
      <c r="C2799" t="inlineStr">
        <is>
          <t>3202139762</t>
        </is>
      </c>
      <c r="D2799" t="inlineStr">
        <is>
          <t>fernando.bedoya28@gmail.com</t>
        </is>
      </c>
      <c r="E2799" t="inlineStr">
        <is>
          <t>Medellín</t>
        </is>
      </c>
      <c r="F2799" t="inlineStr">
        <is>
          <t>PRY-003</t>
        </is>
      </c>
      <c r="G2799" t="inlineStr">
        <is>
          <t>Facebook</t>
        </is>
      </c>
      <c r="H2799" t="inlineStr">
        <is>
          <t>Sofía Prada</t>
        </is>
      </c>
      <c r="I2799" t="inlineStr">
        <is>
          <t>Visita agendada</t>
        </is>
      </c>
      <c r="J2799" s="28" t="n">
        <v>46129</v>
      </c>
      <c r="K2799" s="28" t="n">
        <v>46215</v>
      </c>
      <c r="L2799" t="inlineStr">
        <is>
          <t>Visita a sala de ventas agendada</t>
        </is>
      </c>
    </row>
    <row r="2800">
      <c r="A2800" t="inlineStr">
        <is>
          <t>CLI-2798</t>
        </is>
      </c>
      <c r="B2800" t="inlineStr">
        <is>
          <t>Manuela Quintero Vásquez</t>
        </is>
      </c>
      <c r="C2800" t="inlineStr">
        <is>
          <t>3249690241</t>
        </is>
      </c>
      <c r="D2800" t="inlineStr">
        <is>
          <t>manuela.quintero30@hotmail.com</t>
        </is>
      </c>
      <c r="E2800" t="inlineStr">
        <is>
          <t>Sabaneta</t>
        </is>
      </c>
      <c r="F2800" t="inlineStr">
        <is>
          <t>PRY-005</t>
        </is>
      </c>
      <c r="G2800" t="inlineStr">
        <is>
          <t>Llamada directa</t>
        </is>
      </c>
      <c r="H2800" t="inlineStr">
        <is>
          <t>Miguel Salazar</t>
        </is>
      </c>
      <c r="I2800" t="inlineStr">
        <is>
          <t>Perdido</t>
        </is>
      </c>
      <c r="J2800" s="28" t="n">
        <v>46129</v>
      </c>
      <c r="K2800" s="28" t="n">
        <v>46148</v>
      </c>
      <c r="L2800" t="inlineStr">
        <is>
          <t>Datos de contacto errados</t>
        </is>
      </c>
    </row>
    <row r="2801">
      <c r="A2801" t="inlineStr">
        <is>
          <t>CLI-2799</t>
        </is>
      </c>
      <c r="B2801" t="inlineStr">
        <is>
          <t>Felipe Jaramillo Toro</t>
        </is>
      </c>
      <c r="C2801" t="inlineStr">
        <is>
          <t>3147873786</t>
        </is>
      </c>
      <c r="D2801" t="inlineStr">
        <is>
          <t>felipe.jaramillo72@yahoo.com</t>
        </is>
      </c>
      <c r="E2801" t="inlineStr">
        <is>
          <t>Medellín</t>
        </is>
      </c>
      <c r="F2801" t="inlineStr">
        <is>
          <t>PRY-003</t>
        </is>
      </c>
      <c r="G2801" t="inlineStr">
        <is>
          <t>Portal Web</t>
        </is>
      </c>
      <c r="H2801" t="inlineStr">
        <is>
          <t>Sofía Prada</t>
        </is>
      </c>
      <c r="I2801" t="inlineStr">
        <is>
          <t>Perdido</t>
        </is>
      </c>
      <c r="J2801" s="28" t="n">
        <v>46129</v>
      </c>
      <c r="K2801" s="28" t="n">
        <v>46140</v>
      </c>
      <c r="L2801" t="inlineStr">
        <is>
          <t>No calificó para crédito</t>
        </is>
      </c>
    </row>
    <row r="2802">
      <c r="A2802" t="inlineStr">
        <is>
          <t>CLI-2800</t>
        </is>
      </c>
      <c r="B2802" t="inlineStr">
        <is>
          <t>Jorge Correa Valencia</t>
        </is>
      </c>
      <c r="C2802" t="inlineStr">
        <is>
          <t>3001409931</t>
        </is>
      </c>
      <c r="D2802" t="inlineStr">
        <is>
          <t>jorge.correa97@hotmail.com</t>
        </is>
      </c>
      <c r="E2802" t="inlineStr">
        <is>
          <t>Rionegro</t>
        </is>
      </c>
      <c r="F2802" t="inlineStr">
        <is>
          <t>PRY-005</t>
        </is>
      </c>
      <c r="G2802" t="inlineStr">
        <is>
          <t>Portal Web</t>
        </is>
      </c>
      <c r="H2802" t="inlineStr">
        <is>
          <t>Sofía Prada</t>
        </is>
      </c>
      <c r="I2802" t="inlineStr">
        <is>
          <t>Propuesta enviada</t>
        </is>
      </c>
      <c r="J2802" s="28" t="n">
        <v>46130</v>
      </c>
      <c r="K2802" s="28" t="n">
        <v>46210</v>
      </c>
      <c r="L2802" t="inlineStr">
        <is>
          <t>Cotización enviada</t>
        </is>
      </c>
    </row>
    <row r="2803">
      <c r="A2803" t="inlineStr">
        <is>
          <t>CLI-2801</t>
        </is>
      </c>
      <c r="B2803" t="inlineStr">
        <is>
          <t>Katherine Salazar Osorio</t>
        </is>
      </c>
      <c r="C2803" t="inlineStr">
        <is>
          <t>3102881378</t>
        </is>
      </c>
      <c r="D2803" t="inlineStr">
        <is>
          <t>katherine.salazar10@yahoo.com</t>
        </is>
      </c>
      <c r="E2803" t="inlineStr">
        <is>
          <t>Envigado</t>
        </is>
      </c>
      <c r="F2803" t="inlineStr">
        <is>
          <t>PRY-007</t>
        </is>
      </c>
      <c r="G2803" t="inlineStr">
        <is>
          <t>Referido</t>
        </is>
      </c>
      <c r="H2803" t="inlineStr">
        <is>
          <t>Paula Arenas</t>
        </is>
      </c>
      <c r="I2803" t="inlineStr">
        <is>
          <t>Ganado</t>
        </is>
      </c>
      <c r="J2803" s="28" t="n">
        <v>46130</v>
      </c>
      <c r="K2803" s="28" t="n">
        <v>46213</v>
      </c>
      <c r="L2803" t="inlineStr">
        <is>
          <t>Compró Apto 503 en Mirador de Envigado</t>
        </is>
      </c>
    </row>
    <row r="2804">
      <c r="A2804" t="inlineStr">
        <is>
          <t>CLI-2802</t>
        </is>
      </c>
      <c r="B2804" t="inlineStr">
        <is>
          <t>Carlos Cifuentes Giraldo</t>
        </is>
      </c>
      <c r="C2804" t="inlineStr">
        <is>
          <t>3012632951</t>
        </is>
      </c>
      <c r="D2804" t="inlineStr">
        <is>
          <t>carlos.cifuentes3@outlook.com</t>
        </is>
      </c>
      <c r="E2804" t="inlineStr">
        <is>
          <t>Bello</t>
        </is>
      </c>
      <c r="F2804" t="inlineStr">
        <is>
          <t>PRY-007</t>
        </is>
      </c>
      <c r="G2804" t="inlineStr">
        <is>
          <t>Feria Inmobiliaria</t>
        </is>
      </c>
      <c r="H2804" t="inlineStr">
        <is>
          <t>Santiago Muñoz</t>
        </is>
      </c>
      <c r="I2804" t="inlineStr">
        <is>
          <t>Perdido</t>
        </is>
      </c>
      <c r="J2804" s="28" t="n">
        <v>46130</v>
      </c>
      <c r="K2804" s="28" t="n">
        <v>46145</v>
      </c>
      <c r="L2804" t="inlineStr">
        <is>
          <t>Buscaba arriendo, no compra</t>
        </is>
      </c>
    </row>
    <row r="2805">
      <c r="A2805" t="inlineStr">
        <is>
          <t>CLI-2803</t>
        </is>
      </c>
      <c r="B2805" t="inlineStr">
        <is>
          <t>Liliana López Higuita</t>
        </is>
      </c>
      <c r="C2805" t="inlineStr">
        <is>
          <t>3147040696</t>
        </is>
      </c>
      <c r="D2805" t="inlineStr">
        <is>
          <t>liliana.lopez31@yahoo.com</t>
        </is>
      </c>
      <c r="E2805" t="inlineStr">
        <is>
          <t>Envigado</t>
        </is>
      </c>
      <c r="F2805" t="inlineStr">
        <is>
          <t>PRY-005</t>
        </is>
      </c>
      <c r="G2805" t="inlineStr">
        <is>
          <t>Instagram</t>
        </is>
      </c>
      <c r="H2805" t="inlineStr">
        <is>
          <t>Andrés Torres</t>
        </is>
      </c>
      <c r="I2805" t="inlineStr">
        <is>
          <t>Perdido</t>
        </is>
      </c>
      <c r="J2805" s="28" t="n">
        <v>46130</v>
      </c>
      <c r="K2805" s="28" t="n">
        <v>46141</v>
      </c>
      <c r="L2805" t="inlineStr">
        <is>
          <t>Presupuesto insuficiente</t>
        </is>
      </c>
    </row>
    <row r="2806">
      <c r="A2806" t="inlineStr">
        <is>
          <t>CLI-2804</t>
        </is>
      </c>
      <c r="B2806" t="inlineStr">
        <is>
          <t>Ricardo Cano Vásquez</t>
        </is>
      </c>
      <c r="C2806" t="inlineStr">
        <is>
          <t>3041503374</t>
        </is>
      </c>
      <c r="D2806" t="inlineStr">
        <is>
          <t>ricardo.cano54@gmail.com</t>
        </is>
      </c>
      <c r="E2806" t="inlineStr">
        <is>
          <t>Medellín</t>
        </is>
      </c>
      <c r="F2806" t="inlineStr">
        <is>
          <t>PRY-003</t>
        </is>
      </c>
      <c r="G2806" t="inlineStr">
        <is>
          <t>Referido</t>
        </is>
      </c>
      <c r="H2806" t="inlineStr">
        <is>
          <t>Ana Quintero</t>
        </is>
      </c>
      <c r="I2806" t="inlineStr">
        <is>
          <t>En contacto</t>
        </is>
      </c>
      <c r="J2806" s="28" t="n">
        <v>46131</v>
      </c>
      <c r="K2806" s="28" t="n">
        <v>46213</v>
      </c>
      <c r="L2806" t="inlineStr">
        <is>
          <t>Primera llamada realizada</t>
        </is>
      </c>
    </row>
    <row r="2807">
      <c r="A2807" t="inlineStr">
        <is>
          <t>CLI-2805</t>
        </is>
      </c>
      <c r="B2807" t="inlineStr">
        <is>
          <t>Iván Ochoa Palacio</t>
        </is>
      </c>
      <c r="C2807" t="inlineStr">
        <is>
          <t>3156921117</t>
        </is>
      </c>
      <c r="D2807" t="inlineStr">
        <is>
          <t>ivan.ochoa5@gmail.com</t>
        </is>
      </c>
      <c r="E2807" t="inlineStr">
        <is>
          <t>Bello</t>
        </is>
      </c>
      <c r="F2807" t="inlineStr">
        <is>
          <t>PRY-006</t>
        </is>
      </c>
      <c r="G2807" t="inlineStr">
        <is>
          <t>Llamada directa</t>
        </is>
      </c>
      <c r="H2807" t="inlineStr">
        <is>
          <t>Luis Bedoya</t>
        </is>
      </c>
      <c r="I2807" t="inlineStr">
        <is>
          <t>Visita agendada</t>
        </is>
      </c>
      <c r="J2807" s="28" t="n">
        <v>46132</v>
      </c>
      <c r="K2807" s="28" t="n">
        <v>46211</v>
      </c>
      <c r="L2807" t="inlineStr">
        <is>
          <t>Visitó el apartamento modelo</t>
        </is>
      </c>
    </row>
    <row r="2808">
      <c r="A2808" t="inlineStr">
        <is>
          <t>CLI-2806</t>
        </is>
      </c>
      <c r="B2808" t="inlineStr">
        <is>
          <t>Fernando Montoya Franco</t>
        </is>
      </c>
      <c r="C2808" t="inlineStr">
        <is>
          <t>3138272802</t>
        </is>
      </c>
      <c r="D2808" t="inlineStr">
        <is>
          <t>fernando.montoya23@hotmail.com</t>
        </is>
      </c>
      <c r="E2808" t="inlineStr">
        <is>
          <t>La Estrella</t>
        </is>
      </c>
      <c r="F2808" t="inlineStr">
        <is>
          <t>PRY-005</t>
        </is>
      </c>
      <c r="G2808" t="inlineStr">
        <is>
          <t>Referido</t>
        </is>
      </c>
      <c r="H2808" t="inlineStr">
        <is>
          <t>Daniela Ríos</t>
        </is>
      </c>
      <c r="I2808" t="inlineStr">
        <is>
          <t>Propuesta enviada</t>
        </is>
      </c>
      <c r="J2808" s="28" t="n">
        <v>46132</v>
      </c>
      <c r="K2808" s="28" t="n">
        <v>46216</v>
      </c>
      <c r="L2808" t="inlineStr">
        <is>
          <t>Evaluando plan de pagos</t>
        </is>
      </c>
    </row>
    <row r="2809">
      <c r="A2809" t="inlineStr">
        <is>
          <t>CLI-2807</t>
        </is>
      </c>
      <c r="B2809" t="inlineStr">
        <is>
          <t>Alejandra Giraldo Cifuentes</t>
        </is>
      </c>
      <c r="C2809" t="inlineStr">
        <is>
          <t>3136176640</t>
        </is>
      </c>
      <c r="D2809" t="inlineStr">
        <is>
          <t>alejandra.giraldo52@outlook.com</t>
        </is>
      </c>
      <c r="E2809" t="inlineStr">
        <is>
          <t>Itagüí</t>
        </is>
      </c>
      <c r="F2809" t="inlineStr">
        <is>
          <t>PRY-003</t>
        </is>
      </c>
      <c r="G2809" t="inlineStr">
        <is>
          <t>Portal Web</t>
        </is>
      </c>
      <c r="H2809" t="inlineStr">
        <is>
          <t>Santiago Muñoz</t>
        </is>
      </c>
      <c r="I2809" t="inlineStr">
        <is>
          <t>Ganado</t>
        </is>
      </c>
      <c r="J2809" s="28" t="n">
        <v>46133</v>
      </c>
      <c r="K2809" s="28" t="n">
        <v>46228</v>
      </c>
      <c r="L2809" t="inlineStr">
        <is>
          <t>Compró Apto 706 en Conecta Laureles</t>
        </is>
      </c>
    </row>
    <row r="2810">
      <c r="A2810" t="inlineStr">
        <is>
          <t>CLI-2808</t>
        </is>
      </c>
      <c r="B2810" t="inlineStr">
        <is>
          <t>Natalia Escobar Vásquez</t>
        </is>
      </c>
      <c r="C2810" t="inlineStr">
        <is>
          <t>3232870533</t>
        </is>
      </c>
      <c r="D2810" t="inlineStr">
        <is>
          <t>natalia.escobar54@gmail.com</t>
        </is>
      </c>
      <c r="E2810" t="inlineStr">
        <is>
          <t>Rionegro</t>
        </is>
      </c>
      <c r="F2810" t="inlineStr">
        <is>
          <t>PRY-005</t>
        </is>
      </c>
      <c r="G2810" t="inlineStr">
        <is>
          <t>Instagram</t>
        </is>
      </c>
      <c r="H2810" t="inlineStr">
        <is>
          <t>Miguel Salazar</t>
        </is>
      </c>
      <c r="I2810" t="inlineStr">
        <is>
          <t>Visita agendada</t>
        </is>
      </c>
      <c r="J2810" s="28" t="n">
        <v>46133</v>
      </c>
      <c r="K2810" s="28" t="n">
        <v>46212</v>
      </c>
      <c r="L2810" t="inlineStr">
        <is>
          <t>Visitó el apartamento modelo</t>
        </is>
      </c>
    </row>
    <row r="2811">
      <c r="A2811" t="inlineStr">
        <is>
          <t>CLI-2809</t>
        </is>
      </c>
      <c r="B2811" t="inlineStr">
        <is>
          <t>Cristian Vargas Jaramillo</t>
        </is>
      </c>
      <c r="C2811" t="inlineStr">
        <is>
          <t>3135114971</t>
        </is>
      </c>
      <c r="D2811" t="inlineStr">
        <is>
          <t>cristian.vargas95@yahoo.com</t>
        </is>
      </c>
      <c r="E2811" t="inlineStr">
        <is>
          <t>Itagüí</t>
        </is>
      </c>
      <c r="F2811" t="inlineStr">
        <is>
          <t>PRY-008</t>
        </is>
      </c>
      <c r="G2811" t="inlineStr">
        <is>
          <t>Feria Inmobiliaria</t>
        </is>
      </c>
      <c r="H2811" t="inlineStr">
        <is>
          <t>Sofía Prada</t>
        </is>
      </c>
      <c r="I2811" t="inlineStr">
        <is>
          <t>Perdido</t>
        </is>
      </c>
      <c r="J2811" s="28" t="n">
        <v>46133</v>
      </c>
      <c r="K2811" s="28" t="n">
        <v>46167</v>
      </c>
      <c r="L2811" t="inlineStr">
        <is>
          <t>Crédito no aprobado</t>
        </is>
      </c>
    </row>
    <row r="2812">
      <c r="A2812" t="inlineStr">
        <is>
          <t>CLI-2810</t>
        </is>
      </c>
      <c r="B2812" t="inlineStr">
        <is>
          <t>Óscar Escobar Espinosa</t>
        </is>
      </c>
      <c r="C2812" t="inlineStr">
        <is>
          <t>3159795755</t>
        </is>
      </c>
      <c r="D2812" t="inlineStr">
        <is>
          <t>oscar.escobar77@yahoo.com</t>
        </is>
      </c>
      <c r="E2812" t="inlineStr">
        <is>
          <t>Rionegro</t>
        </is>
      </c>
      <c r="F2812" t="inlineStr">
        <is>
          <t>PRY-001</t>
        </is>
      </c>
      <c r="G2812" t="inlineStr">
        <is>
          <t>Referido</t>
        </is>
      </c>
      <c r="H2812" t="inlineStr">
        <is>
          <t>Ana Quintero</t>
        </is>
      </c>
      <c r="I2812" t="inlineStr">
        <is>
          <t>Perdido</t>
        </is>
      </c>
      <c r="J2812" s="28" t="n">
        <v>46133</v>
      </c>
      <c r="K2812" s="28" t="n">
        <v>46161</v>
      </c>
      <c r="L2812" t="inlineStr">
        <is>
          <t>Presupuesto insuficiente</t>
        </is>
      </c>
    </row>
    <row r="2813">
      <c r="A2813" t="inlineStr">
        <is>
          <t>CLI-2811</t>
        </is>
      </c>
      <c r="B2813" t="inlineStr">
        <is>
          <t>Paula Vargas Rojas</t>
        </is>
      </c>
      <c r="C2813" t="inlineStr">
        <is>
          <t>3153150903</t>
        </is>
      </c>
      <c r="D2813" t="inlineStr">
        <is>
          <t>paula.vargas45@hotmail.com</t>
        </is>
      </c>
      <c r="E2813" t="inlineStr">
        <is>
          <t>Envigado</t>
        </is>
      </c>
      <c r="F2813" t="inlineStr">
        <is>
          <t>PRY-007</t>
        </is>
      </c>
      <c r="G2813" t="inlineStr">
        <is>
          <t>Instagram</t>
        </is>
      </c>
      <c r="H2813" t="inlineStr">
        <is>
          <t>Paula Arenas</t>
        </is>
      </c>
      <c r="I2813" t="inlineStr">
        <is>
          <t>Perdido</t>
        </is>
      </c>
      <c r="J2813" s="28" t="n">
        <v>46133</v>
      </c>
      <c r="K2813" s="28" t="n">
        <v>46153</v>
      </c>
      <c r="L2813" t="inlineStr">
        <is>
          <t>Presupuesto insuficiente</t>
        </is>
      </c>
    </row>
    <row r="2814">
      <c r="A2814" t="inlineStr">
        <is>
          <t>CLI-2812</t>
        </is>
      </c>
      <c r="B2814" t="inlineStr">
        <is>
          <t>Katherine Zuluaga Escobar</t>
        </is>
      </c>
      <c r="C2814" t="inlineStr">
        <is>
          <t>3132602004</t>
        </is>
      </c>
      <c r="D2814" t="inlineStr">
        <is>
          <t>katherine.zuluaga64@yahoo.com</t>
        </is>
      </c>
      <c r="E2814" t="inlineStr">
        <is>
          <t>Itagüí</t>
        </is>
      </c>
      <c r="F2814" t="inlineStr">
        <is>
          <t>PRY-008</t>
        </is>
      </c>
      <c r="G2814" t="inlineStr">
        <is>
          <t>Facebook</t>
        </is>
      </c>
      <c r="H2814" t="inlineStr">
        <is>
          <t>Sofía Prada</t>
        </is>
      </c>
      <c r="I2814" t="inlineStr">
        <is>
          <t>Perdido</t>
        </is>
      </c>
      <c r="J2814" s="28" t="n">
        <v>46133</v>
      </c>
      <c r="K2814" s="28" t="n">
        <v>46148</v>
      </c>
      <c r="L2814" t="inlineStr">
        <is>
          <t>No calificó para crédito</t>
        </is>
      </c>
    </row>
    <row r="2815">
      <c r="A2815" t="inlineStr">
        <is>
          <t>CLI-2813</t>
        </is>
      </c>
      <c r="B2815" t="inlineStr">
        <is>
          <t>Cristian Ríos Rojas</t>
        </is>
      </c>
      <c r="C2815" t="inlineStr">
        <is>
          <t>3143144479</t>
        </is>
      </c>
      <c r="D2815" t="inlineStr">
        <is>
          <t>cristian.rios28@yahoo.com</t>
        </is>
      </c>
      <c r="E2815" t="inlineStr">
        <is>
          <t>Envigado</t>
        </is>
      </c>
      <c r="F2815" t="inlineStr">
        <is>
          <t>PRY-007</t>
        </is>
      </c>
      <c r="G2815" t="inlineStr">
        <is>
          <t>Instagram</t>
        </is>
      </c>
      <c r="H2815" t="inlineStr">
        <is>
          <t>Santiago Muñoz</t>
        </is>
      </c>
      <c r="I2815" t="inlineStr">
        <is>
          <t>Ganado</t>
        </is>
      </c>
      <c r="J2815" s="28" t="n">
        <v>46134</v>
      </c>
      <c r="K2815" s="28" t="n">
        <v>46231</v>
      </c>
      <c r="L2815" t="inlineStr">
        <is>
          <t>Compró Apto 502 en Mirador de Envigado</t>
        </is>
      </c>
    </row>
    <row r="2816">
      <c r="A2816" t="inlineStr">
        <is>
          <t>CLI-2814</t>
        </is>
      </c>
      <c r="B2816" t="inlineStr">
        <is>
          <t>Verónica Vásquez Agudelo</t>
        </is>
      </c>
      <c r="C2816" t="inlineStr">
        <is>
          <t>3241125835</t>
        </is>
      </c>
      <c r="D2816" t="inlineStr">
        <is>
          <t>veronica.vasquez58@hotmail.com</t>
        </is>
      </c>
      <c r="E2816" t="inlineStr">
        <is>
          <t>Rionegro</t>
        </is>
      </c>
      <c r="F2816" t="inlineStr">
        <is>
          <t>PRY-005</t>
        </is>
      </c>
      <c r="G2816" t="inlineStr">
        <is>
          <t>Portal Web</t>
        </is>
      </c>
      <c r="H2816" t="inlineStr">
        <is>
          <t>Andrés Torres</t>
        </is>
      </c>
      <c r="I2816" t="inlineStr">
        <is>
          <t>En contacto</t>
        </is>
      </c>
      <c r="J2816" s="28" t="n">
        <v>46134</v>
      </c>
      <c r="K2816" s="28" t="n">
        <v>46215</v>
      </c>
      <c r="L2816" t="inlineStr">
        <is>
          <t>Interesado, pidió plano de la unidad</t>
        </is>
      </c>
    </row>
    <row r="2817">
      <c r="A2817" t="inlineStr">
        <is>
          <t>CLI-2815</t>
        </is>
      </c>
      <c r="B2817" t="inlineStr">
        <is>
          <t>Daniel Rojas Mejía</t>
        </is>
      </c>
      <c r="C2817" t="inlineStr">
        <is>
          <t>3141618038</t>
        </is>
      </c>
      <c r="D2817" t="inlineStr">
        <is>
          <t>daniel.rojas4@hotmail.com</t>
        </is>
      </c>
      <c r="E2817" t="inlineStr">
        <is>
          <t>Sabaneta</t>
        </is>
      </c>
      <c r="F2817" t="inlineStr">
        <is>
          <t>PRY-006</t>
        </is>
      </c>
      <c r="G2817" t="inlineStr">
        <is>
          <t>Facebook</t>
        </is>
      </c>
      <c r="H2817" t="inlineStr">
        <is>
          <t>Miguel Salazar</t>
        </is>
      </c>
      <c r="I2817" t="inlineStr">
        <is>
          <t>Negociación</t>
        </is>
      </c>
      <c r="J2817" s="28" t="n">
        <v>46135</v>
      </c>
      <c r="K2817" s="28" t="n">
        <v>46204</v>
      </c>
      <c r="L2817" t="inlineStr">
        <is>
          <t>Separación en trámite</t>
        </is>
      </c>
    </row>
    <row r="2818">
      <c r="A2818" t="inlineStr">
        <is>
          <t>CLI-2816</t>
        </is>
      </c>
      <c r="B2818" t="inlineStr">
        <is>
          <t>Hernán Hernández Palacio</t>
        </is>
      </c>
      <c r="C2818" t="inlineStr">
        <is>
          <t>3007158496</t>
        </is>
      </c>
      <c r="D2818" t="inlineStr">
        <is>
          <t>hernan.hernandez99@outlook.com</t>
        </is>
      </c>
      <c r="E2818" t="inlineStr">
        <is>
          <t>Bello</t>
        </is>
      </c>
      <c r="F2818" t="inlineStr">
        <is>
          <t>PRY-006</t>
        </is>
      </c>
      <c r="G2818" t="inlineStr">
        <is>
          <t>Portal Web</t>
        </is>
      </c>
      <c r="H2818" t="inlineStr">
        <is>
          <t>Miguel Salazar</t>
        </is>
      </c>
      <c r="I2818" t="inlineStr">
        <is>
          <t>Propuesta enviada</t>
        </is>
      </c>
      <c r="J2818" s="28" t="n">
        <v>46135</v>
      </c>
      <c r="K2818" s="28" t="n">
        <v>46206</v>
      </c>
      <c r="L2818" t="inlineStr">
        <is>
          <t>Cotización enviada</t>
        </is>
      </c>
    </row>
    <row r="2819">
      <c r="A2819" t="inlineStr">
        <is>
          <t>CLI-2817</t>
        </is>
      </c>
      <c r="B2819" t="inlineStr">
        <is>
          <t>Juan Pablo Escobar Ochoa</t>
        </is>
      </c>
      <c r="C2819" t="inlineStr">
        <is>
          <t>3221893726</t>
        </is>
      </c>
      <c r="D2819" t="inlineStr">
        <is>
          <t>juan.escobar36@outlook.com</t>
        </is>
      </c>
      <c r="E2819" t="inlineStr">
        <is>
          <t>Envigado</t>
        </is>
      </c>
      <c r="F2819" t="inlineStr">
        <is>
          <t>PRY-007</t>
        </is>
      </c>
      <c r="G2819" t="inlineStr">
        <is>
          <t>Portal Web</t>
        </is>
      </c>
      <c r="H2819" t="inlineStr">
        <is>
          <t>Juliana Vélez</t>
        </is>
      </c>
      <c r="I2819" t="inlineStr">
        <is>
          <t>En contacto</t>
        </is>
      </c>
      <c r="J2819" s="28" t="n">
        <v>46135</v>
      </c>
      <c r="K2819" s="28" t="n">
        <v>46209</v>
      </c>
      <c r="L2819" t="inlineStr">
        <is>
          <t>Interesado, pidió plano de la unidad</t>
        </is>
      </c>
    </row>
    <row r="2820">
      <c r="A2820" t="inlineStr">
        <is>
          <t>CLI-2818</t>
        </is>
      </c>
      <c r="B2820" t="inlineStr">
        <is>
          <t>Wilson Vásquez Agudelo</t>
        </is>
      </c>
      <c r="C2820" t="inlineStr">
        <is>
          <t>3043316262</t>
        </is>
      </c>
      <c r="D2820" t="inlineStr">
        <is>
          <t>wilson.vasquez44@outlook.com</t>
        </is>
      </c>
      <c r="E2820" t="inlineStr">
        <is>
          <t>Medellín</t>
        </is>
      </c>
      <c r="F2820" t="inlineStr">
        <is>
          <t>PRY-007</t>
        </is>
      </c>
      <c r="G2820" t="inlineStr">
        <is>
          <t>Facebook</t>
        </is>
      </c>
      <c r="H2820" t="inlineStr">
        <is>
          <t>Andrés Torres</t>
        </is>
      </c>
      <c r="I2820" t="inlineStr">
        <is>
          <t>En contacto</t>
        </is>
      </c>
      <c r="J2820" s="28" t="n">
        <v>46135</v>
      </c>
      <c r="K2820" s="28" t="n">
        <v>46211</v>
      </c>
      <c r="L2820" t="inlineStr">
        <is>
          <t>Primera llamada realizada</t>
        </is>
      </c>
    </row>
    <row r="2821">
      <c r="A2821" t="inlineStr">
        <is>
          <t>CLI-2819</t>
        </is>
      </c>
      <c r="B2821" t="inlineStr">
        <is>
          <t>Valeria Agudelo Gaviria</t>
        </is>
      </c>
      <c r="C2821" t="inlineStr">
        <is>
          <t>3013698909</t>
        </is>
      </c>
      <c r="D2821" t="inlineStr">
        <is>
          <t>valeria.agudelo78@yahoo.com</t>
        </is>
      </c>
      <c r="E2821" t="inlineStr">
        <is>
          <t>Envigado</t>
        </is>
      </c>
      <c r="F2821" t="inlineStr">
        <is>
          <t>PRY-007</t>
        </is>
      </c>
      <c r="G2821" t="inlineStr">
        <is>
          <t>Portal Web</t>
        </is>
      </c>
      <c r="H2821" t="inlineStr">
        <is>
          <t>Paula Arenas</t>
        </is>
      </c>
      <c r="I2821" t="inlineStr">
        <is>
          <t>Perdido</t>
        </is>
      </c>
      <c r="J2821" s="28" t="n">
        <v>46135</v>
      </c>
      <c r="K2821" s="28" t="n">
        <v>46148</v>
      </c>
      <c r="L2821" t="inlineStr">
        <is>
          <t>Presupuesto insuficiente</t>
        </is>
      </c>
    </row>
    <row r="2822">
      <c r="A2822" t="inlineStr">
        <is>
          <t>CLI-2820</t>
        </is>
      </c>
      <c r="B2822" t="inlineStr">
        <is>
          <t>Lorena Vargas Correa</t>
        </is>
      </c>
      <c r="C2822" t="inlineStr">
        <is>
          <t>3131928479</t>
        </is>
      </c>
      <c r="D2822" t="inlineStr">
        <is>
          <t>lorena.vargas90@hotmail.com</t>
        </is>
      </c>
      <c r="E2822" t="inlineStr">
        <is>
          <t>Medellín</t>
        </is>
      </c>
      <c r="F2822" t="inlineStr">
        <is>
          <t>PRY-003</t>
        </is>
      </c>
      <c r="G2822" t="inlineStr">
        <is>
          <t>Portal Web</t>
        </is>
      </c>
      <c r="H2822" t="inlineStr">
        <is>
          <t>Sofía Prada</t>
        </is>
      </c>
      <c r="I2822" t="inlineStr">
        <is>
          <t>Perdido</t>
        </is>
      </c>
      <c r="J2822" s="28" t="n">
        <v>46135</v>
      </c>
      <c r="K2822" s="28" t="n">
        <v>46153</v>
      </c>
      <c r="L2822" t="inlineStr">
        <is>
          <t>No calificó para crédito</t>
        </is>
      </c>
    </row>
    <row r="2823">
      <c r="A2823" t="inlineStr">
        <is>
          <t>CLI-2821</t>
        </is>
      </c>
      <c r="B2823" t="inlineStr">
        <is>
          <t>Wilson Cardona Jaramillo</t>
        </is>
      </c>
      <c r="C2823" t="inlineStr">
        <is>
          <t>3242304906</t>
        </is>
      </c>
      <c r="D2823" t="inlineStr">
        <is>
          <t>wilson.cardona32@outlook.com</t>
        </is>
      </c>
      <c r="E2823" t="inlineStr">
        <is>
          <t>Medellín</t>
        </is>
      </c>
      <c r="F2823" t="inlineStr">
        <is>
          <t>PRY-001</t>
        </is>
      </c>
      <c r="G2823" t="inlineStr">
        <is>
          <t>Instagram</t>
        </is>
      </c>
      <c r="H2823" t="inlineStr">
        <is>
          <t>Daniela Ríos</t>
        </is>
      </c>
      <c r="I2823" t="inlineStr">
        <is>
          <t>Negociación</t>
        </is>
      </c>
      <c r="J2823" s="28" t="n">
        <v>46136</v>
      </c>
      <c r="K2823" s="28" t="n">
        <v>46212</v>
      </c>
      <c r="L2823" t="inlineStr">
        <is>
          <t>Requiere aprobación de crédito</t>
        </is>
      </c>
    </row>
    <row r="2824">
      <c r="A2824" t="inlineStr">
        <is>
          <t>CLI-2822</t>
        </is>
      </c>
      <c r="B2824" t="inlineStr">
        <is>
          <t>Laura Uribe Vélez</t>
        </is>
      </c>
      <c r="C2824" t="inlineStr">
        <is>
          <t>3008162049</t>
        </is>
      </c>
      <c r="D2824" t="inlineStr">
        <is>
          <t>laura.uribe73@outlook.com</t>
        </is>
      </c>
      <c r="E2824" t="inlineStr">
        <is>
          <t>Bello</t>
        </is>
      </c>
      <c r="F2824" t="inlineStr">
        <is>
          <t>PRY-008</t>
        </is>
      </c>
      <c r="G2824" t="inlineStr">
        <is>
          <t>Instagram</t>
        </is>
      </c>
      <c r="H2824" t="inlineStr">
        <is>
          <t>Santiago Muñoz</t>
        </is>
      </c>
      <c r="I2824" t="inlineStr">
        <is>
          <t>Perdido</t>
        </is>
      </c>
      <c r="J2824" s="28" t="n">
        <v>46136</v>
      </c>
      <c r="K2824" s="28" t="n">
        <v>46159</v>
      </c>
      <c r="L2824" t="inlineStr">
        <is>
          <t>Presupuesto insuficiente</t>
        </is>
      </c>
    </row>
    <row r="2825">
      <c r="A2825" t="inlineStr">
        <is>
          <t>CLI-2823</t>
        </is>
      </c>
      <c r="B2825" t="inlineStr">
        <is>
          <t>Isabel Sánchez Montes</t>
        </is>
      </c>
      <c r="C2825" t="inlineStr">
        <is>
          <t>3006337474</t>
        </is>
      </c>
      <c r="D2825" t="inlineStr">
        <is>
          <t>isabel.sanchez10@yahoo.com</t>
        </is>
      </c>
      <c r="E2825" t="inlineStr">
        <is>
          <t>Medellín</t>
        </is>
      </c>
      <c r="F2825" t="inlineStr">
        <is>
          <t>PRY-003</t>
        </is>
      </c>
      <c r="G2825" t="inlineStr">
        <is>
          <t>Llamada directa</t>
        </is>
      </c>
      <c r="H2825" t="inlineStr">
        <is>
          <t>Paula Arenas</t>
        </is>
      </c>
      <c r="I2825" t="inlineStr">
        <is>
          <t>Ganado</t>
        </is>
      </c>
      <c r="J2825" s="28" t="n">
        <v>46137</v>
      </c>
      <c r="K2825" s="28" t="n">
        <v>46215</v>
      </c>
      <c r="L2825" t="inlineStr">
        <is>
          <t>Compró Apto 2002 en Conecta Laureles</t>
        </is>
      </c>
    </row>
    <row r="2826">
      <c r="A2826" t="inlineStr">
        <is>
          <t>CLI-2824</t>
        </is>
      </c>
      <c r="B2826" t="inlineStr">
        <is>
          <t>Felipe Restrepo Bedoya</t>
        </is>
      </c>
      <c r="C2826" t="inlineStr">
        <is>
          <t>3135494097</t>
        </is>
      </c>
      <c r="D2826" t="inlineStr">
        <is>
          <t>felipe.restrepo37@gmail.com</t>
        </is>
      </c>
      <c r="E2826" t="inlineStr">
        <is>
          <t>Bello</t>
        </is>
      </c>
      <c r="F2826" t="inlineStr">
        <is>
          <t>PRY-006</t>
        </is>
      </c>
      <c r="G2826" t="inlineStr">
        <is>
          <t>Facebook</t>
        </is>
      </c>
      <c r="H2826" t="inlineStr">
        <is>
          <t>Ana Quintero</t>
        </is>
      </c>
      <c r="I2826" t="inlineStr">
        <is>
          <t>Perdido</t>
        </is>
      </c>
      <c r="J2826" s="28" t="n">
        <v>46137</v>
      </c>
      <c r="K2826" s="28" t="n">
        <v>46157</v>
      </c>
      <c r="L2826" t="inlineStr">
        <is>
          <t>Sin respuesta tras 3 contactos</t>
        </is>
      </c>
    </row>
    <row r="2827">
      <c r="A2827" t="inlineStr">
        <is>
          <t>CLI-2825</t>
        </is>
      </c>
      <c r="B2827" t="inlineStr">
        <is>
          <t>Patricia Pérez Gaviria</t>
        </is>
      </c>
      <c r="C2827" t="inlineStr">
        <is>
          <t>3234511125</t>
        </is>
      </c>
      <c r="D2827" t="inlineStr">
        <is>
          <t>patricia.perez54@outlook.com</t>
        </is>
      </c>
      <c r="E2827" t="inlineStr">
        <is>
          <t>Medellín</t>
        </is>
      </c>
      <c r="F2827" t="inlineStr">
        <is>
          <t>PRY-001</t>
        </is>
      </c>
      <c r="G2827" t="inlineStr">
        <is>
          <t>Referido</t>
        </is>
      </c>
      <c r="H2827" t="inlineStr">
        <is>
          <t>Santiago Muñoz</t>
        </is>
      </c>
      <c r="I2827" t="inlineStr">
        <is>
          <t>Negociación</t>
        </is>
      </c>
      <c r="J2827" s="28" t="n">
        <v>46138</v>
      </c>
      <c r="K2827" s="28" t="n">
        <v>46215</v>
      </c>
      <c r="L2827" t="inlineStr">
        <is>
          <t>Requiere aprobación de crédito</t>
        </is>
      </c>
    </row>
    <row r="2828">
      <c r="A2828" t="inlineStr">
        <is>
          <t>CLI-2826</t>
        </is>
      </c>
      <c r="B2828" t="inlineStr">
        <is>
          <t>Mónica Betancur Montoya</t>
        </is>
      </c>
      <c r="C2828" t="inlineStr">
        <is>
          <t>3143755029</t>
        </is>
      </c>
      <c r="D2828" t="inlineStr">
        <is>
          <t>monica.betancur25@hotmail.com</t>
        </is>
      </c>
      <c r="E2828" t="inlineStr">
        <is>
          <t>Medellín</t>
        </is>
      </c>
      <c r="F2828" t="inlineStr">
        <is>
          <t>PRY-003</t>
        </is>
      </c>
      <c r="G2828" t="inlineStr">
        <is>
          <t>Facebook</t>
        </is>
      </c>
      <c r="H2828" t="inlineStr">
        <is>
          <t>Daniela Ríos</t>
        </is>
      </c>
      <c r="I2828" t="inlineStr">
        <is>
          <t>Propuesta enviada</t>
        </is>
      </c>
      <c r="J2828" s="28" t="n">
        <v>46138</v>
      </c>
      <c r="K2828" s="28" t="n">
        <v>46217</v>
      </c>
      <c r="L2828" t="inlineStr">
        <is>
          <t>Evaluando plan de pagos</t>
        </is>
      </c>
    </row>
    <row r="2829">
      <c r="A2829" t="inlineStr">
        <is>
          <t>CLI-2827</t>
        </is>
      </c>
      <c r="B2829" t="inlineStr">
        <is>
          <t>Laura Gaviria Londoño</t>
        </is>
      </c>
      <c r="C2829" t="inlineStr">
        <is>
          <t>3042496352</t>
        </is>
      </c>
      <c r="D2829" t="inlineStr">
        <is>
          <t>laura.gaviria88@outlook.com</t>
        </is>
      </c>
      <c r="E2829" t="inlineStr">
        <is>
          <t>Itagüí</t>
        </is>
      </c>
      <c r="F2829" t="inlineStr">
        <is>
          <t>PRY-003</t>
        </is>
      </c>
      <c r="G2829" t="inlineStr">
        <is>
          <t>Portal Web</t>
        </is>
      </c>
      <c r="H2829" t="inlineStr">
        <is>
          <t>Andrés Torres</t>
        </is>
      </c>
      <c r="I2829" t="inlineStr">
        <is>
          <t>Perdido</t>
        </is>
      </c>
      <c r="J2829" s="28" t="n">
        <v>46138</v>
      </c>
      <c r="K2829" s="28" t="n">
        <v>46175</v>
      </c>
      <c r="L2829" t="inlineStr">
        <is>
          <t>Eligió otro proyecto</t>
        </is>
      </c>
    </row>
    <row r="2830">
      <c r="A2830" t="inlineStr">
        <is>
          <t>CLI-2828</t>
        </is>
      </c>
      <c r="B2830" t="inlineStr">
        <is>
          <t>Paula Ríos Vélez</t>
        </is>
      </c>
      <c r="C2830" t="inlineStr">
        <is>
          <t>3174884321</t>
        </is>
      </c>
      <c r="D2830" t="inlineStr">
        <is>
          <t>paula.rios65@hotmail.com</t>
        </is>
      </c>
      <c r="E2830" t="inlineStr">
        <is>
          <t>Rionegro</t>
        </is>
      </c>
      <c r="F2830" t="inlineStr">
        <is>
          <t>PRY-005</t>
        </is>
      </c>
      <c r="G2830" t="inlineStr">
        <is>
          <t>Instagram</t>
        </is>
      </c>
      <c r="H2830" t="inlineStr">
        <is>
          <t>Sofía Prada</t>
        </is>
      </c>
      <c r="I2830" t="inlineStr">
        <is>
          <t>Negociación</t>
        </is>
      </c>
      <c r="J2830" s="28" t="n">
        <v>46138</v>
      </c>
      <c r="K2830" s="28" t="n">
        <v>46217</v>
      </c>
      <c r="L2830" t="inlineStr">
        <is>
          <t>Negociando descuento por pago de contado</t>
        </is>
      </c>
    </row>
    <row r="2831">
      <c r="A2831" t="inlineStr">
        <is>
          <t>CLI-2829</t>
        </is>
      </c>
      <c r="B2831" t="inlineStr">
        <is>
          <t>Mateo Giraldo Montes</t>
        </is>
      </c>
      <c r="C2831" t="inlineStr">
        <is>
          <t>3009070902</t>
        </is>
      </c>
      <c r="D2831" t="inlineStr">
        <is>
          <t>mateo.giraldo67@gmail.com</t>
        </is>
      </c>
      <c r="E2831" t="inlineStr">
        <is>
          <t>La Estrella</t>
        </is>
      </c>
      <c r="F2831" t="inlineStr">
        <is>
          <t>PRY-008</t>
        </is>
      </c>
      <c r="G2831" t="inlineStr">
        <is>
          <t>Feria Inmobiliaria</t>
        </is>
      </c>
      <c r="H2831" t="inlineStr">
        <is>
          <t>Miguel Salazar</t>
        </is>
      </c>
      <c r="I2831" t="inlineStr">
        <is>
          <t>Perdido</t>
        </is>
      </c>
      <c r="J2831" s="28" t="n">
        <v>46138</v>
      </c>
      <c r="K2831" s="28" t="n">
        <v>46164</v>
      </c>
      <c r="L2831" t="inlineStr">
        <is>
          <t>Sin respuesta tras 3 contactos</t>
        </is>
      </c>
    </row>
    <row r="2832">
      <c r="A2832" t="inlineStr">
        <is>
          <t>CLI-2830</t>
        </is>
      </c>
      <c r="B2832" t="inlineStr">
        <is>
          <t>Sebastián Gaviria Vargas</t>
        </is>
      </c>
      <c r="C2832" t="inlineStr">
        <is>
          <t>3101417174</t>
        </is>
      </c>
      <c r="D2832" t="inlineStr">
        <is>
          <t>sebastian.gaviria18@gmail.com</t>
        </is>
      </c>
      <c r="E2832" t="inlineStr">
        <is>
          <t>Bello</t>
        </is>
      </c>
      <c r="F2832" t="inlineStr">
        <is>
          <t>PRY-006</t>
        </is>
      </c>
      <c r="G2832" t="inlineStr">
        <is>
          <t>Portal Web</t>
        </is>
      </c>
      <c r="H2832" t="inlineStr">
        <is>
          <t>Juliana Vélez</t>
        </is>
      </c>
      <c r="I2832" t="inlineStr">
        <is>
          <t>Perdido</t>
        </is>
      </c>
      <c r="J2832" s="28" t="n">
        <v>46138</v>
      </c>
      <c r="K2832" s="28" t="n">
        <v>46143</v>
      </c>
      <c r="L2832" t="inlineStr">
        <is>
          <t>Presupuesto insuficiente</t>
        </is>
      </c>
    </row>
    <row r="2833">
      <c r="A2833" t="inlineStr">
        <is>
          <t>CLI-2831</t>
        </is>
      </c>
      <c r="B2833" t="inlineStr">
        <is>
          <t>David Higuita Mejía</t>
        </is>
      </c>
      <c r="C2833" t="inlineStr">
        <is>
          <t>3229045375</t>
        </is>
      </c>
      <c r="D2833" t="inlineStr">
        <is>
          <t>david.higuita75@gmail.com</t>
        </is>
      </c>
      <c r="E2833" t="inlineStr">
        <is>
          <t>Medellín</t>
        </is>
      </c>
      <c r="F2833" t="inlineStr">
        <is>
          <t>PRY-003</t>
        </is>
      </c>
      <c r="G2833" t="inlineStr">
        <is>
          <t>Referido</t>
        </is>
      </c>
      <c r="H2833" t="inlineStr">
        <is>
          <t>Sofía Prada</t>
        </is>
      </c>
      <c r="I2833" t="inlineStr">
        <is>
          <t>Ganado</t>
        </is>
      </c>
      <c r="J2833" s="28" t="n">
        <v>46139</v>
      </c>
      <c r="K2833" s="28" t="n">
        <v>46204</v>
      </c>
      <c r="L2833" t="inlineStr">
        <is>
          <t>Compró Apto 2508 en Conecta Laureles</t>
        </is>
      </c>
    </row>
    <row r="2834">
      <c r="A2834" t="inlineStr">
        <is>
          <t>CLI-2832</t>
        </is>
      </c>
      <c r="B2834" t="inlineStr">
        <is>
          <t>Sara Giraldo Montoya</t>
        </is>
      </c>
      <c r="C2834" t="inlineStr">
        <is>
          <t>3175485873</t>
        </is>
      </c>
      <c r="D2834" t="inlineStr">
        <is>
          <t>sara.giraldo57@outlook.com</t>
        </is>
      </c>
      <c r="E2834" t="inlineStr">
        <is>
          <t>Medellín</t>
        </is>
      </c>
      <c r="F2834" t="inlineStr">
        <is>
          <t>PRY-003</t>
        </is>
      </c>
      <c r="G2834" t="inlineStr">
        <is>
          <t>Portal Web</t>
        </is>
      </c>
      <c r="H2834" t="inlineStr">
        <is>
          <t>Miguel Salazar</t>
        </is>
      </c>
      <c r="I2834" t="inlineStr">
        <is>
          <t>Ganado</t>
        </is>
      </c>
      <c r="J2834" s="28" t="n">
        <v>46139</v>
      </c>
      <c r="K2834" s="28" t="n">
        <v>46210</v>
      </c>
      <c r="L2834" t="inlineStr">
        <is>
          <t>Compró Apto 1101 en Conecta Laureles</t>
        </is>
      </c>
    </row>
    <row r="2835">
      <c r="A2835" t="inlineStr">
        <is>
          <t>CLI-2833</t>
        </is>
      </c>
      <c r="B2835" t="inlineStr">
        <is>
          <t>Catalina Correa Uribe</t>
        </is>
      </c>
      <c r="C2835" t="inlineStr">
        <is>
          <t>3172529156</t>
        </is>
      </c>
      <c r="D2835" t="inlineStr">
        <is>
          <t>catalina.correa19@yahoo.com</t>
        </is>
      </c>
      <c r="E2835" t="inlineStr">
        <is>
          <t>La Estrella</t>
        </is>
      </c>
      <c r="F2835" t="inlineStr">
        <is>
          <t>PRY-001</t>
        </is>
      </c>
      <c r="G2835" t="inlineStr">
        <is>
          <t>Referido</t>
        </is>
      </c>
      <c r="H2835" t="inlineStr">
        <is>
          <t>Sofía Prada</t>
        </is>
      </c>
      <c r="I2835" t="inlineStr">
        <is>
          <t>Propuesta enviada</t>
        </is>
      </c>
      <c r="J2835" s="28" t="n">
        <v>46139</v>
      </c>
      <c r="K2835" s="28" t="n">
        <v>46213</v>
      </c>
      <c r="L2835" t="inlineStr">
        <is>
          <t>Cotización enviada</t>
        </is>
      </c>
    </row>
    <row r="2836">
      <c r="A2836" t="inlineStr">
        <is>
          <t>CLI-2834</t>
        </is>
      </c>
      <c r="B2836" t="inlineStr">
        <is>
          <t>Ricardo Franco Salazar</t>
        </is>
      </c>
      <c r="C2836" t="inlineStr">
        <is>
          <t>3228724371</t>
        </is>
      </c>
      <c r="D2836" t="inlineStr">
        <is>
          <t>ricardo.franco28@hotmail.com</t>
        </is>
      </c>
      <c r="E2836" t="inlineStr">
        <is>
          <t>Rionegro</t>
        </is>
      </c>
      <c r="F2836" t="inlineStr">
        <is>
          <t>PRY-005</t>
        </is>
      </c>
      <c r="G2836" t="inlineStr">
        <is>
          <t>Referido</t>
        </is>
      </c>
      <c r="H2836" t="inlineStr">
        <is>
          <t>Luis Bedoya</t>
        </is>
      </c>
      <c r="I2836" t="inlineStr">
        <is>
          <t>Visita agendada</t>
        </is>
      </c>
      <c r="J2836" s="28" t="n">
        <v>46139</v>
      </c>
      <c r="K2836" s="28" t="n">
        <v>46213</v>
      </c>
      <c r="L2836" t="inlineStr">
        <is>
          <t>Visitó el apartamento modelo</t>
        </is>
      </c>
    </row>
    <row r="2837">
      <c r="A2837" t="inlineStr">
        <is>
          <t>CLI-2835</t>
        </is>
      </c>
      <c r="B2837" t="inlineStr">
        <is>
          <t>María Zuluaga Betancur</t>
        </is>
      </c>
      <c r="C2837" t="inlineStr">
        <is>
          <t>3224795753</t>
        </is>
      </c>
      <c r="D2837" t="inlineStr">
        <is>
          <t>maria.zuluaga8@yahoo.com</t>
        </is>
      </c>
      <c r="E2837" t="inlineStr">
        <is>
          <t>Medellín</t>
        </is>
      </c>
      <c r="F2837" t="inlineStr">
        <is>
          <t>PRY-002</t>
        </is>
      </c>
      <c r="G2837" t="inlineStr">
        <is>
          <t>Facebook</t>
        </is>
      </c>
      <c r="H2837" t="inlineStr">
        <is>
          <t>Santiago Muñoz</t>
        </is>
      </c>
      <c r="I2837" t="inlineStr">
        <is>
          <t>Perdido</t>
        </is>
      </c>
      <c r="J2837" s="28" t="n">
        <v>46139</v>
      </c>
      <c r="K2837" s="28" t="n">
        <v>46156</v>
      </c>
      <c r="L2837" t="inlineStr">
        <is>
          <t>Sin respuesta tras 3 contactos</t>
        </is>
      </c>
    </row>
    <row r="2838">
      <c r="A2838" t="inlineStr">
        <is>
          <t>CLI-2836</t>
        </is>
      </c>
      <c r="B2838" t="inlineStr">
        <is>
          <t>Paula Franco Valencia</t>
        </is>
      </c>
      <c r="C2838" t="inlineStr">
        <is>
          <t>3178878045</t>
        </is>
      </c>
      <c r="D2838" t="inlineStr">
        <is>
          <t>paula.franco49@outlook.com</t>
        </is>
      </c>
      <c r="E2838" t="inlineStr">
        <is>
          <t>Medellín</t>
        </is>
      </c>
      <c r="F2838" t="inlineStr">
        <is>
          <t>PRY-006</t>
        </is>
      </c>
      <c r="G2838" t="inlineStr">
        <is>
          <t>Referido</t>
        </is>
      </c>
      <c r="H2838" t="inlineStr">
        <is>
          <t>Miguel Salazar</t>
        </is>
      </c>
      <c r="I2838" t="inlineStr">
        <is>
          <t>Perdido</t>
        </is>
      </c>
      <c r="J2838" s="28" t="n">
        <v>46139</v>
      </c>
      <c r="K2838" s="28" t="n">
        <v>46154</v>
      </c>
      <c r="L2838" t="inlineStr">
        <is>
          <t>Presupuesto insuficiente</t>
        </is>
      </c>
    </row>
    <row r="2839">
      <c r="A2839" t="inlineStr">
        <is>
          <t>CLI-2837</t>
        </is>
      </c>
      <c r="B2839" t="inlineStr">
        <is>
          <t>José Gómez Pérez</t>
        </is>
      </c>
      <c r="C2839" t="inlineStr">
        <is>
          <t>3132788024</t>
        </is>
      </c>
      <c r="D2839" t="inlineStr">
        <is>
          <t>jose.gomez68@hotmail.com</t>
        </is>
      </c>
      <c r="E2839" t="inlineStr">
        <is>
          <t>Rionegro</t>
        </is>
      </c>
      <c r="F2839" t="inlineStr">
        <is>
          <t>PRY-001</t>
        </is>
      </c>
      <c r="G2839" t="inlineStr">
        <is>
          <t>Instagram</t>
        </is>
      </c>
      <c r="H2839" t="inlineStr">
        <is>
          <t>Sofía Prada</t>
        </is>
      </c>
      <c r="I2839" t="inlineStr">
        <is>
          <t>Perdido</t>
        </is>
      </c>
      <c r="J2839" s="28" t="n">
        <v>46139</v>
      </c>
      <c r="K2839" s="28" t="n">
        <v>46154</v>
      </c>
      <c r="L2839" t="inlineStr">
        <is>
          <t>No calificó para crédito</t>
        </is>
      </c>
    </row>
    <row r="2840">
      <c r="A2840" t="inlineStr">
        <is>
          <t>CLI-2838</t>
        </is>
      </c>
      <c r="B2840" t="inlineStr">
        <is>
          <t>Isabel Cano Bedoya</t>
        </is>
      </c>
      <c r="C2840" t="inlineStr">
        <is>
          <t>3204677272</t>
        </is>
      </c>
      <c r="D2840" t="inlineStr">
        <is>
          <t>isabel.cano70@yahoo.com</t>
        </is>
      </c>
      <c r="E2840" t="inlineStr">
        <is>
          <t>Rionegro</t>
        </is>
      </c>
      <c r="F2840" t="inlineStr">
        <is>
          <t>PRY-003</t>
        </is>
      </c>
      <c r="G2840" t="inlineStr">
        <is>
          <t>Portal Web</t>
        </is>
      </c>
      <c r="H2840" t="inlineStr">
        <is>
          <t>Ana Quintero</t>
        </is>
      </c>
      <c r="I2840" t="inlineStr">
        <is>
          <t>Perdido</t>
        </is>
      </c>
      <c r="J2840" s="28" t="n">
        <v>46139</v>
      </c>
      <c r="K2840" s="28" t="n">
        <v>46161</v>
      </c>
      <c r="L2840" t="inlineStr">
        <is>
          <t>Datos de contacto errados</t>
        </is>
      </c>
    </row>
    <row r="2841">
      <c r="A2841" t="inlineStr">
        <is>
          <t>CLI-2839</t>
        </is>
      </c>
      <c r="B2841" t="inlineStr">
        <is>
          <t>Carolina Ramírez Mejía</t>
        </is>
      </c>
      <c r="C2841" t="inlineStr">
        <is>
          <t>3244946860</t>
        </is>
      </c>
      <c r="D2841" t="inlineStr">
        <is>
          <t>carolina.ramirez40@gmail.com</t>
        </is>
      </c>
      <c r="E2841" t="inlineStr">
        <is>
          <t>Rionegro</t>
        </is>
      </c>
      <c r="F2841" t="inlineStr">
        <is>
          <t>PRY-005</t>
        </is>
      </c>
      <c r="G2841" t="inlineStr">
        <is>
          <t>Referido</t>
        </is>
      </c>
      <c r="H2841" t="inlineStr">
        <is>
          <t>Luis Bedoya</t>
        </is>
      </c>
      <c r="I2841" t="inlineStr">
        <is>
          <t>Perdido</t>
        </is>
      </c>
      <c r="J2841" s="28" t="n">
        <v>46140</v>
      </c>
      <c r="K2841" s="28" t="n">
        <v>46162</v>
      </c>
      <c r="L2841" t="inlineStr">
        <is>
          <t>Presupuesto insuficiente</t>
        </is>
      </c>
    </row>
    <row r="2842">
      <c r="A2842" t="inlineStr">
        <is>
          <t>CLI-2840</t>
        </is>
      </c>
      <c r="B2842" t="inlineStr">
        <is>
          <t>Iván Peláez Valencia</t>
        </is>
      </c>
      <c r="C2842" t="inlineStr">
        <is>
          <t>3007551880</t>
        </is>
      </c>
      <c r="D2842" t="inlineStr">
        <is>
          <t>ivan.pelaez74@outlook.com</t>
        </is>
      </c>
      <c r="E2842" t="inlineStr">
        <is>
          <t>Medellín</t>
        </is>
      </c>
      <c r="F2842" t="inlineStr">
        <is>
          <t>PRY-002</t>
        </is>
      </c>
      <c r="G2842" t="inlineStr">
        <is>
          <t>Facebook</t>
        </is>
      </c>
      <c r="H2842" t="inlineStr">
        <is>
          <t>Sofía Prada</t>
        </is>
      </c>
      <c r="I2842" t="inlineStr">
        <is>
          <t>Perdido</t>
        </is>
      </c>
      <c r="J2842" s="28" t="n">
        <v>46140</v>
      </c>
      <c r="K2842" s="28" t="n">
        <v>46148</v>
      </c>
      <c r="L2842" t="inlineStr">
        <is>
          <t>Presupuesto insuficiente</t>
        </is>
      </c>
    </row>
    <row r="2843">
      <c r="A2843" t="inlineStr">
        <is>
          <t>CLI-2841</t>
        </is>
      </c>
      <c r="B2843" t="inlineStr">
        <is>
          <t>Fernando Pérez Ochoa</t>
        </is>
      </c>
      <c r="C2843" t="inlineStr">
        <is>
          <t>3002152336</t>
        </is>
      </c>
      <c r="D2843" t="inlineStr">
        <is>
          <t>fernando.perez31@hotmail.com</t>
        </is>
      </c>
      <c r="E2843" t="inlineStr">
        <is>
          <t>Bello</t>
        </is>
      </c>
      <c r="F2843" t="inlineStr">
        <is>
          <t>PRY-001</t>
        </is>
      </c>
      <c r="G2843" t="inlineStr">
        <is>
          <t>Portal Web</t>
        </is>
      </c>
      <c r="H2843" t="inlineStr">
        <is>
          <t>Ana Quintero</t>
        </is>
      </c>
      <c r="I2843" t="inlineStr">
        <is>
          <t>En contacto</t>
        </is>
      </c>
      <c r="J2843" s="28" t="n">
        <v>46141</v>
      </c>
      <c r="K2843" s="28" t="n">
        <v>46214</v>
      </c>
      <c r="L2843" t="inlineStr">
        <is>
          <t>Interesado, pidió plano de la unidad</t>
        </is>
      </c>
    </row>
    <row r="2844">
      <c r="A2844" t="inlineStr">
        <is>
          <t>CLI-2842</t>
        </is>
      </c>
      <c r="B2844" t="inlineStr">
        <is>
          <t>Juan Pablo Salazar Restrepo</t>
        </is>
      </c>
      <c r="C2844" t="inlineStr">
        <is>
          <t>3174569519</t>
        </is>
      </c>
      <c r="D2844" t="inlineStr">
        <is>
          <t>juan.salazar7@hotmail.com</t>
        </is>
      </c>
      <c r="E2844" t="inlineStr">
        <is>
          <t>Itagüí</t>
        </is>
      </c>
      <c r="F2844" t="inlineStr">
        <is>
          <t>PRY-002</t>
        </is>
      </c>
      <c r="G2844" t="inlineStr">
        <is>
          <t>Portal Web</t>
        </is>
      </c>
      <c r="H2844" t="inlineStr">
        <is>
          <t>Luis Bedoya</t>
        </is>
      </c>
      <c r="I2844" t="inlineStr">
        <is>
          <t>Perdido</t>
        </is>
      </c>
      <c r="J2844" s="28" t="n">
        <v>46141</v>
      </c>
      <c r="K2844" s="28" t="n">
        <v>46150</v>
      </c>
      <c r="L2844" t="inlineStr">
        <is>
          <t>Sin respuesta tras 3 contactos</t>
        </is>
      </c>
    </row>
    <row r="2845">
      <c r="A2845" t="inlineStr">
        <is>
          <t>CLI-2843</t>
        </is>
      </c>
      <c r="B2845" t="inlineStr">
        <is>
          <t>Mauricio Londoño Gaviria</t>
        </is>
      </c>
      <c r="C2845" t="inlineStr">
        <is>
          <t>3156283172</t>
        </is>
      </c>
      <c r="D2845" t="inlineStr">
        <is>
          <t>mauricio.londono1@outlook.com</t>
        </is>
      </c>
      <c r="E2845" t="inlineStr">
        <is>
          <t>Bello</t>
        </is>
      </c>
      <c r="F2845" t="inlineStr">
        <is>
          <t>PRY-006</t>
        </is>
      </c>
      <c r="G2845" t="inlineStr">
        <is>
          <t>Referido</t>
        </is>
      </c>
      <c r="H2845" t="inlineStr">
        <is>
          <t>Andrés Torres</t>
        </is>
      </c>
      <c r="I2845" t="inlineStr">
        <is>
          <t>Perdido</t>
        </is>
      </c>
      <c r="J2845" s="28" t="n">
        <v>46141</v>
      </c>
      <c r="K2845" s="28" t="n">
        <v>46164</v>
      </c>
      <c r="L2845" t="inlineStr">
        <is>
          <t>Presupuesto insuficiente</t>
        </is>
      </c>
    </row>
    <row r="2846">
      <c r="A2846" t="inlineStr">
        <is>
          <t>CLI-2844</t>
        </is>
      </c>
      <c r="B2846" t="inlineStr">
        <is>
          <t>Diego Sánchez Montoya</t>
        </is>
      </c>
      <c r="C2846" t="inlineStr">
        <is>
          <t>3238733444</t>
        </is>
      </c>
      <c r="D2846" t="inlineStr">
        <is>
          <t>diego.sanchez18@hotmail.com</t>
        </is>
      </c>
      <c r="E2846" t="inlineStr">
        <is>
          <t>Itagüí</t>
        </is>
      </c>
      <c r="F2846" t="inlineStr">
        <is>
          <t>PRY-008</t>
        </is>
      </c>
      <c r="G2846" t="inlineStr">
        <is>
          <t>Facebook</t>
        </is>
      </c>
      <c r="H2846" t="inlineStr">
        <is>
          <t>Mateo Herrera</t>
        </is>
      </c>
      <c r="I2846" t="inlineStr">
        <is>
          <t>Ganado</t>
        </is>
      </c>
      <c r="J2846" s="28" t="n">
        <v>46142</v>
      </c>
      <c r="K2846" s="28" t="n">
        <v>46221</v>
      </c>
      <c r="L2846" t="inlineStr">
        <is>
          <t>Compró Casa 17 en Valle Verde Itagüí</t>
        </is>
      </c>
    </row>
    <row r="2847">
      <c r="A2847" t="inlineStr">
        <is>
          <t>CLI-2845</t>
        </is>
      </c>
      <c r="B2847" t="inlineStr">
        <is>
          <t>Verónica Restrepo Sánchez</t>
        </is>
      </c>
      <c r="C2847" t="inlineStr">
        <is>
          <t>3221906574</t>
        </is>
      </c>
      <c r="D2847" t="inlineStr">
        <is>
          <t>veronica.restrepo75@hotmail.com</t>
        </is>
      </c>
      <c r="E2847" t="inlineStr">
        <is>
          <t>Medellín</t>
        </is>
      </c>
      <c r="F2847" t="inlineStr">
        <is>
          <t>PRY-001</t>
        </is>
      </c>
      <c r="G2847" t="inlineStr">
        <is>
          <t>Feria Inmobiliaria</t>
        </is>
      </c>
      <c r="H2847" t="inlineStr">
        <is>
          <t>Miguel Salazar</t>
        </is>
      </c>
      <c r="I2847" t="inlineStr">
        <is>
          <t>Perdido</t>
        </is>
      </c>
      <c r="J2847" s="28" t="n">
        <v>46142</v>
      </c>
      <c r="K2847" s="28" t="n">
        <v>46166</v>
      </c>
      <c r="L2847" t="inlineStr">
        <is>
          <t>Buscaba arriendo, no compra</t>
        </is>
      </c>
    </row>
    <row r="2848">
      <c r="A2848" t="inlineStr">
        <is>
          <t>CLI-2846</t>
        </is>
      </c>
      <c r="B2848" t="inlineStr">
        <is>
          <t>Patricia Correa Zapata</t>
        </is>
      </c>
      <c r="C2848" t="inlineStr">
        <is>
          <t>3043355930</t>
        </is>
      </c>
      <c r="D2848" t="inlineStr">
        <is>
          <t>patricia.correa14@yahoo.com</t>
        </is>
      </c>
      <c r="E2848" t="inlineStr">
        <is>
          <t>Sabaneta</t>
        </is>
      </c>
      <c r="F2848" t="inlineStr">
        <is>
          <t>PRY-001</t>
        </is>
      </c>
      <c r="G2848" t="inlineStr">
        <is>
          <t>Feria Inmobiliaria</t>
        </is>
      </c>
      <c r="H2848" t="inlineStr">
        <is>
          <t>Sofía Prada</t>
        </is>
      </c>
      <c r="I2848" t="inlineStr">
        <is>
          <t>Perdido</t>
        </is>
      </c>
      <c r="J2848" s="28" t="n">
        <v>46143</v>
      </c>
      <c r="K2848" s="28" t="n">
        <v>46156</v>
      </c>
      <c r="L2848" t="inlineStr">
        <is>
          <t>Sin respuesta tras 3 contactos</t>
        </is>
      </c>
    </row>
    <row r="2849">
      <c r="A2849" t="inlineStr">
        <is>
          <t>CLI-2847</t>
        </is>
      </c>
      <c r="B2849" t="inlineStr">
        <is>
          <t>Mariana Valencia Marín</t>
        </is>
      </c>
      <c r="C2849" t="inlineStr">
        <is>
          <t>3238882393</t>
        </is>
      </c>
      <c r="D2849" t="inlineStr">
        <is>
          <t>mariana.valencia80@gmail.com</t>
        </is>
      </c>
      <c r="E2849" t="inlineStr">
        <is>
          <t>Bello</t>
        </is>
      </c>
      <c r="F2849" t="inlineStr">
        <is>
          <t>PRY-005</t>
        </is>
      </c>
      <c r="G2849" t="inlineStr">
        <is>
          <t>Feria Inmobiliaria</t>
        </is>
      </c>
      <c r="H2849" t="inlineStr">
        <is>
          <t>Luis Bedoya</t>
        </is>
      </c>
      <c r="I2849" t="inlineStr">
        <is>
          <t>Perdido</t>
        </is>
      </c>
      <c r="J2849" s="28" t="n">
        <v>46143</v>
      </c>
      <c r="K2849" s="28" t="n">
        <v>46149</v>
      </c>
      <c r="L2849" t="inlineStr">
        <is>
          <t>Datos de contacto errados</t>
        </is>
      </c>
    </row>
    <row r="2850">
      <c r="A2850" t="inlineStr">
        <is>
          <t>CLI-2848</t>
        </is>
      </c>
      <c r="B2850" t="inlineStr">
        <is>
          <t>Nicolás Ramírez Salcedo</t>
        </is>
      </c>
      <c r="C2850" t="inlineStr">
        <is>
          <t>3206006185</t>
        </is>
      </c>
      <c r="D2850" t="inlineStr">
        <is>
          <t>nicolas.ramirez92@outlook.com</t>
        </is>
      </c>
      <c r="E2850" t="inlineStr">
        <is>
          <t>Rionegro</t>
        </is>
      </c>
      <c r="F2850" t="inlineStr">
        <is>
          <t>PRY-005</t>
        </is>
      </c>
      <c r="G2850" t="inlineStr">
        <is>
          <t>Feria Inmobiliaria</t>
        </is>
      </c>
      <c r="H2850" t="inlineStr">
        <is>
          <t>Ana Quintero</t>
        </is>
      </c>
      <c r="I2850" t="inlineStr">
        <is>
          <t>Perdido</t>
        </is>
      </c>
      <c r="J2850" s="28" t="n">
        <v>46143</v>
      </c>
      <c r="K2850" s="28" t="n">
        <v>46148</v>
      </c>
      <c r="L2850" t="inlineStr">
        <is>
          <t>Sin respuesta tras 3 contactos</t>
        </is>
      </c>
    </row>
    <row r="2851">
      <c r="A2851" t="inlineStr">
        <is>
          <t>CLI-2849</t>
        </is>
      </c>
      <c r="B2851" t="inlineStr">
        <is>
          <t>Alejandro Vélez Montes</t>
        </is>
      </c>
      <c r="C2851" t="inlineStr">
        <is>
          <t>3229243502</t>
        </is>
      </c>
      <c r="D2851" t="inlineStr">
        <is>
          <t>alejandro.velez18@hotmail.com</t>
        </is>
      </c>
      <c r="E2851" t="inlineStr">
        <is>
          <t>Medellín</t>
        </is>
      </c>
      <c r="F2851" t="inlineStr">
        <is>
          <t>PRY-001</t>
        </is>
      </c>
      <c r="G2851" t="inlineStr">
        <is>
          <t>Facebook</t>
        </is>
      </c>
      <c r="H2851" t="inlineStr">
        <is>
          <t>Daniela Ríos</t>
        </is>
      </c>
      <c r="I2851" t="inlineStr">
        <is>
          <t>Perdido</t>
        </is>
      </c>
      <c r="J2851" s="28" t="n">
        <v>46143</v>
      </c>
      <c r="K2851" s="28" t="n">
        <v>46162</v>
      </c>
      <c r="L2851" t="inlineStr">
        <is>
          <t>Buscaba arriendo, no compra</t>
        </is>
      </c>
    </row>
    <row r="2852">
      <c r="A2852" t="inlineStr">
        <is>
          <t>CLI-2850</t>
        </is>
      </c>
      <c r="B2852" t="inlineStr">
        <is>
          <t>Daniela Duque Franco</t>
        </is>
      </c>
      <c r="C2852" t="inlineStr">
        <is>
          <t>3179886896</t>
        </is>
      </c>
      <c r="D2852" t="inlineStr">
        <is>
          <t>daniela.duque85@outlook.com</t>
        </is>
      </c>
      <c r="E2852" t="inlineStr">
        <is>
          <t>Medellín</t>
        </is>
      </c>
      <c r="F2852" t="inlineStr">
        <is>
          <t>PRY-001</t>
        </is>
      </c>
      <c r="G2852" t="inlineStr">
        <is>
          <t>Instagram</t>
        </is>
      </c>
      <c r="H2852" t="inlineStr">
        <is>
          <t>Miguel Salazar</t>
        </is>
      </c>
      <c r="I2852" t="inlineStr">
        <is>
          <t>Perdido</t>
        </is>
      </c>
      <c r="J2852" s="28" t="n">
        <v>46144</v>
      </c>
      <c r="K2852" s="28" t="n">
        <v>46165</v>
      </c>
      <c r="L2852" t="inlineStr">
        <is>
          <t>Datos de contacto errados</t>
        </is>
      </c>
    </row>
    <row r="2853">
      <c r="A2853" t="inlineStr">
        <is>
          <t>CLI-2851</t>
        </is>
      </c>
      <c r="B2853" t="inlineStr">
        <is>
          <t>Jhon Osorio Cifuentes</t>
        </is>
      </c>
      <c r="C2853" t="inlineStr">
        <is>
          <t>3245107334</t>
        </is>
      </c>
      <c r="D2853" t="inlineStr">
        <is>
          <t>jhon.osorio54@gmail.com</t>
        </is>
      </c>
      <c r="E2853" t="inlineStr">
        <is>
          <t>Medellín</t>
        </is>
      </c>
      <c r="F2853" t="inlineStr">
        <is>
          <t>PRY-003</t>
        </is>
      </c>
      <c r="G2853" t="inlineStr">
        <is>
          <t>Facebook</t>
        </is>
      </c>
      <c r="H2853" t="inlineStr">
        <is>
          <t>Santiago Muñoz</t>
        </is>
      </c>
      <c r="I2853" t="inlineStr">
        <is>
          <t>Perdido</t>
        </is>
      </c>
      <c r="J2853" s="28" t="n">
        <v>46144</v>
      </c>
      <c r="K2853" s="28" t="n">
        <v>46173</v>
      </c>
      <c r="L2853" t="inlineStr">
        <is>
          <t>Presupuesto insuficiente</t>
        </is>
      </c>
    </row>
    <row r="2854">
      <c r="A2854" t="inlineStr">
        <is>
          <t>CLI-2852</t>
        </is>
      </c>
      <c r="B2854" t="inlineStr">
        <is>
          <t>Valeria Sánchez Marín</t>
        </is>
      </c>
      <c r="C2854" t="inlineStr">
        <is>
          <t>3008393387</t>
        </is>
      </c>
      <c r="D2854" t="inlineStr">
        <is>
          <t>valeria.sanchez4@gmail.com</t>
        </is>
      </c>
      <c r="E2854" t="inlineStr">
        <is>
          <t>Itagüí</t>
        </is>
      </c>
      <c r="F2854" t="inlineStr">
        <is>
          <t>PRY-008</t>
        </is>
      </c>
      <c r="G2854" t="inlineStr">
        <is>
          <t>Llamada directa</t>
        </is>
      </c>
      <c r="H2854" t="inlineStr">
        <is>
          <t>Juliana Vélez</t>
        </is>
      </c>
      <c r="I2854" t="inlineStr">
        <is>
          <t>Perdido</t>
        </is>
      </c>
      <c r="J2854" s="28" t="n">
        <v>46144</v>
      </c>
      <c r="K2854" s="28" t="n">
        <v>46164</v>
      </c>
      <c r="L2854" t="inlineStr">
        <is>
          <t>No calificó para crédito</t>
        </is>
      </c>
    </row>
    <row r="2855">
      <c r="A2855" t="inlineStr">
        <is>
          <t>CLI-2853</t>
        </is>
      </c>
      <c r="B2855" t="inlineStr">
        <is>
          <t>Patricia Henao Ramírez</t>
        </is>
      </c>
      <c r="C2855" t="inlineStr">
        <is>
          <t>3226043393</t>
        </is>
      </c>
      <c r="D2855" t="inlineStr">
        <is>
          <t>patricia.henao44@hotmail.com</t>
        </is>
      </c>
      <c r="E2855" t="inlineStr">
        <is>
          <t>Itagüí</t>
        </is>
      </c>
      <c r="F2855" t="inlineStr">
        <is>
          <t>PRY-008</t>
        </is>
      </c>
      <c r="G2855" t="inlineStr">
        <is>
          <t>Instagram</t>
        </is>
      </c>
      <c r="H2855" t="inlineStr">
        <is>
          <t>Miguel Salazar</t>
        </is>
      </c>
      <c r="I2855" t="inlineStr">
        <is>
          <t>En contacto</t>
        </is>
      </c>
      <c r="J2855" s="28" t="n">
        <v>46145</v>
      </c>
      <c r="K2855" s="28" t="n">
        <v>46217</v>
      </c>
      <c r="L2855" t="inlineStr">
        <is>
          <t>Primera llamada realizada</t>
        </is>
      </c>
    </row>
    <row r="2856">
      <c r="A2856" t="inlineStr">
        <is>
          <t>CLI-2854</t>
        </is>
      </c>
      <c r="B2856" t="inlineStr">
        <is>
          <t>Natalia Gaviria Osorio</t>
        </is>
      </c>
      <c r="C2856" t="inlineStr">
        <is>
          <t>3246464652</t>
        </is>
      </c>
      <c r="D2856" t="inlineStr">
        <is>
          <t>natalia.gaviria39@gmail.com</t>
        </is>
      </c>
      <c r="E2856" t="inlineStr">
        <is>
          <t>Envigado</t>
        </is>
      </c>
      <c r="F2856" t="inlineStr">
        <is>
          <t>PRY-007</t>
        </is>
      </c>
      <c r="G2856" t="inlineStr">
        <is>
          <t>Feria Inmobiliaria</t>
        </is>
      </c>
      <c r="H2856" t="inlineStr">
        <is>
          <t>Santiago Muñoz</t>
        </is>
      </c>
      <c r="I2856" t="inlineStr">
        <is>
          <t>Perdido</t>
        </is>
      </c>
      <c r="J2856" s="28" t="n">
        <v>46145</v>
      </c>
      <c r="K2856" s="28" t="n">
        <v>46193</v>
      </c>
      <c r="L2856" t="inlineStr">
        <is>
          <t>Eligió otro proyecto</t>
        </is>
      </c>
    </row>
    <row r="2857">
      <c r="A2857" t="inlineStr">
        <is>
          <t>CLI-2855</t>
        </is>
      </c>
      <c r="B2857" t="inlineStr">
        <is>
          <t>Carlos Pérez Pérez</t>
        </is>
      </c>
      <c r="C2857" t="inlineStr">
        <is>
          <t>3131114302</t>
        </is>
      </c>
      <c r="D2857" t="inlineStr">
        <is>
          <t>carlos.perez24@hotmail.com</t>
        </is>
      </c>
      <c r="E2857" t="inlineStr">
        <is>
          <t>Rionegro</t>
        </is>
      </c>
      <c r="F2857" t="inlineStr">
        <is>
          <t>PRY-006</t>
        </is>
      </c>
      <c r="G2857" t="inlineStr">
        <is>
          <t>Facebook</t>
        </is>
      </c>
      <c r="H2857" t="inlineStr">
        <is>
          <t>Ana Quintero</t>
        </is>
      </c>
      <c r="I2857" t="inlineStr">
        <is>
          <t>Negociación</t>
        </is>
      </c>
      <c r="J2857" s="28" t="n">
        <v>46145</v>
      </c>
      <c r="K2857" s="28" t="n">
        <v>46205</v>
      </c>
      <c r="L2857" t="inlineStr">
        <is>
          <t>Firma de promesa de compraventa programada</t>
        </is>
      </c>
    </row>
    <row r="2858">
      <c r="A2858" t="inlineStr">
        <is>
          <t>CLI-2856</t>
        </is>
      </c>
      <c r="B2858" t="inlineStr">
        <is>
          <t>Liliana Cifuentes Gómez</t>
        </is>
      </c>
      <c r="C2858" t="inlineStr">
        <is>
          <t>3001080100</t>
        </is>
      </c>
      <c r="D2858" t="inlineStr">
        <is>
          <t>liliana.cifuentes34@gmail.com</t>
        </is>
      </c>
      <c r="E2858" t="inlineStr">
        <is>
          <t>Bello</t>
        </is>
      </c>
      <c r="F2858" t="inlineStr">
        <is>
          <t>PRY-005</t>
        </is>
      </c>
      <c r="G2858" t="inlineStr">
        <is>
          <t>Instagram</t>
        </is>
      </c>
      <c r="H2858" t="inlineStr">
        <is>
          <t>Santiago Muñoz</t>
        </is>
      </c>
      <c r="I2858" t="inlineStr">
        <is>
          <t>Nuevo lead</t>
        </is>
      </c>
      <c r="J2858" s="28" t="n">
        <v>46145</v>
      </c>
      <c r="K2858" s="28" t="n">
        <v>46214</v>
      </c>
      <c r="L2858" t="inlineStr">
        <is>
          <t>Pidió brochure y precios</t>
        </is>
      </c>
    </row>
    <row r="2859">
      <c r="A2859" t="inlineStr">
        <is>
          <t>CLI-2857</t>
        </is>
      </c>
      <c r="B2859" t="inlineStr">
        <is>
          <t>Nicolás Restrepo Arango</t>
        </is>
      </c>
      <c r="C2859" t="inlineStr">
        <is>
          <t>3229953054</t>
        </is>
      </c>
      <c r="D2859" t="inlineStr">
        <is>
          <t>nicolas.restrepo49@yahoo.com</t>
        </is>
      </c>
      <c r="E2859" t="inlineStr">
        <is>
          <t>Bello</t>
        </is>
      </c>
      <c r="F2859" t="inlineStr">
        <is>
          <t>PRY-003</t>
        </is>
      </c>
      <c r="G2859" t="inlineStr">
        <is>
          <t>Portal Web</t>
        </is>
      </c>
      <c r="H2859" t="inlineStr">
        <is>
          <t>Paula Arenas</t>
        </is>
      </c>
      <c r="I2859" t="inlineStr">
        <is>
          <t>Perdido</t>
        </is>
      </c>
      <c r="J2859" s="28" t="n">
        <v>46145</v>
      </c>
      <c r="K2859" s="28" t="n">
        <v>46165</v>
      </c>
      <c r="L2859" t="inlineStr">
        <is>
          <t>Presupuesto insuficiente</t>
        </is>
      </c>
    </row>
    <row r="2860">
      <c r="A2860" t="inlineStr">
        <is>
          <t>CLI-2858</t>
        </is>
      </c>
      <c r="B2860" t="inlineStr">
        <is>
          <t>Carolina Ochoa Giraldo</t>
        </is>
      </c>
      <c r="C2860" t="inlineStr">
        <is>
          <t>3155711599</t>
        </is>
      </c>
      <c r="D2860" t="inlineStr">
        <is>
          <t>carolina.ochoa26@hotmail.com</t>
        </is>
      </c>
      <c r="E2860" t="inlineStr">
        <is>
          <t>Rionegro</t>
        </is>
      </c>
      <c r="F2860" t="inlineStr">
        <is>
          <t>PRY-008</t>
        </is>
      </c>
      <c r="G2860" t="inlineStr">
        <is>
          <t>Facebook</t>
        </is>
      </c>
      <c r="H2860" t="inlineStr">
        <is>
          <t>Luis Bedoya</t>
        </is>
      </c>
      <c r="I2860" t="inlineStr">
        <is>
          <t>Perdido</t>
        </is>
      </c>
      <c r="J2860" s="28" t="n">
        <v>46146</v>
      </c>
      <c r="K2860" s="28" t="n">
        <v>46165</v>
      </c>
      <c r="L2860" t="inlineStr">
        <is>
          <t>Sin respuesta tras 3 contactos</t>
        </is>
      </c>
    </row>
    <row r="2861">
      <c r="A2861" t="inlineStr">
        <is>
          <t>CLI-2859</t>
        </is>
      </c>
      <c r="B2861" t="inlineStr">
        <is>
          <t>Marcela Mejía Cano</t>
        </is>
      </c>
      <c r="C2861" t="inlineStr">
        <is>
          <t>3224936327</t>
        </is>
      </c>
      <c r="D2861" t="inlineStr">
        <is>
          <t>marcela.mejia54@hotmail.com</t>
        </is>
      </c>
      <c r="E2861" t="inlineStr">
        <is>
          <t>Sabaneta</t>
        </is>
      </c>
      <c r="F2861" t="inlineStr">
        <is>
          <t>PRY-002</t>
        </is>
      </c>
      <c r="G2861" t="inlineStr">
        <is>
          <t>Instagram</t>
        </is>
      </c>
      <c r="H2861" t="inlineStr">
        <is>
          <t>Miguel Salazar</t>
        </is>
      </c>
      <c r="I2861" t="inlineStr">
        <is>
          <t>Perdido</t>
        </is>
      </c>
      <c r="J2861" s="28" t="n">
        <v>46146</v>
      </c>
      <c r="K2861" s="28" t="n">
        <v>46163</v>
      </c>
      <c r="L2861" t="inlineStr">
        <is>
          <t>Sin respuesta tras 3 contactos</t>
        </is>
      </c>
    </row>
    <row r="2862">
      <c r="A2862" t="inlineStr">
        <is>
          <t>CLI-2860</t>
        </is>
      </c>
      <c r="B2862" t="inlineStr">
        <is>
          <t>Luisa Ríos Palacio</t>
        </is>
      </c>
      <c r="C2862" t="inlineStr">
        <is>
          <t>3179463728</t>
        </is>
      </c>
      <c r="D2862" t="inlineStr">
        <is>
          <t>luisa.rios22@gmail.com</t>
        </is>
      </c>
      <c r="E2862" t="inlineStr">
        <is>
          <t>Itagüí</t>
        </is>
      </c>
      <c r="F2862" t="inlineStr">
        <is>
          <t>PRY-008</t>
        </is>
      </c>
      <c r="G2862" t="inlineStr">
        <is>
          <t>Portal Web</t>
        </is>
      </c>
      <c r="H2862" t="inlineStr">
        <is>
          <t>Andrés Torres</t>
        </is>
      </c>
      <c r="I2862" t="inlineStr">
        <is>
          <t>Perdido</t>
        </is>
      </c>
      <c r="J2862" s="28" t="n">
        <v>46146</v>
      </c>
      <c r="K2862" s="28" t="n">
        <v>46158</v>
      </c>
      <c r="L2862" t="inlineStr">
        <is>
          <t>Buscaba arriendo, no compra</t>
        </is>
      </c>
    </row>
    <row r="2863">
      <c r="A2863" t="inlineStr">
        <is>
          <t>CLI-2861</t>
        </is>
      </c>
      <c r="B2863" t="inlineStr">
        <is>
          <t>Simón Ríos Jaramillo</t>
        </is>
      </c>
      <c r="C2863" t="inlineStr">
        <is>
          <t>3003213995</t>
        </is>
      </c>
      <c r="D2863" t="inlineStr">
        <is>
          <t>simon.rios61@outlook.com</t>
        </is>
      </c>
      <c r="E2863" t="inlineStr">
        <is>
          <t>Sabaneta</t>
        </is>
      </c>
      <c r="F2863" t="inlineStr">
        <is>
          <t>PRY-006</t>
        </is>
      </c>
      <c r="G2863" t="inlineStr">
        <is>
          <t>Feria Inmobiliaria</t>
        </is>
      </c>
      <c r="H2863" t="inlineStr">
        <is>
          <t>Mateo Herrera</t>
        </is>
      </c>
      <c r="I2863" t="inlineStr">
        <is>
          <t>Perdido</t>
        </is>
      </c>
      <c r="J2863" s="28" t="n">
        <v>46146</v>
      </c>
      <c r="K2863" s="28" t="n">
        <v>46157</v>
      </c>
      <c r="L2863" t="inlineStr">
        <is>
          <t>Sin respuesta tras 3 contactos</t>
        </is>
      </c>
    </row>
    <row r="2864">
      <c r="A2864" t="inlineStr">
        <is>
          <t>CLI-2862</t>
        </is>
      </c>
      <c r="B2864" t="inlineStr">
        <is>
          <t>Hernán Espinosa Cifuentes</t>
        </is>
      </c>
      <c r="C2864" t="inlineStr">
        <is>
          <t>3044931939</t>
        </is>
      </c>
      <c r="D2864" t="inlineStr">
        <is>
          <t>hernan.espinosa30@hotmail.com</t>
        </is>
      </c>
      <c r="E2864" t="inlineStr">
        <is>
          <t>Envigado</t>
        </is>
      </c>
      <c r="F2864" t="inlineStr">
        <is>
          <t>PRY-005</t>
        </is>
      </c>
      <c r="G2864" t="inlineStr">
        <is>
          <t>Instagram</t>
        </is>
      </c>
      <c r="H2864" t="inlineStr">
        <is>
          <t>Luis Bedoya</t>
        </is>
      </c>
      <c r="I2864" t="inlineStr">
        <is>
          <t>Perdido</t>
        </is>
      </c>
      <c r="J2864" s="28" t="n">
        <v>46147</v>
      </c>
      <c r="K2864" s="28" t="n">
        <v>46188</v>
      </c>
      <c r="L2864" t="inlineStr">
        <is>
          <t>Crédito no aprobado</t>
        </is>
      </c>
    </row>
    <row r="2865">
      <c r="A2865" t="inlineStr">
        <is>
          <t>CLI-2863</t>
        </is>
      </c>
      <c r="B2865" t="inlineStr">
        <is>
          <t>Emilio Zuluaga Franco</t>
        </is>
      </c>
      <c r="C2865" t="inlineStr">
        <is>
          <t>3149906725</t>
        </is>
      </c>
      <c r="D2865" t="inlineStr">
        <is>
          <t>emilio.zuluaga53@outlook.com</t>
        </is>
      </c>
      <c r="E2865" t="inlineStr">
        <is>
          <t>Envigado</t>
        </is>
      </c>
      <c r="F2865" t="inlineStr">
        <is>
          <t>PRY-007</t>
        </is>
      </c>
      <c r="G2865" t="inlineStr">
        <is>
          <t>Referido</t>
        </is>
      </c>
      <c r="H2865" t="inlineStr">
        <is>
          <t>Sofía Prada</t>
        </is>
      </c>
      <c r="I2865" t="inlineStr">
        <is>
          <t>En contacto</t>
        </is>
      </c>
      <c r="J2865" s="28" t="n">
        <v>46147</v>
      </c>
      <c r="K2865" s="28" t="n">
        <v>46208</v>
      </c>
      <c r="L2865" t="inlineStr">
        <is>
          <t>Interesado, pidió plano de la unidad</t>
        </is>
      </c>
    </row>
    <row r="2866">
      <c r="A2866" t="inlineStr">
        <is>
          <t>CLI-2864</t>
        </is>
      </c>
      <c r="B2866" t="inlineStr">
        <is>
          <t>Mauricio Muñoz Cifuentes</t>
        </is>
      </c>
      <c r="C2866" t="inlineStr">
        <is>
          <t>3157533274</t>
        </is>
      </c>
      <c r="D2866" t="inlineStr">
        <is>
          <t>mauricio.munoz43@outlook.com</t>
        </is>
      </c>
      <c r="E2866" t="inlineStr">
        <is>
          <t>Medellín</t>
        </is>
      </c>
      <c r="F2866" t="inlineStr">
        <is>
          <t>PRY-001</t>
        </is>
      </c>
      <c r="G2866" t="inlineStr">
        <is>
          <t>Feria Inmobiliaria</t>
        </is>
      </c>
      <c r="H2866" t="inlineStr">
        <is>
          <t>Ana Quintero</t>
        </is>
      </c>
      <c r="I2866" t="inlineStr">
        <is>
          <t>Perdido</t>
        </is>
      </c>
      <c r="J2866" s="28" t="n">
        <v>46147</v>
      </c>
      <c r="K2866" s="28" t="n">
        <v>46152</v>
      </c>
      <c r="L2866" t="inlineStr">
        <is>
          <t>No calificó para crédito</t>
        </is>
      </c>
    </row>
    <row r="2867">
      <c r="A2867" t="inlineStr">
        <is>
          <t>CLI-2865</t>
        </is>
      </c>
      <c r="B2867" t="inlineStr">
        <is>
          <t>Nicolás Cardona Montes</t>
        </is>
      </c>
      <c r="C2867" t="inlineStr">
        <is>
          <t>3015061666</t>
        </is>
      </c>
      <c r="D2867" t="inlineStr">
        <is>
          <t>nicolas.cardona83@hotmail.com</t>
        </is>
      </c>
      <c r="E2867" t="inlineStr">
        <is>
          <t>La Estrella</t>
        </is>
      </c>
      <c r="F2867" t="inlineStr">
        <is>
          <t>PRY-006</t>
        </is>
      </c>
      <c r="G2867" t="inlineStr">
        <is>
          <t>Facebook</t>
        </is>
      </c>
      <c r="H2867" t="inlineStr">
        <is>
          <t>Santiago Muñoz</t>
        </is>
      </c>
      <c r="I2867" t="inlineStr">
        <is>
          <t>Perdido</t>
        </is>
      </c>
      <c r="J2867" s="28" t="n">
        <v>46147</v>
      </c>
      <c r="K2867" s="28" t="n">
        <v>46155</v>
      </c>
      <c r="L2867" t="inlineStr">
        <is>
          <t>Buscaba arriendo, no compra</t>
        </is>
      </c>
    </row>
    <row r="2868">
      <c r="A2868" t="inlineStr">
        <is>
          <t>CLI-2866</t>
        </is>
      </c>
      <c r="B2868" t="inlineStr">
        <is>
          <t>Katherine Rojas Montes</t>
        </is>
      </c>
      <c r="C2868" t="inlineStr">
        <is>
          <t>3013360371</t>
        </is>
      </c>
      <c r="D2868" t="inlineStr">
        <is>
          <t>katherine.rojas64@outlook.com</t>
        </is>
      </c>
      <c r="E2868" t="inlineStr">
        <is>
          <t>Itagüí</t>
        </is>
      </c>
      <c r="F2868" t="inlineStr">
        <is>
          <t>PRY-008</t>
        </is>
      </c>
      <c r="G2868" t="inlineStr">
        <is>
          <t>Portal Web</t>
        </is>
      </c>
      <c r="H2868" t="inlineStr">
        <is>
          <t>Ana Quintero</t>
        </is>
      </c>
      <c r="I2868" t="inlineStr">
        <is>
          <t>Perdido</t>
        </is>
      </c>
      <c r="J2868" s="28" t="n">
        <v>46147</v>
      </c>
      <c r="K2868" s="28" t="n">
        <v>46153</v>
      </c>
      <c r="L2868" t="inlineStr">
        <is>
          <t>No calificó para crédito</t>
        </is>
      </c>
    </row>
    <row r="2869">
      <c r="A2869" t="inlineStr">
        <is>
          <t>CLI-2867</t>
        </is>
      </c>
      <c r="B2869" t="inlineStr">
        <is>
          <t>Rodrigo López Zapata</t>
        </is>
      </c>
      <c r="C2869" t="inlineStr">
        <is>
          <t>3159660223</t>
        </is>
      </c>
      <c r="D2869" t="inlineStr">
        <is>
          <t>rodrigo.lopez79@hotmail.com</t>
        </is>
      </c>
      <c r="E2869" t="inlineStr">
        <is>
          <t>Medellín</t>
        </is>
      </c>
      <c r="F2869" t="inlineStr">
        <is>
          <t>PRY-001</t>
        </is>
      </c>
      <c r="G2869" t="inlineStr">
        <is>
          <t>Portal Web</t>
        </is>
      </c>
      <c r="H2869" t="inlineStr">
        <is>
          <t>Sofía Prada</t>
        </is>
      </c>
      <c r="I2869" t="inlineStr">
        <is>
          <t>Perdido</t>
        </is>
      </c>
      <c r="J2869" s="28" t="n">
        <v>46147</v>
      </c>
      <c r="K2869" s="28" t="n">
        <v>46167</v>
      </c>
      <c r="L2869" t="inlineStr">
        <is>
          <t>No calificó para crédito</t>
        </is>
      </c>
    </row>
    <row r="2870">
      <c r="A2870" t="inlineStr">
        <is>
          <t>CLI-2868</t>
        </is>
      </c>
      <c r="B2870" t="inlineStr">
        <is>
          <t>Alejandra Vargas Muñoz</t>
        </is>
      </c>
      <c r="C2870" t="inlineStr">
        <is>
          <t>3014946926</t>
        </is>
      </c>
      <c r="D2870" t="inlineStr">
        <is>
          <t>alejandra.vargas3@hotmail.com</t>
        </is>
      </c>
      <c r="E2870" t="inlineStr">
        <is>
          <t>Medellín</t>
        </is>
      </c>
      <c r="F2870" t="inlineStr">
        <is>
          <t>PRY-001</t>
        </is>
      </c>
      <c r="G2870" t="inlineStr">
        <is>
          <t>Instagram</t>
        </is>
      </c>
      <c r="H2870" t="inlineStr">
        <is>
          <t>Luis Bedoya</t>
        </is>
      </c>
      <c r="I2870" t="inlineStr">
        <is>
          <t>Ganado</t>
        </is>
      </c>
      <c r="J2870" s="28" t="n">
        <v>46148</v>
      </c>
      <c r="K2870" s="28" t="n">
        <v>46224</v>
      </c>
      <c r="L2870" t="inlineStr">
        <is>
          <t>Compró Apto 1204 en Torres del Poblado</t>
        </is>
      </c>
    </row>
    <row r="2871">
      <c r="A2871" t="inlineStr">
        <is>
          <t>CLI-2869</t>
        </is>
      </c>
      <c r="B2871" t="inlineStr">
        <is>
          <t>Patricia Peláez Valencia</t>
        </is>
      </c>
      <c r="C2871" t="inlineStr">
        <is>
          <t>3043168370</t>
        </is>
      </c>
      <c r="D2871" t="inlineStr">
        <is>
          <t>patricia.pelaez43@gmail.com</t>
        </is>
      </c>
      <c r="E2871" t="inlineStr">
        <is>
          <t>Medellín</t>
        </is>
      </c>
      <c r="F2871" t="inlineStr">
        <is>
          <t>PRY-008</t>
        </is>
      </c>
      <c r="G2871" t="inlineStr">
        <is>
          <t>Llamada directa</t>
        </is>
      </c>
      <c r="H2871" t="inlineStr">
        <is>
          <t>Ana Quintero</t>
        </is>
      </c>
      <c r="I2871" t="inlineStr">
        <is>
          <t>Ganado</t>
        </is>
      </c>
      <c r="J2871" s="28" t="n">
        <v>46148</v>
      </c>
      <c r="K2871" s="28" t="n">
        <v>46224</v>
      </c>
      <c r="L2871" t="inlineStr">
        <is>
          <t>Compró Casa 93 en Valle Verde Itagüí</t>
        </is>
      </c>
    </row>
    <row r="2872">
      <c r="A2872" t="inlineStr">
        <is>
          <t>CLI-2870</t>
        </is>
      </c>
      <c r="B2872" t="inlineStr">
        <is>
          <t>Daniela Cano Vélez</t>
        </is>
      </c>
      <c r="C2872" t="inlineStr">
        <is>
          <t>3221714351</t>
        </is>
      </c>
      <c r="D2872" t="inlineStr">
        <is>
          <t>daniela.cano93@gmail.com</t>
        </is>
      </c>
      <c r="E2872" t="inlineStr">
        <is>
          <t>Envigado</t>
        </is>
      </c>
      <c r="F2872" t="inlineStr">
        <is>
          <t>PRY-003</t>
        </is>
      </c>
      <c r="G2872" t="inlineStr">
        <is>
          <t>Portal Web</t>
        </is>
      </c>
      <c r="H2872" t="inlineStr">
        <is>
          <t>Luis Bedoya</t>
        </is>
      </c>
      <c r="I2872" t="inlineStr">
        <is>
          <t>Perdido</t>
        </is>
      </c>
      <c r="J2872" s="28" t="n">
        <v>46148</v>
      </c>
      <c r="K2872" s="28" t="n">
        <v>46166</v>
      </c>
      <c r="L2872" t="inlineStr">
        <is>
          <t>Sin respuesta tras 3 contactos</t>
        </is>
      </c>
    </row>
    <row r="2873">
      <c r="A2873" t="inlineStr">
        <is>
          <t>CLI-2871</t>
        </is>
      </c>
      <c r="B2873" t="inlineStr">
        <is>
          <t>Emilio Duque Bedoya</t>
        </is>
      </c>
      <c r="C2873" t="inlineStr">
        <is>
          <t>3134230052</t>
        </is>
      </c>
      <c r="D2873" t="inlineStr">
        <is>
          <t>emilio.duque63@gmail.com</t>
        </is>
      </c>
      <c r="E2873" t="inlineStr">
        <is>
          <t>Rionegro</t>
        </is>
      </c>
      <c r="F2873" t="inlineStr">
        <is>
          <t>PRY-002</t>
        </is>
      </c>
      <c r="G2873" t="inlineStr">
        <is>
          <t>Facebook</t>
        </is>
      </c>
      <c r="H2873" t="inlineStr">
        <is>
          <t>Miguel Salazar</t>
        </is>
      </c>
      <c r="I2873" t="inlineStr">
        <is>
          <t>Perdido</t>
        </is>
      </c>
      <c r="J2873" s="28" t="n">
        <v>46148</v>
      </c>
      <c r="K2873" s="28" t="n">
        <v>46163</v>
      </c>
      <c r="L2873" t="inlineStr">
        <is>
          <t>No calificó para crédito</t>
        </is>
      </c>
    </row>
    <row r="2874">
      <c r="A2874" t="inlineStr">
        <is>
          <t>CLI-2872</t>
        </is>
      </c>
      <c r="B2874" t="inlineStr">
        <is>
          <t>Mauricio Palacio Vásquez</t>
        </is>
      </c>
      <c r="C2874" t="inlineStr">
        <is>
          <t>3158813425</t>
        </is>
      </c>
      <c r="D2874" t="inlineStr">
        <is>
          <t>mauricio.palacio85@gmail.com</t>
        </is>
      </c>
      <c r="E2874" t="inlineStr">
        <is>
          <t>Sabaneta</t>
        </is>
      </c>
      <c r="F2874" t="inlineStr">
        <is>
          <t>PRY-002</t>
        </is>
      </c>
      <c r="G2874" t="inlineStr">
        <is>
          <t>Instagram</t>
        </is>
      </c>
      <c r="H2874" t="inlineStr">
        <is>
          <t>Santiago Muñoz</t>
        </is>
      </c>
      <c r="I2874" t="inlineStr">
        <is>
          <t>Propuesta enviada</t>
        </is>
      </c>
      <c r="J2874" s="28" t="n">
        <v>46149</v>
      </c>
      <c r="K2874" s="28" t="n">
        <v>46207</v>
      </c>
      <c r="L2874" t="inlineStr">
        <is>
          <t>Cotización enviada</t>
        </is>
      </c>
    </row>
    <row r="2875">
      <c r="A2875" t="inlineStr">
        <is>
          <t>CLI-2873</t>
        </is>
      </c>
      <c r="B2875" t="inlineStr">
        <is>
          <t>Mariana Uribe Salazar</t>
        </is>
      </c>
      <c r="C2875" t="inlineStr">
        <is>
          <t>3223540300</t>
        </is>
      </c>
      <c r="D2875" t="inlineStr">
        <is>
          <t>mariana.uribe29@hotmail.com</t>
        </is>
      </c>
      <c r="E2875" t="inlineStr">
        <is>
          <t>Rionegro</t>
        </is>
      </c>
      <c r="F2875" t="inlineStr">
        <is>
          <t>PRY-005</t>
        </is>
      </c>
      <c r="G2875" t="inlineStr">
        <is>
          <t>Portal Web</t>
        </is>
      </c>
      <c r="H2875" t="inlineStr">
        <is>
          <t>Luis Bedoya</t>
        </is>
      </c>
      <c r="I2875" t="inlineStr">
        <is>
          <t>Perdido</t>
        </is>
      </c>
      <c r="J2875" s="28" t="n">
        <v>46149</v>
      </c>
      <c r="K2875" s="28" t="n">
        <v>46172</v>
      </c>
      <c r="L2875" t="inlineStr">
        <is>
          <t>Datos de contacto errados</t>
        </is>
      </c>
    </row>
    <row r="2876">
      <c r="A2876" t="inlineStr">
        <is>
          <t>CLI-2874</t>
        </is>
      </c>
      <c r="B2876" t="inlineStr">
        <is>
          <t>Mauricio Peláez Álvarez</t>
        </is>
      </c>
      <c r="C2876" t="inlineStr">
        <is>
          <t>3147387497</t>
        </is>
      </c>
      <c r="D2876" t="inlineStr">
        <is>
          <t>mauricio.pelaez77@hotmail.com</t>
        </is>
      </c>
      <c r="E2876" t="inlineStr">
        <is>
          <t>Envigado</t>
        </is>
      </c>
      <c r="F2876" t="inlineStr">
        <is>
          <t>PRY-007</t>
        </is>
      </c>
      <c r="G2876" t="inlineStr">
        <is>
          <t>Feria Inmobiliaria</t>
        </is>
      </c>
      <c r="H2876" t="inlineStr">
        <is>
          <t>Mateo Herrera</t>
        </is>
      </c>
      <c r="I2876" t="inlineStr">
        <is>
          <t>Nuevo lead</t>
        </is>
      </c>
      <c r="J2876" s="28" t="n">
        <v>46150</v>
      </c>
      <c r="K2876" s="28" t="n">
        <v>46213</v>
      </c>
      <c r="L2876" t="inlineStr">
        <is>
          <t>Solicitó información por formulario</t>
        </is>
      </c>
    </row>
    <row r="2877">
      <c r="A2877" t="inlineStr">
        <is>
          <t>CLI-2875</t>
        </is>
      </c>
      <c r="B2877" t="inlineStr">
        <is>
          <t>Julián Sánchez Londoño</t>
        </is>
      </c>
      <c r="C2877" t="inlineStr">
        <is>
          <t>3141826306</t>
        </is>
      </c>
      <c r="D2877" t="inlineStr">
        <is>
          <t>julian.sanchez34@gmail.com</t>
        </is>
      </c>
      <c r="E2877" t="inlineStr">
        <is>
          <t>Rionegro</t>
        </is>
      </c>
      <c r="F2877" t="inlineStr">
        <is>
          <t>PRY-007</t>
        </is>
      </c>
      <c r="G2877" t="inlineStr">
        <is>
          <t>Referido</t>
        </is>
      </c>
      <c r="H2877" t="inlineStr">
        <is>
          <t>Andrés Torres</t>
        </is>
      </c>
      <c r="I2877" t="inlineStr">
        <is>
          <t>Perdido</t>
        </is>
      </c>
      <c r="J2877" s="28" t="n">
        <v>46150</v>
      </c>
      <c r="K2877" s="28" t="n">
        <v>46164</v>
      </c>
      <c r="L2877" t="inlineStr">
        <is>
          <t>No calificó para crédito</t>
        </is>
      </c>
    </row>
    <row r="2878">
      <c r="A2878" t="inlineStr">
        <is>
          <t>CLI-2876</t>
        </is>
      </c>
      <c r="B2878" t="inlineStr">
        <is>
          <t>José Arango Castaño</t>
        </is>
      </c>
      <c r="C2878" t="inlineStr">
        <is>
          <t>3138477900</t>
        </is>
      </c>
      <c r="D2878" t="inlineStr">
        <is>
          <t>jose.arango19@yahoo.com</t>
        </is>
      </c>
      <c r="E2878" t="inlineStr">
        <is>
          <t>Bello</t>
        </is>
      </c>
      <c r="F2878" t="inlineStr">
        <is>
          <t>PRY-001</t>
        </is>
      </c>
      <c r="G2878" t="inlineStr">
        <is>
          <t>Instagram</t>
        </is>
      </c>
      <c r="H2878" t="inlineStr">
        <is>
          <t>Ana Quintero</t>
        </is>
      </c>
      <c r="I2878" t="inlineStr">
        <is>
          <t>Perdido</t>
        </is>
      </c>
      <c r="J2878" s="28" t="n">
        <v>46150</v>
      </c>
      <c r="K2878" s="28" t="n">
        <v>46168</v>
      </c>
      <c r="L2878" t="inlineStr">
        <is>
          <t>Sin respuesta tras 3 contactos</t>
        </is>
      </c>
    </row>
    <row r="2879">
      <c r="A2879" t="inlineStr">
        <is>
          <t>CLI-2877</t>
        </is>
      </c>
      <c r="B2879" t="inlineStr">
        <is>
          <t>Carlos Cano Correa</t>
        </is>
      </c>
      <c r="C2879" t="inlineStr">
        <is>
          <t>3154444417</t>
        </is>
      </c>
      <c r="D2879" t="inlineStr">
        <is>
          <t>carlos.cano99@hotmail.com</t>
        </is>
      </c>
      <c r="E2879" t="inlineStr">
        <is>
          <t>Medellín</t>
        </is>
      </c>
      <c r="F2879" t="inlineStr">
        <is>
          <t>PRY-003</t>
        </is>
      </c>
      <c r="G2879" t="inlineStr">
        <is>
          <t>Instagram</t>
        </is>
      </c>
      <c r="H2879" t="inlineStr">
        <is>
          <t>Santiago Muñoz</t>
        </is>
      </c>
      <c r="I2879" t="inlineStr">
        <is>
          <t>Perdido</t>
        </is>
      </c>
      <c r="J2879" s="28" t="n">
        <v>46151</v>
      </c>
      <c r="K2879" s="28" t="n">
        <v>46158</v>
      </c>
      <c r="L2879" t="inlineStr">
        <is>
          <t>No calificó para crédito</t>
        </is>
      </c>
    </row>
    <row r="2880">
      <c r="A2880" t="inlineStr">
        <is>
          <t>CLI-2878</t>
        </is>
      </c>
      <c r="B2880" t="inlineStr">
        <is>
          <t>Alejandra Giraldo Vargas</t>
        </is>
      </c>
      <c r="C2880" t="inlineStr">
        <is>
          <t>3227052958</t>
        </is>
      </c>
      <c r="D2880" t="inlineStr">
        <is>
          <t>alejandra.giraldo64@gmail.com</t>
        </is>
      </c>
      <c r="E2880" t="inlineStr">
        <is>
          <t>Itagüí</t>
        </is>
      </c>
      <c r="F2880" t="inlineStr">
        <is>
          <t>PRY-002</t>
        </is>
      </c>
      <c r="G2880" t="inlineStr">
        <is>
          <t>Facebook</t>
        </is>
      </c>
      <c r="H2880" t="inlineStr">
        <is>
          <t>Andrés Torres</t>
        </is>
      </c>
      <c r="I2880" t="inlineStr">
        <is>
          <t>Perdido</t>
        </is>
      </c>
      <c r="J2880" s="28" t="n">
        <v>46151</v>
      </c>
      <c r="K2880" s="28" t="n">
        <v>46170</v>
      </c>
      <c r="L2880" t="inlineStr">
        <is>
          <t>No calificó para crédito</t>
        </is>
      </c>
    </row>
    <row r="2881">
      <c r="A2881" t="inlineStr">
        <is>
          <t>CLI-2879</t>
        </is>
      </c>
      <c r="B2881" t="inlineStr">
        <is>
          <t>Hernán Cano Osorio</t>
        </is>
      </c>
      <c r="C2881" t="inlineStr">
        <is>
          <t>3043000233</t>
        </is>
      </c>
      <c r="D2881" t="inlineStr">
        <is>
          <t>hernan.cano74@yahoo.com</t>
        </is>
      </c>
      <c r="E2881" t="inlineStr">
        <is>
          <t>La Estrella</t>
        </is>
      </c>
      <c r="F2881" t="inlineStr">
        <is>
          <t>PRY-007</t>
        </is>
      </c>
      <c r="G2881" t="inlineStr">
        <is>
          <t>Facebook</t>
        </is>
      </c>
      <c r="H2881" t="inlineStr">
        <is>
          <t>Paula Arenas</t>
        </is>
      </c>
      <c r="I2881" t="inlineStr">
        <is>
          <t>Perdido</t>
        </is>
      </c>
      <c r="J2881" s="28" t="n">
        <v>46151</v>
      </c>
      <c r="K2881" s="28" t="n">
        <v>46167</v>
      </c>
      <c r="L2881" t="inlineStr">
        <is>
          <t>Sin respuesta tras 3 contactos</t>
        </is>
      </c>
    </row>
    <row r="2882">
      <c r="A2882" t="inlineStr">
        <is>
          <t>CLI-2880</t>
        </is>
      </c>
      <c r="B2882" t="inlineStr">
        <is>
          <t>Andrés Restrepo Cano</t>
        </is>
      </c>
      <c r="C2882" t="inlineStr">
        <is>
          <t>3152977927</t>
        </is>
      </c>
      <c r="D2882" t="inlineStr">
        <is>
          <t>andres.restrepo82@yahoo.com</t>
        </is>
      </c>
      <c r="E2882" t="inlineStr">
        <is>
          <t>Medellín</t>
        </is>
      </c>
      <c r="F2882" t="inlineStr">
        <is>
          <t>PRY-003</t>
        </is>
      </c>
      <c r="G2882" t="inlineStr">
        <is>
          <t>Portal Web</t>
        </is>
      </c>
      <c r="H2882" t="inlineStr">
        <is>
          <t>Paula Arenas</t>
        </is>
      </c>
      <c r="I2882" t="inlineStr">
        <is>
          <t>Visita agendada</t>
        </is>
      </c>
      <c r="J2882" s="28" t="n">
        <v>46152</v>
      </c>
      <c r="K2882" s="28" t="n">
        <v>46208</v>
      </c>
      <c r="L2882" t="inlineStr">
        <is>
          <t>Visita a sala de ventas agendada</t>
        </is>
      </c>
    </row>
    <row r="2883">
      <c r="A2883" t="inlineStr">
        <is>
          <t>CLI-2881</t>
        </is>
      </c>
      <c r="B2883" t="inlineStr">
        <is>
          <t>Carolina Zuluaga Ochoa</t>
        </is>
      </c>
      <c r="C2883" t="inlineStr">
        <is>
          <t>3176871197</t>
        </is>
      </c>
      <c r="D2883" t="inlineStr">
        <is>
          <t>carolina.zuluaga18@gmail.com</t>
        </is>
      </c>
      <c r="E2883" t="inlineStr">
        <is>
          <t>La Estrella</t>
        </is>
      </c>
      <c r="F2883" t="inlineStr">
        <is>
          <t>PRY-002</t>
        </is>
      </c>
      <c r="G2883" t="inlineStr">
        <is>
          <t>Feria Inmobiliaria</t>
        </is>
      </c>
      <c r="H2883" t="inlineStr">
        <is>
          <t>Luis Bedoya</t>
        </is>
      </c>
      <c r="I2883" t="inlineStr">
        <is>
          <t>Perdido</t>
        </is>
      </c>
      <c r="J2883" s="28" t="n">
        <v>46152</v>
      </c>
      <c r="K2883" s="28" t="n">
        <v>46163</v>
      </c>
      <c r="L2883" t="inlineStr">
        <is>
          <t>Sin respuesta tras 3 contactos</t>
        </is>
      </c>
    </row>
    <row r="2884">
      <c r="A2884" t="inlineStr">
        <is>
          <t>CLI-2882</t>
        </is>
      </c>
      <c r="B2884" t="inlineStr">
        <is>
          <t>Fernando Ríos Marín</t>
        </is>
      </c>
      <c r="C2884" t="inlineStr">
        <is>
          <t>3133028856</t>
        </is>
      </c>
      <c r="D2884" t="inlineStr">
        <is>
          <t>fernando.rios54@gmail.com</t>
        </is>
      </c>
      <c r="E2884" t="inlineStr">
        <is>
          <t>Envigado</t>
        </is>
      </c>
      <c r="F2884" t="inlineStr">
        <is>
          <t>PRY-007</t>
        </is>
      </c>
      <c r="G2884" t="inlineStr">
        <is>
          <t>Llamada directa</t>
        </is>
      </c>
      <c r="H2884" t="inlineStr">
        <is>
          <t>Luis Bedoya</t>
        </is>
      </c>
      <c r="I2884" t="inlineStr">
        <is>
          <t>En contacto</t>
        </is>
      </c>
      <c r="J2884" s="28" t="n">
        <v>46153</v>
      </c>
      <c r="K2884" s="28" t="n">
        <v>46208</v>
      </c>
      <c r="L2884" t="inlineStr">
        <is>
          <t>Interesado, pidió plano de la unidad</t>
        </is>
      </c>
    </row>
    <row r="2885">
      <c r="A2885" t="inlineStr">
        <is>
          <t>CLI-2883</t>
        </is>
      </c>
      <c r="B2885" t="inlineStr">
        <is>
          <t>Sandra Jaramillo Valencia</t>
        </is>
      </c>
      <c r="C2885" t="inlineStr">
        <is>
          <t>3008733254</t>
        </is>
      </c>
      <c r="D2885" t="inlineStr">
        <is>
          <t>sandra.jaramillo63@gmail.com</t>
        </is>
      </c>
      <c r="E2885" t="inlineStr">
        <is>
          <t>Medellín</t>
        </is>
      </c>
      <c r="F2885" t="inlineStr">
        <is>
          <t>PRY-003</t>
        </is>
      </c>
      <c r="G2885" t="inlineStr">
        <is>
          <t>Facebook</t>
        </is>
      </c>
      <c r="H2885" t="inlineStr">
        <is>
          <t>Paula Arenas</t>
        </is>
      </c>
      <c r="I2885" t="inlineStr">
        <is>
          <t>Perdido</t>
        </is>
      </c>
      <c r="J2885" s="28" t="n">
        <v>46153</v>
      </c>
      <c r="K2885" s="28" t="n">
        <v>46177</v>
      </c>
      <c r="L2885" t="inlineStr">
        <is>
          <t>Sin respuesta tras 3 contactos</t>
        </is>
      </c>
    </row>
    <row r="2886">
      <c r="A2886" t="inlineStr">
        <is>
          <t>CLI-2884</t>
        </is>
      </c>
      <c r="B2886" t="inlineStr">
        <is>
          <t>Catalina Montes Higuita</t>
        </is>
      </c>
      <c r="C2886" t="inlineStr">
        <is>
          <t>3236461189</t>
        </is>
      </c>
      <c r="D2886" t="inlineStr">
        <is>
          <t>catalina.montes88@gmail.com</t>
        </is>
      </c>
      <c r="E2886" t="inlineStr">
        <is>
          <t>Itagüí</t>
        </is>
      </c>
      <c r="F2886" t="inlineStr">
        <is>
          <t>PRY-008</t>
        </is>
      </c>
      <c r="G2886" t="inlineStr">
        <is>
          <t>Instagram</t>
        </is>
      </c>
      <c r="H2886" t="inlineStr">
        <is>
          <t>Santiago Muñoz</t>
        </is>
      </c>
      <c r="I2886" t="inlineStr">
        <is>
          <t>Perdido</t>
        </is>
      </c>
      <c r="J2886" s="28" t="n">
        <v>46153</v>
      </c>
      <c r="K2886" s="28" t="n">
        <v>46179</v>
      </c>
      <c r="L2886" t="inlineStr">
        <is>
          <t>Presupuesto insuficiente</t>
        </is>
      </c>
    </row>
    <row r="2887">
      <c r="A2887" t="inlineStr">
        <is>
          <t>CLI-2885</t>
        </is>
      </c>
      <c r="B2887" t="inlineStr">
        <is>
          <t>Nicolás Escobar López</t>
        </is>
      </c>
      <c r="C2887" t="inlineStr">
        <is>
          <t>3143520320</t>
        </is>
      </c>
      <c r="D2887" t="inlineStr">
        <is>
          <t>nicolas.escobar99@yahoo.com</t>
        </is>
      </c>
      <c r="E2887" t="inlineStr">
        <is>
          <t>Rionegro</t>
        </is>
      </c>
      <c r="F2887" t="inlineStr">
        <is>
          <t>PRY-005</t>
        </is>
      </c>
      <c r="G2887" t="inlineStr">
        <is>
          <t>Feria Inmobiliaria</t>
        </is>
      </c>
      <c r="H2887" t="inlineStr">
        <is>
          <t>Luis Bedoya</t>
        </is>
      </c>
      <c r="I2887" t="inlineStr">
        <is>
          <t>Propuesta enviada</t>
        </is>
      </c>
      <c r="J2887" s="28" t="n">
        <v>46154</v>
      </c>
      <c r="K2887" s="28" t="n">
        <v>46205</v>
      </c>
      <c r="L2887" t="inlineStr">
        <is>
          <t>Evaluando plan de pagos</t>
        </is>
      </c>
    </row>
    <row r="2888">
      <c r="A2888" t="inlineStr">
        <is>
          <t>CLI-2886</t>
        </is>
      </c>
      <c r="B2888" t="inlineStr">
        <is>
          <t>Óscar Zapata Vélez</t>
        </is>
      </c>
      <c r="C2888" t="inlineStr">
        <is>
          <t>3133457412</t>
        </is>
      </c>
      <c r="D2888" t="inlineStr">
        <is>
          <t>oscar.zapata15@hotmail.com</t>
        </is>
      </c>
      <c r="E2888" t="inlineStr">
        <is>
          <t>Envigado</t>
        </is>
      </c>
      <c r="F2888" t="inlineStr">
        <is>
          <t>PRY-007</t>
        </is>
      </c>
      <c r="G2888" t="inlineStr">
        <is>
          <t>Portal Web</t>
        </is>
      </c>
      <c r="H2888" t="inlineStr">
        <is>
          <t>Sofía Prada</t>
        </is>
      </c>
      <c r="I2888" t="inlineStr">
        <is>
          <t>Perdido</t>
        </is>
      </c>
      <c r="J2888" s="28" t="n">
        <v>46154</v>
      </c>
      <c r="K2888" s="28" t="n">
        <v>46163</v>
      </c>
      <c r="L2888" t="inlineStr">
        <is>
          <t>Buscaba arriendo, no compra</t>
        </is>
      </c>
    </row>
    <row r="2889">
      <c r="A2889" t="inlineStr">
        <is>
          <t>CLI-2887</t>
        </is>
      </c>
      <c r="B2889" t="inlineStr">
        <is>
          <t>Emilio Ríos Álvarez</t>
        </is>
      </c>
      <c r="C2889" t="inlineStr">
        <is>
          <t>3019885292</t>
        </is>
      </c>
      <c r="D2889" t="inlineStr">
        <is>
          <t>emilio.rios60@outlook.com</t>
        </is>
      </c>
      <c r="E2889" t="inlineStr">
        <is>
          <t>Envigado</t>
        </is>
      </c>
      <c r="F2889" t="inlineStr">
        <is>
          <t>PRY-002</t>
        </is>
      </c>
      <c r="G2889" t="inlineStr">
        <is>
          <t>Portal Web</t>
        </is>
      </c>
      <c r="H2889" t="inlineStr">
        <is>
          <t>Daniela Ríos</t>
        </is>
      </c>
      <c r="I2889" t="inlineStr">
        <is>
          <t>Perdido</t>
        </is>
      </c>
      <c r="J2889" s="28" t="n">
        <v>46154</v>
      </c>
      <c r="K2889" s="28" t="n">
        <v>46166</v>
      </c>
      <c r="L2889" t="inlineStr">
        <is>
          <t>Sin respuesta tras 3 contactos</t>
        </is>
      </c>
    </row>
    <row r="2890">
      <c r="A2890" t="inlineStr">
        <is>
          <t>CLI-2888</t>
        </is>
      </c>
      <c r="B2890" t="inlineStr">
        <is>
          <t>Gabriel Escobar Bedoya</t>
        </is>
      </c>
      <c r="C2890" t="inlineStr">
        <is>
          <t>3139302120</t>
        </is>
      </c>
      <c r="D2890" t="inlineStr">
        <is>
          <t>gabriel.escobar43@gmail.com</t>
        </is>
      </c>
      <c r="E2890" t="inlineStr">
        <is>
          <t>Envigado</t>
        </is>
      </c>
      <c r="F2890" t="inlineStr">
        <is>
          <t>PRY-008</t>
        </is>
      </c>
      <c r="G2890" t="inlineStr">
        <is>
          <t>Portal Web</t>
        </is>
      </c>
      <c r="H2890" t="inlineStr">
        <is>
          <t>Paula Arenas</t>
        </is>
      </c>
      <c r="I2890" t="inlineStr">
        <is>
          <t>En contacto</t>
        </is>
      </c>
      <c r="J2890" s="28" t="n">
        <v>46155</v>
      </c>
      <c r="K2890" s="28" t="n">
        <v>46207</v>
      </c>
      <c r="L2890" t="inlineStr">
        <is>
          <t>Primera llamada realizada</t>
        </is>
      </c>
    </row>
    <row r="2891">
      <c r="A2891" t="inlineStr">
        <is>
          <t>CLI-2889</t>
        </is>
      </c>
      <c r="B2891" t="inlineStr">
        <is>
          <t>Sofía Uribe Vélez</t>
        </is>
      </c>
      <c r="C2891" t="inlineStr">
        <is>
          <t>3105508778</t>
        </is>
      </c>
      <c r="D2891" t="inlineStr">
        <is>
          <t>sofia.uribe26@gmail.com</t>
        </is>
      </c>
      <c r="E2891" t="inlineStr">
        <is>
          <t>Medellín</t>
        </is>
      </c>
      <c r="F2891" t="inlineStr">
        <is>
          <t>PRY-001</t>
        </is>
      </c>
      <c r="G2891" t="inlineStr">
        <is>
          <t>Feria Inmobiliaria</t>
        </is>
      </c>
      <c r="H2891" t="inlineStr">
        <is>
          <t>Sofía Prada</t>
        </is>
      </c>
      <c r="I2891" t="inlineStr">
        <is>
          <t>Perdido</t>
        </is>
      </c>
      <c r="J2891" s="28" t="n">
        <v>46155</v>
      </c>
      <c r="K2891" s="28" t="n">
        <v>46164</v>
      </c>
      <c r="L2891" t="inlineStr">
        <is>
          <t>Sin respuesta tras 3 contactos</t>
        </is>
      </c>
    </row>
    <row r="2892">
      <c r="A2892" t="inlineStr">
        <is>
          <t>CLI-2890</t>
        </is>
      </c>
      <c r="B2892" t="inlineStr">
        <is>
          <t>Gloria Salcedo Valencia</t>
        </is>
      </c>
      <c r="C2892" t="inlineStr">
        <is>
          <t>3102774012</t>
        </is>
      </c>
      <c r="D2892" t="inlineStr">
        <is>
          <t>gloria.salcedo7@yahoo.com</t>
        </is>
      </c>
      <c r="E2892" t="inlineStr">
        <is>
          <t>Itagüí</t>
        </is>
      </c>
      <c r="F2892" t="inlineStr">
        <is>
          <t>PRY-007</t>
        </is>
      </c>
      <c r="G2892" t="inlineStr">
        <is>
          <t>Portal Web</t>
        </is>
      </c>
      <c r="H2892" t="inlineStr">
        <is>
          <t>Luis Bedoya</t>
        </is>
      </c>
      <c r="I2892" t="inlineStr">
        <is>
          <t>Perdido</t>
        </is>
      </c>
      <c r="J2892" s="28" t="n">
        <v>46155</v>
      </c>
      <c r="K2892" s="28" t="n">
        <v>46170</v>
      </c>
      <c r="L2892" t="inlineStr">
        <is>
          <t>Sin respuesta tras 3 contactos</t>
        </is>
      </c>
    </row>
    <row r="2893">
      <c r="A2893" t="inlineStr">
        <is>
          <t>CLI-2891</t>
        </is>
      </c>
      <c r="B2893" t="inlineStr">
        <is>
          <t>José Palacio Montes</t>
        </is>
      </c>
      <c r="C2893" t="inlineStr">
        <is>
          <t>3178666726</t>
        </is>
      </c>
      <c r="D2893" t="inlineStr">
        <is>
          <t>jose.palacio98@gmail.com</t>
        </is>
      </c>
      <c r="E2893" t="inlineStr">
        <is>
          <t>Medellín</t>
        </is>
      </c>
      <c r="F2893" t="inlineStr">
        <is>
          <t>PRY-001</t>
        </is>
      </c>
      <c r="G2893" t="inlineStr">
        <is>
          <t>Feria Inmobiliaria</t>
        </is>
      </c>
      <c r="H2893" t="inlineStr">
        <is>
          <t>Luis Bedoya</t>
        </is>
      </c>
      <c r="I2893" t="inlineStr">
        <is>
          <t>Perdido</t>
        </is>
      </c>
      <c r="J2893" s="28" t="n">
        <v>46155</v>
      </c>
      <c r="K2893" s="28" t="n">
        <v>46170</v>
      </c>
      <c r="L2893" t="inlineStr">
        <is>
          <t>Presupuesto insuficiente</t>
        </is>
      </c>
    </row>
    <row r="2894">
      <c r="A2894" t="inlineStr">
        <is>
          <t>CLI-2892</t>
        </is>
      </c>
      <c r="B2894" t="inlineStr">
        <is>
          <t>Manuela Londoño Salazar</t>
        </is>
      </c>
      <c r="C2894" t="inlineStr">
        <is>
          <t>3231422872</t>
        </is>
      </c>
      <c r="D2894" t="inlineStr">
        <is>
          <t>manuela.londono59@hotmail.com</t>
        </is>
      </c>
      <c r="E2894" t="inlineStr">
        <is>
          <t>Medellín</t>
        </is>
      </c>
      <c r="F2894" t="inlineStr">
        <is>
          <t>PRY-001</t>
        </is>
      </c>
      <c r="G2894" t="inlineStr">
        <is>
          <t>Facebook</t>
        </is>
      </c>
      <c r="H2894" t="inlineStr">
        <is>
          <t>Miguel Salazar</t>
        </is>
      </c>
      <c r="I2894" t="inlineStr">
        <is>
          <t>Perdido</t>
        </is>
      </c>
      <c r="J2894" s="28" t="n">
        <v>46155</v>
      </c>
      <c r="K2894" s="28" t="n">
        <v>46166</v>
      </c>
      <c r="L2894" t="inlineStr">
        <is>
          <t>Sin respuesta tras 3 contactos</t>
        </is>
      </c>
    </row>
    <row r="2895">
      <c r="A2895" t="inlineStr">
        <is>
          <t>CLI-2893</t>
        </is>
      </c>
      <c r="B2895" t="inlineStr">
        <is>
          <t>Cristian Restrepo Espinosa</t>
        </is>
      </c>
      <c r="C2895" t="inlineStr">
        <is>
          <t>3203021233</t>
        </is>
      </c>
      <c r="D2895" t="inlineStr">
        <is>
          <t>cristian.restrepo33@gmail.com</t>
        </is>
      </c>
      <c r="E2895" t="inlineStr">
        <is>
          <t>Medellín</t>
        </is>
      </c>
      <c r="F2895" t="inlineStr">
        <is>
          <t>PRY-006</t>
        </is>
      </c>
      <c r="G2895" t="inlineStr">
        <is>
          <t>Facebook</t>
        </is>
      </c>
      <c r="H2895" t="inlineStr">
        <is>
          <t>Andrés Torres</t>
        </is>
      </c>
      <c r="I2895" t="inlineStr">
        <is>
          <t>Perdido</t>
        </is>
      </c>
      <c r="J2895" s="28" t="n">
        <v>46155</v>
      </c>
      <c r="K2895" s="28" t="n">
        <v>46172</v>
      </c>
      <c r="L2895" t="inlineStr">
        <is>
          <t>Datos de contacto errados</t>
        </is>
      </c>
    </row>
    <row r="2896">
      <c r="A2896" t="inlineStr">
        <is>
          <t>CLI-2894</t>
        </is>
      </c>
      <c r="B2896" t="inlineStr">
        <is>
          <t>Felipe Jaramillo Giraldo</t>
        </is>
      </c>
      <c r="C2896" t="inlineStr">
        <is>
          <t>3014293144</t>
        </is>
      </c>
      <c r="D2896" t="inlineStr">
        <is>
          <t>felipe.jaramillo90@gmail.com</t>
        </is>
      </c>
      <c r="E2896" t="inlineStr">
        <is>
          <t>Itagüí</t>
        </is>
      </c>
      <c r="F2896" t="inlineStr">
        <is>
          <t>PRY-006</t>
        </is>
      </c>
      <c r="G2896" t="inlineStr">
        <is>
          <t>Facebook</t>
        </is>
      </c>
      <c r="H2896" t="inlineStr">
        <is>
          <t>Ana Quintero</t>
        </is>
      </c>
      <c r="I2896" t="inlineStr">
        <is>
          <t>Perdido</t>
        </is>
      </c>
      <c r="J2896" s="28" t="n">
        <v>46156</v>
      </c>
      <c r="K2896" s="28" t="n">
        <v>46172</v>
      </c>
      <c r="L2896" t="inlineStr">
        <is>
          <t>Datos de contacto errados</t>
        </is>
      </c>
    </row>
    <row r="2897">
      <c r="A2897" t="inlineStr">
        <is>
          <t>CLI-2895</t>
        </is>
      </c>
      <c r="B2897" t="inlineStr">
        <is>
          <t>María Gómez Vásquez</t>
        </is>
      </c>
      <c r="C2897" t="inlineStr">
        <is>
          <t>3134339713</t>
        </is>
      </c>
      <c r="D2897" t="inlineStr">
        <is>
          <t>maria.gomez70@gmail.com</t>
        </is>
      </c>
      <c r="E2897" t="inlineStr">
        <is>
          <t>Medellín</t>
        </is>
      </c>
      <c r="F2897" t="inlineStr">
        <is>
          <t>PRY-001</t>
        </is>
      </c>
      <c r="G2897" t="inlineStr">
        <is>
          <t>Instagram</t>
        </is>
      </c>
      <c r="H2897" t="inlineStr">
        <is>
          <t>Juliana Vélez</t>
        </is>
      </c>
      <c r="I2897" t="inlineStr">
        <is>
          <t>Perdido</t>
        </is>
      </c>
      <c r="J2897" s="28" t="n">
        <v>46156</v>
      </c>
      <c r="K2897" s="28" t="n">
        <v>46182</v>
      </c>
      <c r="L2897" t="inlineStr">
        <is>
          <t>No calificó para crédito</t>
        </is>
      </c>
    </row>
    <row r="2898">
      <c r="A2898" t="inlineStr">
        <is>
          <t>CLI-2896</t>
        </is>
      </c>
      <c r="B2898" t="inlineStr">
        <is>
          <t>Paula Salazar Escobar</t>
        </is>
      </c>
      <c r="C2898" t="inlineStr">
        <is>
          <t>3152760389</t>
        </is>
      </c>
      <c r="D2898" t="inlineStr">
        <is>
          <t>paula.salazar5@outlook.com</t>
        </is>
      </c>
      <c r="E2898" t="inlineStr">
        <is>
          <t>Medellín</t>
        </is>
      </c>
      <c r="F2898" t="inlineStr">
        <is>
          <t>PRY-001</t>
        </is>
      </c>
      <c r="G2898" t="inlineStr">
        <is>
          <t>Portal Web</t>
        </is>
      </c>
      <c r="H2898" t="inlineStr">
        <is>
          <t>Sofía Prada</t>
        </is>
      </c>
      <c r="I2898" t="inlineStr">
        <is>
          <t>Perdido</t>
        </is>
      </c>
      <c r="J2898" s="28" t="n">
        <v>46156</v>
      </c>
      <c r="K2898" s="28" t="n">
        <v>46161</v>
      </c>
      <c r="L2898" t="inlineStr">
        <is>
          <t>Sin respuesta tras 3 contactos</t>
        </is>
      </c>
    </row>
    <row r="2899">
      <c r="A2899" t="inlineStr">
        <is>
          <t>CLI-2897</t>
        </is>
      </c>
      <c r="B2899" t="inlineStr">
        <is>
          <t>Juan Pablo Londoño Gaviria</t>
        </is>
      </c>
      <c r="C2899" t="inlineStr">
        <is>
          <t>3236196970</t>
        </is>
      </c>
      <c r="D2899" t="inlineStr">
        <is>
          <t>juan.londono4@hotmail.com</t>
        </is>
      </c>
      <c r="E2899" t="inlineStr">
        <is>
          <t>Medellín</t>
        </is>
      </c>
      <c r="F2899" t="inlineStr">
        <is>
          <t>PRY-003</t>
        </is>
      </c>
      <c r="G2899" t="inlineStr">
        <is>
          <t>Feria Inmobiliaria</t>
        </is>
      </c>
      <c r="H2899" t="inlineStr">
        <is>
          <t>Luis Bedoya</t>
        </is>
      </c>
      <c r="I2899" t="inlineStr">
        <is>
          <t>Perdido</t>
        </is>
      </c>
      <c r="J2899" s="28" t="n">
        <v>46156</v>
      </c>
      <c r="K2899" s="28" t="n">
        <v>46181</v>
      </c>
      <c r="L2899" t="inlineStr">
        <is>
          <t>No calificó para crédito</t>
        </is>
      </c>
    </row>
    <row r="2900">
      <c r="A2900" t="inlineStr">
        <is>
          <t>CLI-2898</t>
        </is>
      </c>
      <c r="B2900" t="inlineStr">
        <is>
          <t>Carolina Marín Salcedo</t>
        </is>
      </c>
      <c r="C2900" t="inlineStr">
        <is>
          <t>3173763927</t>
        </is>
      </c>
      <c r="D2900" t="inlineStr">
        <is>
          <t>carolina.marin43@yahoo.com</t>
        </is>
      </c>
      <c r="E2900" t="inlineStr">
        <is>
          <t>Rionegro</t>
        </is>
      </c>
      <c r="F2900" t="inlineStr">
        <is>
          <t>PRY-001</t>
        </is>
      </c>
      <c r="G2900" t="inlineStr">
        <is>
          <t>Referido</t>
        </is>
      </c>
      <c r="H2900" t="inlineStr">
        <is>
          <t>Miguel Salazar</t>
        </is>
      </c>
      <c r="I2900" t="inlineStr">
        <is>
          <t>Visita agendada</t>
        </is>
      </c>
      <c r="J2900" s="28" t="n">
        <v>46157</v>
      </c>
      <c r="K2900" s="28" t="n">
        <v>46217</v>
      </c>
      <c r="L2900" t="inlineStr">
        <is>
          <t>Visitó el apartamento modelo</t>
        </is>
      </c>
    </row>
    <row r="2901">
      <c r="A2901" t="inlineStr">
        <is>
          <t>CLI-2899</t>
        </is>
      </c>
      <c r="B2901" t="inlineStr">
        <is>
          <t>Diana Palacio Hernández</t>
        </is>
      </c>
      <c r="C2901" t="inlineStr">
        <is>
          <t>3159677853</t>
        </is>
      </c>
      <c r="D2901" t="inlineStr">
        <is>
          <t>diana.palacio53@outlook.com</t>
        </is>
      </c>
      <c r="E2901" t="inlineStr">
        <is>
          <t>Medellín</t>
        </is>
      </c>
      <c r="F2901" t="inlineStr">
        <is>
          <t>PRY-003</t>
        </is>
      </c>
      <c r="G2901" t="inlineStr">
        <is>
          <t>Facebook</t>
        </is>
      </c>
      <c r="H2901" t="inlineStr">
        <is>
          <t>Andrés Torres</t>
        </is>
      </c>
      <c r="I2901" t="inlineStr">
        <is>
          <t>En contacto</t>
        </is>
      </c>
      <c r="J2901" s="28" t="n">
        <v>46157</v>
      </c>
      <c r="K2901" s="28" t="n">
        <v>46216</v>
      </c>
      <c r="L2901" t="inlineStr">
        <is>
          <t>Primera llamada realizada</t>
        </is>
      </c>
    </row>
    <row r="2902">
      <c r="A2902" t="inlineStr">
        <is>
          <t>CLI-2900</t>
        </is>
      </c>
      <c r="B2902" t="inlineStr">
        <is>
          <t>Verónica Ríos Duque</t>
        </is>
      </c>
      <c r="C2902" t="inlineStr">
        <is>
          <t>3101936138</t>
        </is>
      </c>
      <c r="D2902" t="inlineStr">
        <is>
          <t>veronica.rios5@outlook.com</t>
        </is>
      </c>
      <c r="E2902" t="inlineStr">
        <is>
          <t>Medellín</t>
        </is>
      </c>
      <c r="F2902" t="inlineStr">
        <is>
          <t>PRY-001</t>
        </is>
      </c>
      <c r="G2902" t="inlineStr">
        <is>
          <t>Portal Web</t>
        </is>
      </c>
      <c r="H2902" t="inlineStr">
        <is>
          <t>Santiago Muñoz</t>
        </is>
      </c>
      <c r="I2902" t="inlineStr">
        <is>
          <t>Perdido</t>
        </is>
      </c>
      <c r="J2902" s="28" t="n">
        <v>46157</v>
      </c>
      <c r="K2902" s="28" t="n">
        <v>46166</v>
      </c>
      <c r="L2902" t="inlineStr">
        <is>
          <t>No calificó para crédito</t>
        </is>
      </c>
    </row>
    <row r="2903">
      <c r="A2903" t="inlineStr">
        <is>
          <t>CLI-2901</t>
        </is>
      </c>
      <c r="B2903" t="inlineStr">
        <is>
          <t>Emilio Giraldo Agudelo</t>
        </is>
      </c>
      <c r="C2903" t="inlineStr">
        <is>
          <t>3158427974</t>
        </is>
      </c>
      <c r="D2903" t="inlineStr">
        <is>
          <t>emilio.giraldo73@hotmail.com</t>
        </is>
      </c>
      <c r="E2903" t="inlineStr">
        <is>
          <t>Envigado</t>
        </is>
      </c>
      <c r="F2903" t="inlineStr">
        <is>
          <t>PRY-008</t>
        </is>
      </c>
      <c r="G2903" t="inlineStr">
        <is>
          <t>Facebook</t>
        </is>
      </c>
      <c r="H2903" t="inlineStr">
        <is>
          <t>Luis Bedoya</t>
        </is>
      </c>
      <c r="I2903" t="inlineStr">
        <is>
          <t>Perdido</t>
        </is>
      </c>
      <c r="J2903" s="28" t="n">
        <v>46157</v>
      </c>
      <c r="K2903" s="28" t="n">
        <v>46175</v>
      </c>
      <c r="L2903" t="inlineStr">
        <is>
          <t>Presupuesto insuficiente</t>
        </is>
      </c>
    </row>
    <row r="2904">
      <c r="A2904" t="inlineStr">
        <is>
          <t>CLI-2902</t>
        </is>
      </c>
      <c r="B2904" t="inlineStr">
        <is>
          <t>Verónica Zapata Ramírez</t>
        </is>
      </c>
      <c r="C2904" t="inlineStr">
        <is>
          <t>3047039014</t>
        </is>
      </c>
      <c r="D2904" t="inlineStr">
        <is>
          <t>veronica.zapata43@yahoo.com</t>
        </is>
      </c>
      <c r="E2904" t="inlineStr">
        <is>
          <t>Itagüí</t>
        </is>
      </c>
      <c r="F2904" t="inlineStr">
        <is>
          <t>PRY-007</t>
        </is>
      </c>
      <c r="G2904" t="inlineStr">
        <is>
          <t>Facebook</t>
        </is>
      </c>
      <c r="H2904" t="inlineStr">
        <is>
          <t>Miguel Salazar</t>
        </is>
      </c>
      <c r="I2904" t="inlineStr">
        <is>
          <t>Perdido</t>
        </is>
      </c>
      <c r="J2904" s="28" t="n">
        <v>46157</v>
      </c>
      <c r="K2904" s="28" t="n">
        <v>46186</v>
      </c>
      <c r="L2904" t="inlineStr">
        <is>
          <t>Sin respuesta tras 3 contactos</t>
        </is>
      </c>
    </row>
    <row r="2905">
      <c r="A2905" t="inlineStr">
        <is>
          <t>CLI-2903</t>
        </is>
      </c>
      <c r="B2905" t="inlineStr">
        <is>
          <t>Katherine Zuluaga Vásquez</t>
        </is>
      </c>
      <c r="C2905" t="inlineStr">
        <is>
          <t>3236330913</t>
        </is>
      </c>
      <c r="D2905" t="inlineStr">
        <is>
          <t>katherine.zuluaga31@gmail.com</t>
        </is>
      </c>
      <c r="E2905" t="inlineStr">
        <is>
          <t>Rionegro</t>
        </is>
      </c>
      <c r="F2905" t="inlineStr">
        <is>
          <t>PRY-005</t>
        </is>
      </c>
      <c r="G2905" t="inlineStr">
        <is>
          <t>Feria Inmobiliaria</t>
        </is>
      </c>
      <c r="H2905" t="inlineStr">
        <is>
          <t>Ana Quintero</t>
        </is>
      </c>
      <c r="I2905" t="inlineStr">
        <is>
          <t>Perdido</t>
        </is>
      </c>
      <c r="J2905" s="28" t="n">
        <v>46157</v>
      </c>
      <c r="K2905" s="28" t="n">
        <v>46184</v>
      </c>
      <c r="L2905" t="inlineStr">
        <is>
          <t>Sin respuesta tras 3 contactos</t>
        </is>
      </c>
    </row>
    <row r="2906">
      <c r="A2906" t="inlineStr">
        <is>
          <t>CLI-2904</t>
        </is>
      </c>
      <c r="B2906" t="inlineStr">
        <is>
          <t>Mateo Henao Higuita</t>
        </is>
      </c>
      <c r="C2906" t="inlineStr">
        <is>
          <t>3134595613</t>
        </is>
      </c>
      <c r="D2906" t="inlineStr">
        <is>
          <t>mateo.henao33@yahoo.com</t>
        </is>
      </c>
      <c r="E2906" t="inlineStr">
        <is>
          <t>Envigado</t>
        </is>
      </c>
      <c r="F2906" t="inlineStr">
        <is>
          <t>PRY-007</t>
        </is>
      </c>
      <c r="G2906" t="inlineStr">
        <is>
          <t>Facebook</t>
        </is>
      </c>
      <c r="H2906" t="inlineStr">
        <is>
          <t>Ana Quintero</t>
        </is>
      </c>
      <c r="I2906" t="inlineStr">
        <is>
          <t>Nuevo lead</t>
        </is>
      </c>
      <c r="J2906" s="28" t="n">
        <v>46158</v>
      </c>
      <c r="K2906" s="28" t="n">
        <v>46215</v>
      </c>
      <c r="L2906" t="inlineStr">
        <is>
          <t>Solicitó información por formulario</t>
        </is>
      </c>
    </row>
    <row r="2907">
      <c r="A2907" t="inlineStr">
        <is>
          <t>CLI-2905</t>
        </is>
      </c>
      <c r="B2907" t="inlineStr">
        <is>
          <t>David Castaño Palacio</t>
        </is>
      </c>
      <c r="C2907" t="inlineStr">
        <is>
          <t>3177557610</t>
        </is>
      </c>
      <c r="D2907" t="inlineStr">
        <is>
          <t>david.castano95@gmail.com</t>
        </is>
      </c>
      <c r="E2907" t="inlineStr">
        <is>
          <t>Envigado</t>
        </is>
      </c>
      <c r="F2907" t="inlineStr">
        <is>
          <t>PRY-003</t>
        </is>
      </c>
      <c r="G2907" t="inlineStr">
        <is>
          <t>Portal Web</t>
        </is>
      </c>
      <c r="H2907" t="inlineStr">
        <is>
          <t>Luis Bedoya</t>
        </is>
      </c>
      <c r="I2907" t="inlineStr">
        <is>
          <t>Nuevo lead</t>
        </is>
      </c>
      <c r="J2907" s="28" t="n">
        <v>46158</v>
      </c>
      <c r="K2907" s="28" t="n">
        <v>46206</v>
      </c>
      <c r="L2907" t="inlineStr">
        <is>
          <t>Pendiente de primera llamada</t>
        </is>
      </c>
    </row>
    <row r="2908">
      <c r="A2908" t="inlineStr">
        <is>
          <t>CLI-2906</t>
        </is>
      </c>
      <c r="B2908" t="inlineStr">
        <is>
          <t>Paola Valencia Vásquez</t>
        </is>
      </c>
      <c r="C2908" t="inlineStr">
        <is>
          <t>3137665448</t>
        </is>
      </c>
      <c r="D2908" t="inlineStr">
        <is>
          <t>paola.valencia82@outlook.com</t>
        </is>
      </c>
      <c r="E2908" t="inlineStr">
        <is>
          <t>Envigado</t>
        </is>
      </c>
      <c r="F2908" t="inlineStr">
        <is>
          <t>PRY-007</t>
        </is>
      </c>
      <c r="G2908" t="inlineStr">
        <is>
          <t>Facebook</t>
        </is>
      </c>
      <c r="H2908" t="inlineStr">
        <is>
          <t>Juliana Vélez</t>
        </is>
      </c>
      <c r="I2908" t="inlineStr">
        <is>
          <t>En contacto</t>
        </is>
      </c>
      <c r="J2908" s="28" t="n">
        <v>46158</v>
      </c>
      <c r="K2908" s="28" t="n">
        <v>46212</v>
      </c>
      <c r="L2908" t="inlineStr">
        <is>
          <t>Pendiente de primera llamada</t>
        </is>
      </c>
    </row>
    <row r="2909">
      <c r="A2909" t="inlineStr">
        <is>
          <t>CLI-2907</t>
        </is>
      </c>
      <c r="B2909" t="inlineStr">
        <is>
          <t>Natalia Bedoya Franco</t>
        </is>
      </c>
      <c r="C2909" t="inlineStr">
        <is>
          <t>3149984397</t>
        </is>
      </c>
      <c r="D2909" t="inlineStr">
        <is>
          <t>natalia.bedoya83@yahoo.com</t>
        </is>
      </c>
      <c r="E2909" t="inlineStr">
        <is>
          <t>Bello</t>
        </is>
      </c>
      <c r="F2909" t="inlineStr">
        <is>
          <t>PRY-008</t>
        </is>
      </c>
      <c r="G2909" t="inlineStr">
        <is>
          <t>Feria Inmobiliaria</t>
        </is>
      </c>
      <c r="H2909" t="inlineStr">
        <is>
          <t>Ana Quintero</t>
        </is>
      </c>
      <c r="I2909" t="inlineStr">
        <is>
          <t>Nuevo lead</t>
        </is>
      </c>
      <c r="J2909" s="28" t="n">
        <v>46158</v>
      </c>
      <c r="K2909" s="28" t="n">
        <v>46206</v>
      </c>
      <c r="L2909" t="inlineStr">
        <is>
          <t>Pendiente de primera llamada</t>
        </is>
      </c>
    </row>
    <row r="2910">
      <c r="A2910" t="inlineStr">
        <is>
          <t>CLI-2908</t>
        </is>
      </c>
      <c r="B2910" t="inlineStr">
        <is>
          <t>Ximena Cifuentes Betancur</t>
        </is>
      </c>
      <c r="C2910" t="inlineStr">
        <is>
          <t>3159172251</t>
        </is>
      </c>
      <c r="D2910" t="inlineStr">
        <is>
          <t>ximena.cifuentes51@yahoo.com</t>
        </is>
      </c>
      <c r="E2910" t="inlineStr">
        <is>
          <t>Medellín</t>
        </is>
      </c>
      <c r="F2910" t="inlineStr">
        <is>
          <t>PRY-001</t>
        </is>
      </c>
      <c r="G2910" t="inlineStr">
        <is>
          <t>Feria Inmobiliaria</t>
        </is>
      </c>
      <c r="H2910" t="inlineStr">
        <is>
          <t>Paula Arenas</t>
        </is>
      </c>
      <c r="I2910" t="inlineStr">
        <is>
          <t>En contacto</t>
        </is>
      </c>
      <c r="J2910" s="28" t="n">
        <v>46158</v>
      </c>
      <c r="K2910" s="28" t="n">
        <v>46206</v>
      </c>
      <c r="L2910" t="inlineStr">
        <is>
          <t>Pendiente de primera llamada</t>
        </is>
      </c>
    </row>
    <row r="2911">
      <c r="A2911" t="inlineStr">
        <is>
          <t>CLI-2909</t>
        </is>
      </c>
      <c r="B2911" t="inlineStr">
        <is>
          <t>Mónica Gaviria Hernández</t>
        </is>
      </c>
      <c r="C2911" t="inlineStr">
        <is>
          <t>3134005771</t>
        </is>
      </c>
      <c r="D2911" t="inlineStr">
        <is>
          <t>monica.gaviria11@gmail.com</t>
        </is>
      </c>
      <c r="E2911" t="inlineStr">
        <is>
          <t>Rionegro</t>
        </is>
      </c>
      <c r="F2911" t="inlineStr">
        <is>
          <t>PRY-008</t>
        </is>
      </c>
      <c r="G2911" t="inlineStr">
        <is>
          <t>Facebook</t>
        </is>
      </c>
      <c r="H2911" t="inlineStr">
        <is>
          <t>Luis Bedoya</t>
        </is>
      </c>
      <c r="I2911" t="inlineStr">
        <is>
          <t>Ganado</t>
        </is>
      </c>
      <c r="J2911" s="28" t="n">
        <v>46159</v>
      </c>
      <c r="K2911" s="28" t="n">
        <v>46226</v>
      </c>
      <c r="L2911" t="inlineStr">
        <is>
          <t>Compró Casa 35 en Valle Verde Itagüí</t>
        </is>
      </c>
    </row>
    <row r="2912">
      <c r="A2912" t="inlineStr">
        <is>
          <t>CLI-2910</t>
        </is>
      </c>
      <c r="B2912" t="inlineStr">
        <is>
          <t>Esteban Duque Marín</t>
        </is>
      </c>
      <c r="C2912" t="inlineStr">
        <is>
          <t>3227801314</t>
        </is>
      </c>
      <c r="D2912" t="inlineStr">
        <is>
          <t>esteban.duque57@gmail.com</t>
        </is>
      </c>
      <c r="E2912" t="inlineStr">
        <is>
          <t>Itagüí</t>
        </is>
      </c>
      <c r="F2912" t="inlineStr">
        <is>
          <t>PRY-006</t>
        </is>
      </c>
      <c r="G2912" t="inlineStr">
        <is>
          <t>Llamada directa</t>
        </is>
      </c>
      <c r="H2912" t="inlineStr">
        <is>
          <t>Mateo Herrera</t>
        </is>
      </c>
      <c r="I2912" t="inlineStr">
        <is>
          <t>Nuevo lead</t>
        </is>
      </c>
      <c r="J2912" s="28" t="n">
        <v>46159</v>
      </c>
      <c r="K2912" s="28" t="n">
        <v>46213</v>
      </c>
      <c r="L2912" t="inlineStr">
        <is>
          <t>Pendiente de primera llamada</t>
        </is>
      </c>
    </row>
    <row r="2913">
      <c r="A2913" t="inlineStr">
        <is>
          <t>CLI-2911</t>
        </is>
      </c>
      <c r="B2913" t="inlineStr">
        <is>
          <t>Liliana Gaviria Ríos</t>
        </is>
      </c>
      <c r="C2913" t="inlineStr">
        <is>
          <t>3221742529</t>
        </is>
      </c>
      <c r="D2913" t="inlineStr">
        <is>
          <t>liliana.gaviria26@yahoo.com</t>
        </is>
      </c>
      <c r="E2913" t="inlineStr">
        <is>
          <t>Medellín</t>
        </is>
      </c>
      <c r="F2913" t="inlineStr">
        <is>
          <t>PRY-001</t>
        </is>
      </c>
      <c r="G2913" t="inlineStr">
        <is>
          <t>Facebook</t>
        </is>
      </c>
      <c r="H2913" t="inlineStr">
        <is>
          <t>Miguel Salazar</t>
        </is>
      </c>
      <c r="I2913" t="inlineStr">
        <is>
          <t>Nuevo lead</t>
        </is>
      </c>
      <c r="J2913" s="28" t="n">
        <v>46159</v>
      </c>
      <c r="K2913" s="28" t="n">
        <v>46204</v>
      </c>
      <c r="L2913" t="inlineStr">
        <is>
          <t>Pendiente de primera llamada</t>
        </is>
      </c>
    </row>
    <row r="2914">
      <c r="A2914" t="inlineStr">
        <is>
          <t>CLI-2912</t>
        </is>
      </c>
      <c r="B2914" t="inlineStr">
        <is>
          <t>Daniela Ríos Rojas</t>
        </is>
      </c>
      <c r="C2914" t="inlineStr">
        <is>
          <t>3107572805</t>
        </is>
      </c>
      <c r="D2914" t="inlineStr">
        <is>
          <t>daniela.rios14@gmail.com</t>
        </is>
      </c>
      <c r="E2914" t="inlineStr">
        <is>
          <t>Rionegro</t>
        </is>
      </c>
      <c r="F2914" t="inlineStr">
        <is>
          <t>PRY-001</t>
        </is>
      </c>
      <c r="G2914" t="inlineStr">
        <is>
          <t>Instagram</t>
        </is>
      </c>
      <c r="H2914" t="inlineStr">
        <is>
          <t>Miguel Salazar</t>
        </is>
      </c>
      <c r="I2914" t="inlineStr">
        <is>
          <t>Nuevo lead</t>
        </is>
      </c>
      <c r="J2914" s="28" t="n">
        <v>46160</v>
      </c>
      <c r="K2914" s="28" t="n">
        <v>46212</v>
      </c>
      <c r="L2914" t="inlineStr">
        <is>
          <t>Pendiente de primera llamada</t>
        </is>
      </c>
    </row>
    <row r="2915">
      <c r="A2915" t="inlineStr">
        <is>
          <t>CLI-2913</t>
        </is>
      </c>
      <c r="B2915" t="inlineStr">
        <is>
          <t>Sofía Salcedo Cifuentes</t>
        </is>
      </c>
      <c r="C2915" t="inlineStr">
        <is>
          <t>3012903162</t>
        </is>
      </c>
      <c r="D2915" t="inlineStr">
        <is>
          <t>sofia.salcedo88@yahoo.com</t>
        </is>
      </c>
      <c r="E2915" t="inlineStr">
        <is>
          <t>Medellín</t>
        </is>
      </c>
      <c r="F2915" t="inlineStr">
        <is>
          <t>PRY-001</t>
        </is>
      </c>
      <c r="G2915" t="inlineStr">
        <is>
          <t>Facebook</t>
        </is>
      </c>
      <c r="H2915" t="inlineStr">
        <is>
          <t>Paula Arenas</t>
        </is>
      </c>
      <c r="I2915" t="inlineStr">
        <is>
          <t>En contacto</t>
        </is>
      </c>
      <c r="J2915" s="28" t="n">
        <v>46161</v>
      </c>
      <c r="K2915" s="28" t="n">
        <v>46209</v>
      </c>
      <c r="L2915" t="inlineStr">
        <is>
          <t>Interesado, pidió plano de la unidad</t>
        </is>
      </c>
    </row>
    <row r="2916">
      <c r="A2916" t="inlineStr">
        <is>
          <t>CLI-2914</t>
        </is>
      </c>
      <c r="B2916" t="inlineStr">
        <is>
          <t>Marcela Bedoya Zuluaga</t>
        </is>
      </c>
      <c r="C2916" t="inlineStr">
        <is>
          <t>3103532659</t>
        </is>
      </c>
      <c r="D2916" t="inlineStr">
        <is>
          <t>marcela.bedoya92@gmail.com</t>
        </is>
      </c>
      <c r="E2916" t="inlineStr">
        <is>
          <t>Envigado</t>
        </is>
      </c>
      <c r="F2916" t="inlineStr">
        <is>
          <t>PRY-007</t>
        </is>
      </c>
      <c r="G2916" t="inlineStr">
        <is>
          <t>Facebook</t>
        </is>
      </c>
      <c r="H2916" t="inlineStr">
        <is>
          <t>Daniela Ríos</t>
        </is>
      </c>
      <c r="I2916" t="inlineStr">
        <is>
          <t>En contacto</t>
        </is>
      </c>
      <c r="J2916" s="28" t="n">
        <v>46161</v>
      </c>
      <c r="K2916" s="28" t="n">
        <v>46206</v>
      </c>
      <c r="L2916" t="inlineStr">
        <is>
          <t>Pendiente de primera llamada</t>
        </is>
      </c>
    </row>
    <row r="2917">
      <c r="A2917" t="inlineStr">
        <is>
          <t>CLI-2915</t>
        </is>
      </c>
      <c r="B2917" t="inlineStr">
        <is>
          <t>Luisa Uribe Vargas</t>
        </is>
      </c>
      <c r="C2917" t="inlineStr">
        <is>
          <t>3133189733</t>
        </is>
      </c>
      <c r="D2917" t="inlineStr">
        <is>
          <t>luisa.uribe69@hotmail.com</t>
        </is>
      </c>
      <c r="E2917" t="inlineStr">
        <is>
          <t>La Estrella</t>
        </is>
      </c>
      <c r="F2917" t="inlineStr">
        <is>
          <t>PRY-007</t>
        </is>
      </c>
      <c r="G2917" t="inlineStr">
        <is>
          <t>Portal Web</t>
        </is>
      </c>
      <c r="H2917" t="inlineStr">
        <is>
          <t>Andrés Torres</t>
        </is>
      </c>
      <c r="I2917" t="inlineStr">
        <is>
          <t>Nuevo lead</t>
        </is>
      </c>
      <c r="J2917" s="28" t="n">
        <v>46161</v>
      </c>
      <c r="K2917" s="28" t="n">
        <v>46207</v>
      </c>
      <c r="L2917" t="inlineStr">
        <is>
          <t>Pendiente de primera llamada</t>
        </is>
      </c>
    </row>
    <row r="2918">
      <c r="A2918" t="inlineStr">
        <is>
          <t>CLI-2916</t>
        </is>
      </c>
      <c r="B2918" t="inlineStr">
        <is>
          <t>Catalina Montes Castaño</t>
        </is>
      </c>
      <c r="C2918" t="inlineStr">
        <is>
          <t>3048249765</t>
        </is>
      </c>
      <c r="D2918" t="inlineStr">
        <is>
          <t>catalina.montes28@yahoo.com</t>
        </is>
      </c>
      <c r="E2918" t="inlineStr">
        <is>
          <t>Bello</t>
        </is>
      </c>
      <c r="F2918" t="inlineStr">
        <is>
          <t>PRY-006</t>
        </is>
      </c>
      <c r="G2918" t="inlineStr">
        <is>
          <t>Portal Web</t>
        </is>
      </c>
      <c r="H2918" t="inlineStr">
        <is>
          <t>Juliana Vélez</t>
        </is>
      </c>
      <c r="I2918" t="inlineStr">
        <is>
          <t>En contacto</t>
        </is>
      </c>
      <c r="J2918" s="28" t="n">
        <v>46161</v>
      </c>
      <c r="K2918" s="28" t="n">
        <v>46209</v>
      </c>
      <c r="L2918" t="inlineStr">
        <is>
          <t>Pendiente de primera llamada</t>
        </is>
      </c>
    </row>
    <row r="2919">
      <c r="A2919" t="inlineStr">
        <is>
          <t>CLI-2917</t>
        </is>
      </c>
      <c r="B2919" t="inlineStr">
        <is>
          <t>Laura Giraldo Echeverri</t>
        </is>
      </c>
      <c r="C2919" t="inlineStr">
        <is>
          <t>3046852896</t>
        </is>
      </c>
      <c r="D2919" t="inlineStr">
        <is>
          <t>laura.giraldo24@outlook.com</t>
        </is>
      </c>
      <c r="E2919" t="inlineStr">
        <is>
          <t>Medellín</t>
        </is>
      </c>
      <c r="F2919" t="inlineStr">
        <is>
          <t>PRY-001</t>
        </is>
      </c>
      <c r="G2919" t="inlineStr">
        <is>
          <t>Facebook</t>
        </is>
      </c>
      <c r="H2919" t="inlineStr">
        <is>
          <t>Mateo Herrera</t>
        </is>
      </c>
      <c r="I2919" t="inlineStr">
        <is>
          <t>En contacto</t>
        </is>
      </c>
      <c r="J2919" s="28" t="n">
        <v>46161</v>
      </c>
      <c r="K2919" s="28" t="n">
        <v>46212</v>
      </c>
      <c r="L2919" t="inlineStr">
        <is>
          <t>Pendiente de primera llamada</t>
        </is>
      </c>
    </row>
    <row r="2920">
      <c r="A2920" t="inlineStr">
        <is>
          <t>CLI-2918</t>
        </is>
      </c>
      <c r="B2920" t="inlineStr">
        <is>
          <t>Sara Espinosa Ríos</t>
        </is>
      </c>
      <c r="C2920" t="inlineStr">
        <is>
          <t>3221460981</t>
        </is>
      </c>
      <c r="D2920" t="inlineStr">
        <is>
          <t>sara.espinosa56@yahoo.com</t>
        </is>
      </c>
      <c r="E2920" t="inlineStr">
        <is>
          <t>Medellín</t>
        </is>
      </c>
      <c r="F2920" t="inlineStr">
        <is>
          <t>PRY-002</t>
        </is>
      </c>
      <c r="G2920" t="inlineStr">
        <is>
          <t>Facebook</t>
        </is>
      </c>
      <c r="H2920" t="inlineStr">
        <is>
          <t>Santiago Muñoz</t>
        </is>
      </c>
      <c r="I2920" t="inlineStr">
        <is>
          <t>Nuevo lead</t>
        </is>
      </c>
      <c r="J2920" s="28" t="n">
        <v>46162</v>
      </c>
      <c r="K2920" s="28" t="n">
        <v>46204</v>
      </c>
      <c r="L2920" t="inlineStr">
        <is>
          <t>Solicitó información por formulario</t>
        </is>
      </c>
    </row>
    <row r="2921">
      <c r="A2921" t="inlineStr">
        <is>
          <t>CLI-2919</t>
        </is>
      </c>
      <c r="B2921" t="inlineStr">
        <is>
          <t>Fernando Sánchez Henao</t>
        </is>
      </c>
      <c r="C2921" t="inlineStr">
        <is>
          <t>3004641649</t>
        </is>
      </c>
      <c r="D2921" t="inlineStr">
        <is>
          <t>fernando.sanchez71@yahoo.com</t>
        </is>
      </c>
      <c r="E2921" t="inlineStr">
        <is>
          <t>Medellín</t>
        </is>
      </c>
      <c r="F2921" t="inlineStr">
        <is>
          <t>PRY-003</t>
        </is>
      </c>
      <c r="G2921" t="inlineStr">
        <is>
          <t>Facebook</t>
        </is>
      </c>
      <c r="H2921" t="inlineStr">
        <is>
          <t>Juliana Vélez</t>
        </is>
      </c>
      <c r="I2921" t="inlineStr">
        <is>
          <t>Nuevo lead</t>
        </is>
      </c>
      <c r="J2921" s="28" t="n">
        <v>46162</v>
      </c>
      <c r="K2921" s="28" t="n">
        <v>46209</v>
      </c>
      <c r="L2921" t="inlineStr">
        <is>
          <t>Pidió brochure y precios</t>
        </is>
      </c>
    </row>
    <row r="2922">
      <c r="A2922" t="inlineStr">
        <is>
          <t>CLI-2920</t>
        </is>
      </c>
      <c r="B2922" t="inlineStr">
        <is>
          <t>Tomás Gaviria Osorio</t>
        </is>
      </c>
      <c r="C2922" t="inlineStr">
        <is>
          <t>3101050576</t>
        </is>
      </c>
      <c r="D2922" t="inlineStr">
        <is>
          <t>tomas.gaviria10@outlook.com</t>
        </is>
      </c>
      <c r="E2922" t="inlineStr">
        <is>
          <t>Medellín</t>
        </is>
      </c>
      <c r="F2922" t="inlineStr">
        <is>
          <t>PRY-005</t>
        </is>
      </c>
      <c r="G2922" t="inlineStr">
        <is>
          <t>Llamada directa</t>
        </is>
      </c>
      <c r="H2922" t="inlineStr">
        <is>
          <t>Luis Bedoya</t>
        </is>
      </c>
      <c r="I2922" t="inlineStr">
        <is>
          <t>Nuevo lead</t>
        </is>
      </c>
      <c r="J2922" s="28" t="n">
        <v>46162</v>
      </c>
      <c r="K2922" s="28" t="n">
        <v>46204</v>
      </c>
      <c r="L2922" t="inlineStr">
        <is>
          <t>Pendiente de primera llamada</t>
        </is>
      </c>
    </row>
    <row r="2923">
      <c r="A2923" t="inlineStr">
        <is>
          <t>CLI-2921</t>
        </is>
      </c>
      <c r="B2923" t="inlineStr">
        <is>
          <t>Carolina Pérez Palacio</t>
        </is>
      </c>
      <c r="C2923" t="inlineStr">
        <is>
          <t>3019020394</t>
        </is>
      </c>
      <c r="D2923" t="inlineStr">
        <is>
          <t>carolina.perez17@gmail.com</t>
        </is>
      </c>
      <c r="E2923" t="inlineStr">
        <is>
          <t>Medellín</t>
        </is>
      </c>
      <c r="F2923" t="inlineStr">
        <is>
          <t>PRY-002</t>
        </is>
      </c>
      <c r="G2923" t="inlineStr">
        <is>
          <t>Facebook</t>
        </is>
      </c>
      <c r="H2923" t="inlineStr">
        <is>
          <t>Luis Bedoya</t>
        </is>
      </c>
      <c r="I2923" t="inlineStr">
        <is>
          <t>Nuevo lead</t>
        </is>
      </c>
      <c r="J2923" s="28" t="n">
        <v>46162</v>
      </c>
      <c r="K2923" s="28" t="n">
        <v>46213</v>
      </c>
      <c r="L2923" t="inlineStr">
        <is>
          <t>Pendiente de primera llamada</t>
        </is>
      </c>
    </row>
    <row r="2924">
      <c r="A2924" t="inlineStr">
        <is>
          <t>CLI-2922</t>
        </is>
      </c>
      <c r="B2924" t="inlineStr">
        <is>
          <t>Camila Osorio Jaramillo</t>
        </is>
      </c>
      <c r="C2924" t="inlineStr">
        <is>
          <t>3242354959</t>
        </is>
      </c>
      <c r="D2924" t="inlineStr">
        <is>
          <t>camila.osorio32@hotmail.com</t>
        </is>
      </c>
      <c r="E2924" t="inlineStr">
        <is>
          <t>Rionegro</t>
        </is>
      </c>
      <c r="F2924" t="inlineStr">
        <is>
          <t>PRY-005</t>
        </is>
      </c>
      <c r="G2924" t="inlineStr">
        <is>
          <t>Portal Web</t>
        </is>
      </c>
      <c r="H2924" t="inlineStr">
        <is>
          <t>Luis Bedoya</t>
        </is>
      </c>
      <c r="I2924" t="inlineStr">
        <is>
          <t>Propuesta enviada</t>
        </is>
      </c>
      <c r="J2924" s="28" t="n">
        <v>46163</v>
      </c>
      <c r="K2924" s="28" t="n">
        <v>46207</v>
      </c>
      <c r="L2924" t="inlineStr">
        <is>
          <t>Cotización enviada</t>
        </is>
      </c>
    </row>
    <row r="2925">
      <c r="A2925" t="inlineStr">
        <is>
          <t>CLI-2923</t>
        </is>
      </c>
      <c r="B2925" t="inlineStr">
        <is>
          <t>Andrés Ríos Betancur</t>
        </is>
      </c>
      <c r="C2925" t="inlineStr">
        <is>
          <t>3241229321</t>
        </is>
      </c>
      <c r="D2925" t="inlineStr">
        <is>
          <t>andres.rios14@outlook.com</t>
        </is>
      </c>
      <c r="E2925" t="inlineStr">
        <is>
          <t>Medellín</t>
        </is>
      </c>
      <c r="F2925" t="inlineStr">
        <is>
          <t>PRY-001</t>
        </is>
      </c>
      <c r="G2925" t="inlineStr">
        <is>
          <t>Feria Inmobiliaria</t>
        </is>
      </c>
      <c r="H2925" t="inlineStr">
        <is>
          <t>Sofía Prada</t>
        </is>
      </c>
      <c r="I2925" t="inlineStr">
        <is>
          <t>Nuevo lead</t>
        </is>
      </c>
      <c r="J2925" s="28" t="n">
        <v>46163</v>
      </c>
      <c r="K2925" s="28" t="n">
        <v>46204</v>
      </c>
      <c r="L2925" t="inlineStr">
        <is>
          <t>Pidió brochure y precios</t>
        </is>
      </c>
    </row>
    <row r="2926">
      <c r="A2926" t="inlineStr">
        <is>
          <t>CLI-2924</t>
        </is>
      </c>
      <c r="B2926" t="inlineStr">
        <is>
          <t>Santiago Pérez Agudelo</t>
        </is>
      </c>
      <c r="C2926" t="inlineStr">
        <is>
          <t>3132912187</t>
        </is>
      </c>
      <c r="D2926" t="inlineStr">
        <is>
          <t>santiago.perez54@hotmail.com</t>
        </is>
      </c>
      <c r="E2926" t="inlineStr">
        <is>
          <t>La Estrella</t>
        </is>
      </c>
      <c r="F2926" t="inlineStr">
        <is>
          <t>PRY-008</t>
        </is>
      </c>
      <c r="G2926" t="inlineStr">
        <is>
          <t>Llamada directa</t>
        </is>
      </c>
      <c r="H2926" t="inlineStr">
        <is>
          <t>Ana Quintero</t>
        </is>
      </c>
      <c r="I2926" t="inlineStr">
        <is>
          <t>En contacto</t>
        </is>
      </c>
      <c r="J2926" s="28" t="n">
        <v>46163</v>
      </c>
      <c r="K2926" s="28" t="n">
        <v>46205</v>
      </c>
      <c r="L2926" t="inlineStr">
        <is>
          <t>Pendiente de primera llamada</t>
        </is>
      </c>
    </row>
    <row r="2927">
      <c r="A2927" t="inlineStr">
        <is>
          <t>CLI-2925</t>
        </is>
      </c>
      <c r="B2927" t="inlineStr">
        <is>
          <t>Carolina Hernández Cardona</t>
        </is>
      </c>
      <c r="C2927" t="inlineStr">
        <is>
          <t>3106457587</t>
        </is>
      </c>
      <c r="D2927" t="inlineStr">
        <is>
          <t>carolina.hernandez11@yahoo.com</t>
        </is>
      </c>
      <c r="E2927" t="inlineStr">
        <is>
          <t>Sabaneta</t>
        </is>
      </c>
      <c r="F2927" t="inlineStr">
        <is>
          <t>PRY-007</t>
        </is>
      </c>
      <c r="G2927" t="inlineStr">
        <is>
          <t>Referido</t>
        </is>
      </c>
      <c r="H2927" t="inlineStr">
        <is>
          <t>Mateo Herrera</t>
        </is>
      </c>
      <c r="I2927" t="inlineStr">
        <is>
          <t>Nuevo lead</t>
        </is>
      </c>
      <c r="J2927" s="28" t="n">
        <v>46164</v>
      </c>
      <c r="K2927" s="28" t="n">
        <v>46208</v>
      </c>
      <c r="L2927" t="inlineStr">
        <is>
          <t>Pendiente de primera llamada</t>
        </is>
      </c>
    </row>
    <row r="2928">
      <c r="A2928" t="inlineStr">
        <is>
          <t>CLI-2926</t>
        </is>
      </c>
      <c r="B2928" t="inlineStr">
        <is>
          <t>Lorena Muñoz Espinosa</t>
        </is>
      </c>
      <c r="C2928" t="inlineStr">
        <is>
          <t>3136964436</t>
        </is>
      </c>
      <c r="D2928" t="inlineStr">
        <is>
          <t>lorena.munoz97@gmail.com</t>
        </is>
      </c>
      <c r="E2928" t="inlineStr">
        <is>
          <t>Medellín</t>
        </is>
      </c>
      <c r="F2928" t="inlineStr">
        <is>
          <t>PRY-001</t>
        </is>
      </c>
      <c r="G2928" t="inlineStr">
        <is>
          <t>Portal Web</t>
        </is>
      </c>
      <c r="H2928" t="inlineStr">
        <is>
          <t>Paula Arenas</t>
        </is>
      </c>
      <c r="I2928" t="inlineStr">
        <is>
          <t>Visita agendada</t>
        </is>
      </c>
      <c r="J2928" s="28" t="n">
        <v>46165</v>
      </c>
      <c r="K2928" s="28" t="n">
        <v>46211</v>
      </c>
      <c r="L2928" t="inlineStr">
        <is>
          <t>Visita a sala de ventas agendada</t>
        </is>
      </c>
    </row>
    <row r="2929">
      <c r="A2929" t="inlineStr">
        <is>
          <t>CLI-2927</t>
        </is>
      </c>
      <c r="B2929" t="inlineStr">
        <is>
          <t>Mariana Vargas Agudelo</t>
        </is>
      </c>
      <c r="C2929" t="inlineStr">
        <is>
          <t>3015038214</t>
        </is>
      </c>
      <c r="D2929" t="inlineStr">
        <is>
          <t>mariana.vargas73@hotmail.com</t>
        </is>
      </c>
      <c r="E2929" t="inlineStr">
        <is>
          <t>Rionegro</t>
        </is>
      </c>
      <c r="F2929" t="inlineStr">
        <is>
          <t>PRY-005</t>
        </is>
      </c>
      <c r="G2929" t="inlineStr">
        <is>
          <t>Instagram</t>
        </is>
      </c>
      <c r="H2929" t="inlineStr">
        <is>
          <t>Daniela Ríos</t>
        </is>
      </c>
      <c r="I2929" t="inlineStr">
        <is>
          <t>Nuevo lead</t>
        </is>
      </c>
      <c r="J2929" s="28" t="n">
        <v>46165</v>
      </c>
      <c r="K2929" s="28" t="n">
        <v>46207</v>
      </c>
      <c r="L2929" t="inlineStr">
        <is>
          <t>Pendiente de primera llamada</t>
        </is>
      </c>
    </row>
    <row r="2930">
      <c r="A2930" t="inlineStr">
        <is>
          <t>CLI-2928</t>
        </is>
      </c>
      <c r="B2930" t="inlineStr">
        <is>
          <t>Sebastián Bedoya Cardona</t>
        </is>
      </c>
      <c r="C2930" t="inlineStr">
        <is>
          <t>3102118259</t>
        </is>
      </c>
      <c r="D2930" t="inlineStr">
        <is>
          <t>sebastian.bedoya85@yahoo.com</t>
        </is>
      </c>
      <c r="E2930" t="inlineStr">
        <is>
          <t>Rionegro</t>
        </is>
      </c>
      <c r="F2930" t="inlineStr">
        <is>
          <t>PRY-005</t>
        </is>
      </c>
      <c r="G2930" t="inlineStr">
        <is>
          <t>Feria Inmobiliaria</t>
        </is>
      </c>
      <c r="H2930" t="inlineStr">
        <is>
          <t>Luis Bedoya</t>
        </is>
      </c>
      <c r="I2930" t="inlineStr">
        <is>
          <t>Nuevo lead</t>
        </is>
      </c>
      <c r="J2930" s="28" t="n">
        <v>46166</v>
      </c>
      <c r="K2930" s="28" t="n">
        <v>46210</v>
      </c>
      <c r="L2930" t="inlineStr">
        <is>
          <t>Pidió brochure y precios</t>
        </is>
      </c>
    </row>
    <row r="2931">
      <c r="A2931" t="inlineStr">
        <is>
          <t>CLI-2929</t>
        </is>
      </c>
      <c r="B2931" t="inlineStr">
        <is>
          <t>Sebastián Vélez Duque</t>
        </is>
      </c>
      <c r="C2931" t="inlineStr">
        <is>
          <t>3007804091</t>
        </is>
      </c>
      <c r="D2931" t="inlineStr">
        <is>
          <t>sebastian.velez96@hotmail.com</t>
        </is>
      </c>
      <c r="E2931" t="inlineStr">
        <is>
          <t>Itagüí</t>
        </is>
      </c>
      <c r="F2931" t="inlineStr">
        <is>
          <t>PRY-008</t>
        </is>
      </c>
      <c r="G2931" t="inlineStr">
        <is>
          <t>Instagram</t>
        </is>
      </c>
      <c r="H2931" t="inlineStr">
        <is>
          <t>Mateo Herrera</t>
        </is>
      </c>
      <c r="I2931" t="inlineStr">
        <is>
          <t>Perdido</t>
        </is>
      </c>
      <c r="J2931" s="28" t="n">
        <v>46166</v>
      </c>
      <c r="K2931" s="28" t="n">
        <v>46193</v>
      </c>
      <c r="L2931" t="inlineStr">
        <is>
          <t>Desistió de la compra</t>
        </is>
      </c>
    </row>
    <row r="2932">
      <c r="A2932" t="inlineStr">
        <is>
          <t>CLI-2930</t>
        </is>
      </c>
      <c r="B2932" t="inlineStr">
        <is>
          <t>Alejandra Escobar Montes</t>
        </is>
      </c>
      <c r="C2932" t="inlineStr">
        <is>
          <t>3249233892</t>
        </is>
      </c>
      <c r="D2932" t="inlineStr">
        <is>
          <t>alejandra.escobar95@hotmail.com</t>
        </is>
      </c>
      <c r="E2932" t="inlineStr">
        <is>
          <t>Sabaneta</t>
        </is>
      </c>
      <c r="F2932" t="inlineStr">
        <is>
          <t>PRY-008</t>
        </is>
      </c>
      <c r="G2932" t="inlineStr">
        <is>
          <t>Facebook</t>
        </is>
      </c>
      <c r="H2932" t="inlineStr">
        <is>
          <t>Mateo Herrera</t>
        </is>
      </c>
      <c r="I2932" t="inlineStr">
        <is>
          <t>Nuevo lead</t>
        </is>
      </c>
      <c r="J2932" s="28" t="n">
        <v>46166</v>
      </c>
      <c r="K2932" s="28" t="n">
        <v>46205</v>
      </c>
      <c r="L2932" t="inlineStr">
        <is>
          <t>Pendiente de primera llamada</t>
        </is>
      </c>
    </row>
    <row r="2933">
      <c r="A2933" t="inlineStr">
        <is>
          <t>CLI-2931</t>
        </is>
      </c>
      <c r="B2933" t="inlineStr">
        <is>
          <t>Hernán Ríos Londoño</t>
        </is>
      </c>
      <c r="C2933" t="inlineStr">
        <is>
          <t>3238995244</t>
        </is>
      </c>
      <c r="D2933" t="inlineStr">
        <is>
          <t>hernan.rios91@yahoo.com</t>
        </is>
      </c>
      <c r="E2933" t="inlineStr">
        <is>
          <t>Sabaneta</t>
        </is>
      </c>
      <c r="F2933" t="inlineStr">
        <is>
          <t>PRY-008</t>
        </is>
      </c>
      <c r="G2933" t="inlineStr">
        <is>
          <t>Portal Web</t>
        </is>
      </c>
      <c r="H2933" t="inlineStr">
        <is>
          <t>Sofía Prada</t>
        </is>
      </c>
      <c r="I2933" t="inlineStr">
        <is>
          <t>En contacto</t>
        </is>
      </c>
      <c r="J2933" s="28" t="n">
        <v>46166</v>
      </c>
      <c r="K2933" s="28" t="n">
        <v>46209</v>
      </c>
      <c r="L2933" t="inlineStr">
        <is>
          <t>Pendiente de primera llamada</t>
        </is>
      </c>
    </row>
    <row r="2934">
      <c r="A2934" t="inlineStr">
        <is>
          <t>CLI-2932</t>
        </is>
      </c>
      <c r="B2934" t="inlineStr">
        <is>
          <t>Felipe Vélez Franco</t>
        </is>
      </c>
      <c r="C2934" t="inlineStr">
        <is>
          <t>3102938361</t>
        </is>
      </c>
      <c r="D2934" t="inlineStr">
        <is>
          <t>felipe.velez80@hotmail.com</t>
        </is>
      </c>
      <c r="E2934" t="inlineStr">
        <is>
          <t>Rionegro</t>
        </is>
      </c>
      <c r="F2934" t="inlineStr">
        <is>
          <t>PRY-005</t>
        </is>
      </c>
      <c r="G2934" t="inlineStr">
        <is>
          <t>Llamada directa</t>
        </is>
      </c>
      <c r="H2934" t="inlineStr">
        <is>
          <t>Luis Bedoya</t>
        </is>
      </c>
      <c r="I2934" t="inlineStr">
        <is>
          <t>Nuevo lead</t>
        </is>
      </c>
      <c r="J2934" s="28" t="n">
        <v>46166</v>
      </c>
      <c r="K2934" s="28" t="n">
        <v>46205</v>
      </c>
      <c r="L2934" t="inlineStr">
        <is>
          <t>Pendiente de primera llamada</t>
        </is>
      </c>
    </row>
    <row r="2935">
      <c r="A2935" t="inlineStr">
        <is>
          <t>CLI-2933</t>
        </is>
      </c>
      <c r="B2935" t="inlineStr">
        <is>
          <t>Liliana Valencia Uribe</t>
        </is>
      </c>
      <c r="C2935" t="inlineStr">
        <is>
          <t>3042377802</t>
        </is>
      </c>
      <c r="D2935" t="inlineStr">
        <is>
          <t>liliana.valencia47@gmail.com</t>
        </is>
      </c>
      <c r="E2935" t="inlineStr">
        <is>
          <t>La Estrella</t>
        </is>
      </c>
      <c r="F2935" t="inlineStr">
        <is>
          <t>PRY-002</t>
        </is>
      </c>
      <c r="G2935" t="inlineStr">
        <is>
          <t>Portal Web</t>
        </is>
      </c>
      <c r="H2935" t="inlineStr">
        <is>
          <t>Miguel Salazar</t>
        </is>
      </c>
      <c r="I2935" t="inlineStr">
        <is>
          <t>En contacto</t>
        </is>
      </c>
      <c r="J2935" s="28" t="n">
        <v>46167</v>
      </c>
      <c r="K2935" s="28" t="n">
        <v>46205</v>
      </c>
      <c r="L2935" t="inlineStr">
        <is>
          <t>Pendiente de primera llamada</t>
        </is>
      </c>
    </row>
    <row r="2936">
      <c r="A2936" t="inlineStr">
        <is>
          <t>CLI-2934</t>
        </is>
      </c>
      <c r="B2936" t="inlineStr">
        <is>
          <t>Nicolás Jaramillo Gómez</t>
        </is>
      </c>
      <c r="C2936" t="inlineStr">
        <is>
          <t>3208206463</t>
        </is>
      </c>
      <c r="D2936" t="inlineStr">
        <is>
          <t>nicolas.jaramillo7@outlook.com</t>
        </is>
      </c>
      <c r="E2936" t="inlineStr">
        <is>
          <t>Rionegro</t>
        </is>
      </c>
      <c r="F2936" t="inlineStr">
        <is>
          <t>PRY-005</t>
        </is>
      </c>
      <c r="G2936" t="inlineStr">
        <is>
          <t>Feria Inmobiliaria</t>
        </is>
      </c>
      <c r="H2936" t="inlineStr">
        <is>
          <t>Santiago Muñoz</t>
        </is>
      </c>
      <c r="I2936" t="inlineStr">
        <is>
          <t>En contacto</t>
        </is>
      </c>
      <c r="J2936" s="28" t="n">
        <v>46167</v>
      </c>
      <c r="K2936" s="28" t="n">
        <v>46212</v>
      </c>
      <c r="L2936" t="inlineStr">
        <is>
          <t>Pendiente de primera llamada</t>
        </is>
      </c>
    </row>
    <row r="2937">
      <c r="A2937" t="inlineStr">
        <is>
          <t>CLI-2935</t>
        </is>
      </c>
      <c r="B2937" t="inlineStr">
        <is>
          <t>Laura Salazar Jaramillo</t>
        </is>
      </c>
      <c r="C2937" t="inlineStr">
        <is>
          <t>3201948721</t>
        </is>
      </c>
      <c r="D2937" t="inlineStr">
        <is>
          <t>laura.salazar94@hotmail.com</t>
        </is>
      </c>
      <c r="E2937" t="inlineStr">
        <is>
          <t>Medellín</t>
        </is>
      </c>
      <c r="F2937" t="inlineStr">
        <is>
          <t>PRY-005</t>
        </is>
      </c>
      <c r="G2937" t="inlineStr">
        <is>
          <t>Feria Inmobiliaria</t>
        </is>
      </c>
      <c r="H2937" t="inlineStr">
        <is>
          <t>Mateo Herrera</t>
        </is>
      </c>
      <c r="I2937" t="inlineStr">
        <is>
          <t>En contacto</t>
        </is>
      </c>
      <c r="J2937" s="28" t="n">
        <v>46167</v>
      </c>
      <c r="K2937" s="28" t="n">
        <v>46206</v>
      </c>
      <c r="L2937" t="inlineStr">
        <is>
          <t>Pendiente de primera llamada</t>
        </is>
      </c>
    </row>
    <row r="2938">
      <c r="A2938" t="inlineStr">
        <is>
          <t>CLI-2936</t>
        </is>
      </c>
      <c r="B2938" t="inlineStr">
        <is>
          <t>Alejandra Bedoya Ochoa</t>
        </is>
      </c>
      <c r="C2938" t="inlineStr">
        <is>
          <t>3201625908</t>
        </is>
      </c>
      <c r="D2938" t="inlineStr">
        <is>
          <t>alejandra.bedoya65@gmail.com</t>
        </is>
      </c>
      <c r="E2938" t="inlineStr">
        <is>
          <t>Itagüí</t>
        </is>
      </c>
      <c r="F2938" t="inlineStr">
        <is>
          <t>PRY-001</t>
        </is>
      </c>
      <c r="G2938" t="inlineStr">
        <is>
          <t>Instagram</t>
        </is>
      </c>
      <c r="H2938" t="inlineStr">
        <is>
          <t>Sofía Prada</t>
        </is>
      </c>
      <c r="I2938" t="inlineStr">
        <is>
          <t>En contacto</t>
        </is>
      </c>
      <c r="J2938" s="28" t="n">
        <v>46167</v>
      </c>
      <c r="K2938" s="28" t="n">
        <v>46204</v>
      </c>
      <c r="L2938" t="inlineStr">
        <is>
          <t>Pendiente de primera llamada</t>
        </is>
      </c>
    </row>
    <row r="2939">
      <c r="A2939" t="inlineStr">
        <is>
          <t>CLI-2937</t>
        </is>
      </c>
      <c r="B2939" t="inlineStr">
        <is>
          <t>Mateo Ochoa Salcedo</t>
        </is>
      </c>
      <c r="C2939" t="inlineStr">
        <is>
          <t>3012721698</t>
        </is>
      </c>
      <c r="D2939" t="inlineStr">
        <is>
          <t>mateo.ochoa14@yahoo.com</t>
        </is>
      </c>
      <c r="E2939" t="inlineStr">
        <is>
          <t>Itagüí</t>
        </is>
      </c>
      <c r="F2939" t="inlineStr">
        <is>
          <t>PRY-001</t>
        </is>
      </c>
      <c r="G2939" t="inlineStr">
        <is>
          <t>Llamada directa</t>
        </is>
      </c>
      <c r="H2939" t="inlineStr">
        <is>
          <t>Andrés Torres</t>
        </is>
      </c>
      <c r="I2939" t="inlineStr">
        <is>
          <t>Nuevo lead</t>
        </is>
      </c>
      <c r="J2939" s="28" t="n">
        <v>46167</v>
      </c>
      <c r="K2939" s="28" t="n">
        <v>46211</v>
      </c>
      <c r="L2939" t="inlineStr">
        <is>
          <t>Pendiente de primera llamada</t>
        </is>
      </c>
    </row>
    <row r="2940">
      <c r="A2940" t="inlineStr">
        <is>
          <t>CLI-2938</t>
        </is>
      </c>
      <c r="B2940" t="inlineStr">
        <is>
          <t>Hernán Espinosa Londoño</t>
        </is>
      </c>
      <c r="C2940" t="inlineStr">
        <is>
          <t>3001039931</t>
        </is>
      </c>
      <c r="D2940" t="inlineStr">
        <is>
          <t>hernan.espinosa86@hotmail.com</t>
        </is>
      </c>
      <c r="E2940" t="inlineStr">
        <is>
          <t>La Estrella</t>
        </is>
      </c>
      <c r="F2940" t="inlineStr">
        <is>
          <t>PRY-008</t>
        </is>
      </c>
      <c r="G2940" t="inlineStr">
        <is>
          <t>Portal Web</t>
        </is>
      </c>
      <c r="H2940" t="inlineStr">
        <is>
          <t>Ana Quintero</t>
        </is>
      </c>
      <c r="I2940" t="inlineStr">
        <is>
          <t>En contacto</t>
        </is>
      </c>
      <c r="J2940" s="28" t="n">
        <v>46168</v>
      </c>
      <c r="K2940" s="28" t="n">
        <v>46204</v>
      </c>
      <c r="L2940" t="inlineStr">
        <is>
          <t>Pendiente de primera llamada</t>
        </is>
      </c>
    </row>
    <row r="2941">
      <c r="A2941" t="inlineStr">
        <is>
          <t>CLI-2939</t>
        </is>
      </c>
      <c r="B2941" t="inlineStr">
        <is>
          <t>Mauricio Cano Cardona</t>
        </is>
      </c>
      <c r="C2941" t="inlineStr">
        <is>
          <t>3018503295</t>
        </is>
      </c>
      <c r="D2941" t="inlineStr">
        <is>
          <t>mauricio.cano67@hotmail.com</t>
        </is>
      </c>
      <c r="E2941" t="inlineStr">
        <is>
          <t>Medellín</t>
        </is>
      </c>
      <c r="F2941" t="inlineStr">
        <is>
          <t>PRY-003</t>
        </is>
      </c>
      <c r="G2941" t="inlineStr">
        <is>
          <t>Portal Web</t>
        </is>
      </c>
      <c r="H2941" t="inlineStr">
        <is>
          <t>Miguel Salazar</t>
        </is>
      </c>
      <c r="I2941" t="inlineStr">
        <is>
          <t>En contacto</t>
        </is>
      </c>
      <c r="J2941" s="28" t="n">
        <v>46168</v>
      </c>
      <c r="K2941" s="28" t="n">
        <v>46212</v>
      </c>
      <c r="L2941" t="inlineStr">
        <is>
          <t>Pendiente de primera llamada</t>
        </is>
      </c>
    </row>
    <row r="2942">
      <c r="A2942" t="inlineStr">
        <is>
          <t>CLI-2940</t>
        </is>
      </c>
      <c r="B2942" t="inlineStr">
        <is>
          <t>Paula Giraldo Escobar</t>
        </is>
      </c>
      <c r="C2942" t="inlineStr">
        <is>
          <t>3107560582</t>
        </is>
      </c>
      <c r="D2942" t="inlineStr">
        <is>
          <t>paula.giraldo97@outlook.com</t>
        </is>
      </c>
      <c r="E2942" t="inlineStr">
        <is>
          <t>Rionegro</t>
        </is>
      </c>
      <c r="F2942" t="inlineStr">
        <is>
          <t>PRY-005</t>
        </is>
      </c>
      <c r="G2942" t="inlineStr">
        <is>
          <t>Instagram</t>
        </is>
      </c>
      <c r="H2942" t="inlineStr">
        <is>
          <t>Daniela Ríos</t>
        </is>
      </c>
      <c r="I2942" t="inlineStr">
        <is>
          <t>En contacto</t>
        </is>
      </c>
      <c r="J2942" s="28" t="n">
        <v>46168</v>
      </c>
      <c r="K2942" s="28" t="n">
        <v>46207</v>
      </c>
      <c r="L2942" t="inlineStr">
        <is>
          <t>Pendiente de primera llamada</t>
        </is>
      </c>
    </row>
    <row r="2943">
      <c r="A2943" t="inlineStr">
        <is>
          <t>CLI-2941</t>
        </is>
      </c>
      <c r="B2943" t="inlineStr">
        <is>
          <t>Patricia Echeverri Higuita</t>
        </is>
      </c>
      <c r="C2943" t="inlineStr">
        <is>
          <t>3015448654</t>
        </is>
      </c>
      <c r="D2943" t="inlineStr">
        <is>
          <t>patricia.echeverri21@yahoo.com</t>
        </is>
      </c>
      <c r="E2943" t="inlineStr">
        <is>
          <t>Rionegro</t>
        </is>
      </c>
      <c r="F2943" t="inlineStr">
        <is>
          <t>PRY-001</t>
        </is>
      </c>
      <c r="G2943" t="inlineStr">
        <is>
          <t>Feria Inmobiliaria</t>
        </is>
      </c>
      <c r="H2943" t="inlineStr">
        <is>
          <t>Miguel Salazar</t>
        </is>
      </c>
      <c r="I2943" t="inlineStr">
        <is>
          <t>Nuevo lead</t>
        </is>
      </c>
      <c r="J2943" s="28" t="n">
        <v>46168</v>
      </c>
      <c r="K2943" s="28" t="n">
        <v>46206</v>
      </c>
      <c r="L2943" t="inlineStr">
        <is>
          <t>Pendiente de primera llamada</t>
        </is>
      </c>
    </row>
    <row r="2944">
      <c r="A2944" t="inlineStr">
        <is>
          <t>CLI-2942</t>
        </is>
      </c>
      <c r="B2944" t="inlineStr">
        <is>
          <t>Katherine Bedoya Álvarez</t>
        </is>
      </c>
      <c r="C2944" t="inlineStr">
        <is>
          <t>3048110663</t>
        </is>
      </c>
      <c r="D2944" t="inlineStr">
        <is>
          <t>katherine.bedoya78@yahoo.com</t>
        </is>
      </c>
      <c r="E2944" t="inlineStr">
        <is>
          <t>Medellín</t>
        </is>
      </c>
      <c r="F2944" t="inlineStr">
        <is>
          <t>PRY-003</t>
        </is>
      </c>
      <c r="G2944" t="inlineStr">
        <is>
          <t>Instagram</t>
        </is>
      </c>
      <c r="H2944" t="inlineStr">
        <is>
          <t>Ana Quintero</t>
        </is>
      </c>
      <c r="I2944" t="inlineStr">
        <is>
          <t>En contacto</t>
        </is>
      </c>
      <c r="J2944" s="28" t="n">
        <v>46168</v>
      </c>
      <c r="K2944" s="28" t="n">
        <v>46213</v>
      </c>
      <c r="L2944" t="inlineStr">
        <is>
          <t>Pendiente de primera llamada</t>
        </is>
      </c>
    </row>
    <row r="2945">
      <c r="A2945" t="inlineStr">
        <is>
          <t>CLI-2943</t>
        </is>
      </c>
      <c r="B2945" t="inlineStr">
        <is>
          <t>Juan Pablo Mejía Franco</t>
        </is>
      </c>
      <c r="C2945" t="inlineStr">
        <is>
          <t>3172808870</t>
        </is>
      </c>
      <c r="D2945" t="inlineStr">
        <is>
          <t>juan.mejia89@outlook.com</t>
        </is>
      </c>
      <c r="E2945" t="inlineStr">
        <is>
          <t>Envigado</t>
        </is>
      </c>
      <c r="F2945" t="inlineStr">
        <is>
          <t>PRY-005</t>
        </is>
      </c>
      <c r="G2945" t="inlineStr">
        <is>
          <t>Portal Web</t>
        </is>
      </c>
      <c r="H2945" t="inlineStr">
        <is>
          <t>Mateo Herrera</t>
        </is>
      </c>
      <c r="I2945" t="inlineStr">
        <is>
          <t>Visita agendada</t>
        </is>
      </c>
      <c r="J2945" s="28" t="n">
        <v>46169</v>
      </c>
      <c r="K2945" s="28" t="n">
        <v>46217</v>
      </c>
      <c r="L2945" t="inlineStr">
        <is>
          <t>Visita a sala de ventas agendada</t>
        </is>
      </c>
    </row>
    <row r="2946">
      <c r="A2946" t="inlineStr">
        <is>
          <t>CLI-2944</t>
        </is>
      </c>
      <c r="B2946" t="inlineStr">
        <is>
          <t>Iván Montes Ríos</t>
        </is>
      </c>
      <c r="C2946" t="inlineStr">
        <is>
          <t>3133760398</t>
        </is>
      </c>
      <c r="D2946" t="inlineStr">
        <is>
          <t>ivan.montes64@hotmail.com</t>
        </is>
      </c>
      <c r="E2946" t="inlineStr">
        <is>
          <t>Envigado</t>
        </is>
      </c>
      <c r="F2946" t="inlineStr">
        <is>
          <t>PRY-003</t>
        </is>
      </c>
      <c r="G2946" t="inlineStr">
        <is>
          <t>Portal Web</t>
        </is>
      </c>
      <c r="H2946" t="inlineStr">
        <is>
          <t>Juliana Vélez</t>
        </is>
      </c>
      <c r="I2946" t="inlineStr">
        <is>
          <t>Nuevo lead</t>
        </is>
      </c>
      <c r="J2946" s="28" t="n">
        <v>46169</v>
      </c>
      <c r="K2946" s="28" t="n">
        <v>46210</v>
      </c>
      <c r="L2946" t="inlineStr">
        <is>
          <t>Pendiente de primera llamada</t>
        </is>
      </c>
    </row>
    <row r="2947">
      <c r="A2947" t="inlineStr">
        <is>
          <t>CLI-2945</t>
        </is>
      </c>
      <c r="B2947" t="inlineStr">
        <is>
          <t>Luisa Salcedo Vargas</t>
        </is>
      </c>
      <c r="C2947" t="inlineStr">
        <is>
          <t>3102278014</t>
        </is>
      </c>
      <c r="D2947" t="inlineStr">
        <is>
          <t>luisa.salcedo37@hotmail.com</t>
        </is>
      </c>
      <c r="E2947" t="inlineStr">
        <is>
          <t>Rionegro</t>
        </is>
      </c>
      <c r="F2947" t="inlineStr">
        <is>
          <t>PRY-005</t>
        </is>
      </c>
      <c r="G2947" t="inlineStr">
        <is>
          <t>Portal Web</t>
        </is>
      </c>
      <c r="H2947" t="inlineStr">
        <is>
          <t>Juliana Vélez</t>
        </is>
      </c>
      <c r="I2947" t="inlineStr">
        <is>
          <t>En contacto</t>
        </is>
      </c>
      <c r="J2947" s="28" t="n">
        <v>46169</v>
      </c>
      <c r="K2947" s="28" t="n">
        <v>46205</v>
      </c>
      <c r="L2947" t="inlineStr">
        <is>
          <t>Pendiente de primera llamada</t>
        </is>
      </c>
    </row>
    <row r="2948">
      <c r="A2948" t="inlineStr">
        <is>
          <t>CLI-2946</t>
        </is>
      </c>
      <c r="B2948" t="inlineStr">
        <is>
          <t>Sebastián Londoño Espinosa</t>
        </is>
      </c>
      <c r="C2948" t="inlineStr">
        <is>
          <t>3236255603</t>
        </is>
      </c>
      <c r="D2948" t="inlineStr">
        <is>
          <t>sebastian.londono32@yahoo.com</t>
        </is>
      </c>
      <c r="E2948" t="inlineStr">
        <is>
          <t>Medellín</t>
        </is>
      </c>
      <c r="F2948" t="inlineStr">
        <is>
          <t>PRY-001</t>
        </is>
      </c>
      <c r="G2948" t="inlineStr">
        <is>
          <t>Portal Web</t>
        </is>
      </c>
      <c r="H2948" t="inlineStr">
        <is>
          <t>Andrés Torres</t>
        </is>
      </c>
      <c r="I2948" t="inlineStr">
        <is>
          <t>En contacto</t>
        </is>
      </c>
      <c r="J2948" s="28" t="n">
        <v>46169</v>
      </c>
      <c r="K2948" s="28" t="n">
        <v>46210</v>
      </c>
      <c r="L2948" t="inlineStr">
        <is>
          <t>Pendiente de primera llamada</t>
        </is>
      </c>
    </row>
    <row r="2949">
      <c r="A2949" t="inlineStr">
        <is>
          <t>CLI-2947</t>
        </is>
      </c>
      <c r="B2949" t="inlineStr">
        <is>
          <t>Valeria López Zapata</t>
        </is>
      </c>
      <c r="C2949" t="inlineStr">
        <is>
          <t>3018994793</t>
        </is>
      </c>
      <c r="D2949" t="inlineStr">
        <is>
          <t>valeria.lopez28@hotmail.com</t>
        </is>
      </c>
      <c r="E2949" t="inlineStr">
        <is>
          <t>Medellín</t>
        </is>
      </c>
      <c r="F2949" t="inlineStr">
        <is>
          <t>PRY-003</t>
        </is>
      </c>
      <c r="G2949" t="inlineStr">
        <is>
          <t>Portal Web</t>
        </is>
      </c>
      <c r="H2949" t="inlineStr">
        <is>
          <t>Santiago Muñoz</t>
        </is>
      </c>
      <c r="I2949" t="inlineStr">
        <is>
          <t>Nuevo lead</t>
        </is>
      </c>
      <c r="J2949" s="28" t="n">
        <v>46169</v>
      </c>
      <c r="K2949" s="28" t="n">
        <v>46207</v>
      </c>
      <c r="L2949" t="inlineStr">
        <is>
          <t>Pendiente de primera llamada</t>
        </is>
      </c>
    </row>
    <row r="2950">
      <c r="A2950" t="inlineStr">
        <is>
          <t>CLI-2948</t>
        </is>
      </c>
      <c r="B2950" t="inlineStr">
        <is>
          <t>Rodrigo Duque Palacio</t>
        </is>
      </c>
      <c r="C2950" t="inlineStr">
        <is>
          <t>3227204287</t>
        </is>
      </c>
      <c r="D2950" t="inlineStr">
        <is>
          <t>rodrigo.duque96@gmail.com</t>
        </is>
      </c>
      <c r="E2950" t="inlineStr">
        <is>
          <t>Envigado</t>
        </is>
      </c>
      <c r="F2950" t="inlineStr">
        <is>
          <t>PRY-003</t>
        </is>
      </c>
      <c r="G2950" t="inlineStr">
        <is>
          <t>Llamada directa</t>
        </is>
      </c>
      <c r="H2950" t="inlineStr">
        <is>
          <t>Sofía Prada</t>
        </is>
      </c>
      <c r="I2950" t="inlineStr">
        <is>
          <t>Nuevo lead</t>
        </is>
      </c>
      <c r="J2950" s="28" t="n">
        <v>46170</v>
      </c>
      <c r="K2950" s="28" t="n">
        <v>46213</v>
      </c>
      <c r="L2950" t="inlineStr">
        <is>
          <t>Pidió brochure y precios</t>
        </is>
      </c>
    </row>
    <row r="2951">
      <c r="A2951" t="inlineStr">
        <is>
          <t>CLI-2949</t>
        </is>
      </c>
      <c r="B2951" t="inlineStr">
        <is>
          <t>Hernán Agudelo Toro</t>
        </is>
      </c>
      <c r="C2951" t="inlineStr">
        <is>
          <t>3146714817</t>
        </is>
      </c>
      <c r="D2951" t="inlineStr">
        <is>
          <t>hernan.agudelo62@outlook.com</t>
        </is>
      </c>
      <c r="E2951" t="inlineStr">
        <is>
          <t>Sabaneta</t>
        </is>
      </c>
      <c r="F2951" t="inlineStr">
        <is>
          <t>PRY-005</t>
        </is>
      </c>
      <c r="G2951" t="inlineStr">
        <is>
          <t>Facebook</t>
        </is>
      </c>
      <c r="H2951" t="inlineStr">
        <is>
          <t>Sofía Prada</t>
        </is>
      </c>
      <c r="I2951" t="inlineStr">
        <is>
          <t>En contacto</t>
        </is>
      </c>
      <c r="J2951" s="28" t="n">
        <v>46170</v>
      </c>
      <c r="K2951" s="28" t="n">
        <v>46205</v>
      </c>
      <c r="L2951" t="inlineStr">
        <is>
          <t>Primera llamada realizada</t>
        </is>
      </c>
    </row>
    <row r="2952">
      <c r="A2952" t="inlineStr">
        <is>
          <t>CLI-2950</t>
        </is>
      </c>
      <c r="B2952" t="inlineStr">
        <is>
          <t>Wilson Gómez Higuita</t>
        </is>
      </c>
      <c r="C2952" t="inlineStr">
        <is>
          <t>3011518412</t>
        </is>
      </c>
      <c r="D2952" t="inlineStr">
        <is>
          <t>wilson.gomez72@gmail.com</t>
        </is>
      </c>
      <c r="E2952" t="inlineStr">
        <is>
          <t>Bello</t>
        </is>
      </c>
      <c r="F2952" t="inlineStr">
        <is>
          <t>PRY-006</t>
        </is>
      </c>
      <c r="G2952" t="inlineStr">
        <is>
          <t>Instagram</t>
        </is>
      </c>
      <c r="H2952" t="inlineStr">
        <is>
          <t>Andrés Torres</t>
        </is>
      </c>
      <c r="I2952" t="inlineStr">
        <is>
          <t>Nuevo lead</t>
        </is>
      </c>
      <c r="J2952" s="28" t="n">
        <v>46170</v>
      </c>
      <c r="K2952" s="28" t="n">
        <v>46204</v>
      </c>
      <c r="L2952" t="inlineStr">
        <is>
          <t>Pendiente de primera llamada</t>
        </is>
      </c>
    </row>
    <row r="2953">
      <c r="A2953" t="inlineStr">
        <is>
          <t>CLI-2951</t>
        </is>
      </c>
      <c r="B2953" t="inlineStr">
        <is>
          <t>Ximena Vargas Hernández</t>
        </is>
      </c>
      <c r="C2953" t="inlineStr">
        <is>
          <t>3227695658</t>
        </is>
      </c>
      <c r="D2953" t="inlineStr">
        <is>
          <t>ximena.vargas64@outlook.com</t>
        </is>
      </c>
      <c r="E2953" t="inlineStr">
        <is>
          <t>Medellín</t>
        </is>
      </c>
      <c r="F2953" t="inlineStr">
        <is>
          <t>PRY-002</t>
        </is>
      </c>
      <c r="G2953" t="inlineStr">
        <is>
          <t>Facebook</t>
        </is>
      </c>
      <c r="H2953" t="inlineStr">
        <is>
          <t>Luis Bedoya</t>
        </is>
      </c>
      <c r="I2953" t="inlineStr">
        <is>
          <t>En contacto</t>
        </is>
      </c>
      <c r="J2953" s="28" t="n">
        <v>46170</v>
      </c>
      <c r="K2953" s="28" t="n">
        <v>46206</v>
      </c>
      <c r="L2953" t="inlineStr">
        <is>
          <t>Pendiente de primera llamada</t>
        </is>
      </c>
    </row>
    <row r="2954">
      <c r="A2954" t="inlineStr">
        <is>
          <t>CLI-2952</t>
        </is>
      </c>
      <c r="B2954" t="inlineStr">
        <is>
          <t>Jhon Giraldo Salazar</t>
        </is>
      </c>
      <c r="C2954" t="inlineStr">
        <is>
          <t>3237344101</t>
        </is>
      </c>
      <c r="D2954" t="inlineStr">
        <is>
          <t>jhon.giraldo1@yahoo.com</t>
        </is>
      </c>
      <c r="E2954" t="inlineStr">
        <is>
          <t>Envigado</t>
        </is>
      </c>
      <c r="F2954" t="inlineStr">
        <is>
          <t>PRY-007</t>
        </is>
      </c>
      <c r="G2954" t="inlineStr">
        <is>
          <t>Facebook</t>
        </is>
      </c>
      <c r="H2954" t="inlineStr">
        <is>
          <t>Ana Quintero</t>
        </is>
      </c>
      <c r="I2954" t="inlineStr">
        <is>
          <t>En contacto</t>
        </is>
      </c>
      <c r="J2954" s="28" t="n">
        <v>46170</v>
      </c>
      <c r="K2954" s="28" t="n">
        <v>46206</v>
      </c>
      <c r="L2954" t="inlineStr">
        <is>
          <t>Pendiente de primera llamada</t>
        </is>
      </c>
    </row>
    <row r="2955">
      <c r="A2955" t="inlineStr">
        <is>
          <t>CLI-2953</t>
        </is>
      </c>
      <c r="B2955" t="inlineStr">
        <is>
          <t>Tomás Quintero Castaño</t>
        </is>
      </c>
      <c r="C2955" t="inlineStr">
        <is>
          <t>3173898270</t>
        </is>
      </c>
      <c r="D2955" t="inlineStr">
        <is>
          <t>tomas.quintero21@hotmail.com</t>
        </is>
      </c>
      <c r="E2955" t="inlineStr">
        <is>
          <t>La Estrella</t>
        </is>
      </c>
      <c r="F2955" t="inlineStr">
        <is>
          <t>PRY-007</t>
        </is>
      </c>
      <c r="G2955" t="inlineStr">
        <is>
          <t>Portal Web</t>
        </is>
      </c>
      <c r="H2955" t="inlineStr">
        <is>
          <t>Sofía Prada</t>
        </is>
      </c>
      <c r="I2955" t="inlineStr">
        <is>
          <t>En contacto</t>
        </is>
      </c>
      <c r="J2955" s="28" t="n">
        <v>46171</v>
      </c>
      <c r="K2955" s="28" t="n">
        <v>46204</v>
      </c>
      <c r="L2955" t="inlineStr">
        <is>
          <t>Pendiente de primera llamada</t>
        </is>
      </c>
    </row>
    <row r="2956">
      <c r="A2956" t="inlineStr">
        <is>
          <t>CLI-2954</t>
        </is>
      </c>
      <c r="B2956" t="inlineStr">
        <is>
          <t>Daniela Franco Zapata</t>
        </is>
      </c>
      <c r="C2956" t="inlineStr">
        <is>
          <t>3044597696</t>
        </is>
      </c>
      <c r="D2956" t="inlineStr">
        <is>
          <t>daniela.franco42@hotmail.com</t>
        </is>
      </c>
      <c r="E2956" t="inlineStr">
        <is>
          <t>Sabaneta</t>
        </is>
      </c>
      <c r="F2956" t="inlineStr">
        <is>
          <t>PRY-002</t>
        </is>
      </c>
      <c r="G2956" t="inlineStr">
        <is>
          <t>Portal Web</t>
        </is>
      </c>
      <c r="H2956" t="inlineStr">
        <is>
          <t>Miguel Salazar</t>
        </is>
      </c>
      <c r="I2956" t="inlineStr">
        <is>
          <t>Nuevo lead</t>
        </is>
      </c>
      <c r="J2956" s="28" t="n">
        <v>46172</v>
      </c>
      <c r="K2956" s="28" t="n">
        <v>46215</v>
      </c>
      <c r="L2956" t="inlineStr">
        <is>
          <t>Pidió brochure y precios</t>
        </is>
      </c>
    </row>
    <row r="2957">
      <c r="A2957" t="inlineStr">
        <is>
          <t>CLI-2955</t>
        </is>
      </c>
      <c r="B2957" t="inlineStr">
        <is>
          <t>Luisa Betancur Duque</t>
        </is>
      </c>
      <c r="C2957" t="inlineStr">
        <is>
          <t>3222625142</t>
        </is>
      </c>
      <c r="D2957" t="inlineStr">
        <is>
          <t>luisa.betancur35@outlook.com</t>
        </is>
      </c>
      <c r="E2957" t="inlineStr">
        <is>
          <t>Medellín</t>
        </is>
      </c>
      <c r="F2957" t="inlineStr">
        <is>
          <t>PRY-003</t>
        </is>
      </c>
      <c r="G2957" t="inlineStr">
        <is>
          <t>Instagram</t>
        </is>
      </c>
      <c r="H2957" t="inlineStr">
        <is>
          <t>Luis Bedoya</t>
        </is>
      </c>
      <c r="I2957" t="inlineStr">
        <is>
          <t>En contacto</t>
        </is>
      </c>
      <c r="J2957" s="28" t="n">
        <v>46172</v>
      </c>
      <c r="K2957" s="28" t="n">
        <v>46207</v>
      </c>
      <c r="L2957" t="inlineStr">
        <is>
          <t>Pendiente de primera llamada</t>
        </is>
      </c>
    </row>
    <row r="2958">
      <c r="A2958" t="inlineStr">
        <is>
          <t>CLI-2956</t>
        </is>
      </c>
      <c r="B2958" t="inlineStr">
        <is>
          <t>Gloria Peláez Uribe</t>
        </is>
      </c>
      <c r="C2958" t="inlineStr">
        <is>
          <t>3176336142</t>
        </is>
      </c>
      <c r="D2958" t="inlineStr">
        <is>
          <t>gloria.pelaez97@gmail.com</t>
        </is>
      </c>
      <c r="E2958" t="inlineStr">
        <is>
          <t>Bello</t>
        </is>
      </c>
      <c r="F2958" t="inlineStr">
        <is>
          <t>PRY-006</t>
        </is>
      </c>
      <c r="G2958" t="inlineStr">
        <is>
          <t>Portal Web</t>
        </is>
      </c>
      <c r="H2958" t="inlineStr">
        <is>
          <t>Andrés Torres</t>
        </is>
      </c>
      <c r="I2958" t="inlineStr">
        <is>
          <t>En contacto</t>
        </is>
      </c>
      <c r="J2958" s="28" t="n">
        <v>46173</v>
      </c>
      <c r="K2958" s="28" t="n">
        <v>46211</v>
      </c>
      <c r="L2958" t="inlineStr">
        <is>
          <t>Pendiente de primera llamada</t>
        </is>
      </c>
    </row>
    <row r="2959">
      <c r="A2959" t="inlineStr">
        <is>
          <t>CLI-2957</t>
        </is>
      </c>
      <c r="B2959" t="inlineStr">
        <is>
          <t>Hernán Sánchez Duque</t>
        </is>
      </c>
      <c r="C2959" t="inlineStr">
        <is>
          <t>3172125877</t>
        </is>
      </c>
      <c r="D2959" t="inlineStr">
        <is>
          <t>hernan.sanchez68@outlook.com</t>
        </is>
      </c>
      <c r="E2959" t="inlineStr">
        <is>
          <t>Itagüí</t>
        </is>
      </c>
      <c r="F2959" t="inlineStr">
        <is>
          <t>PRY-008</t>
        </is>
      </c>
      <c r="G2959" t="inlineStr">
        <is>
          <t>Portal Web</t>
        </is>
      </c>
      <c r="H2959" t="inlineStr">
        <is>
          <t>Daniela Ríos</t>
        </is>
      </c>
      <c r="I2959" t="inlineStr">
        <is>
          <t>En contacto</t>
        </is>
      </c>
      <c r="J2959" s="28" t="n">
        <v>46173</v>
      </c>
      <c r="K2959" s="28" t="n">
        <v>46205</v>
      </c>
      <c r="L2959" t="inlineStr">
        <is>
          <t>Pendiente de primera llamada</t>
        </is>
      </c>
    </row>
    <row r="2960">
      <c r="A2960" t="inlineStr">
        <is>
          <t>CLI-2958</t>
        </is>
      </c>
      <c r="B2960" t="inlineStr">
        <is>
          <t>Óscar Zapata Arango</t>
        </is>
      </c>
      <c r="C2960" t="inlineStr">
        <is>
          <t>3144896967</t>
        </is>
      </c>
      <c r="D2960" t="inlineStr">
        <is>
          <t>oscar.zapata55@gmail.com</t>
        </is>
      </c>
      <c r="E2960" t="inlineStr">
        <is>
          <t>Sabaneta</t>
        </is>
      </c>
      <c r="F2960" t="inlineStr">
        <is>
          <t>PRY-008</t>
        </is>
      </c>
      <c r="G2960" t="inlineStr">
        <is>
          <t>Facebook</t>
        </is>
      </c>
      <c r="H2960" t="inlineStr">
        <is>
          <t>Ana Quintero</t>
        </is>
      </c>
      <c r="I2960" t="inlineStr">
        <is>
          <t>Nuevo lead</t>
        </is>
      </c>
      <c r="J2960" s="28" t="n">
        <v>46173</v>
      </c>
      <c r="K2960" s="28" t="n">
        <v>46211</v>
      </c>
      <c r="L2960" t="inlineStr">
        <is>
          <t>Pendiente de primera llamada</t>
        </is>
      </c>
    </row>
    <row r="2961">
      <c r="A2961" t="inlineStr">
        <is>
          <t>CLI-2959</t>
        </is>
      </c>
      <c r="B2961" t="inlineStr">
        <is>
          <t>Valentina Sánchez Toro</t>
        </is>
      </c>
      <c r="C2961" t="inlineStr">
        <is>
          <t>3104885387</t>
        </is>
      </c>
      <c r="D2961" t="inlineStr">
        <is>
          <t>valentina.sanchez55@gmail.com</t>
        </is>
      </c>
      <c r="E2961" t="inlineStr">
        <is>
          <t>La Estrella</t>
        </is>
      </c>
      <c r="F2961" t="inlineStr">
        <is>
          <t>PRY-001</t>
        </is>
      </c>
      <c r="G2961" t="inlineStr">
        <is>
          <t>Portal Web</t>
        </is>
      </c>
      <c r="H2961" t="inlineStr">
        <is>
          <t>Ana Quintero</t>
        </is>
      </c>
      <c r="I2961" t="inlineStr">
        <is>
          <t>Nuevo lead</t>
        </is>
      </c>
      <c r="J2961" s="28" t="n">
        <v>46173</v>
      </c>
      <c r="K2961" s="28" t="n">
        <v>46206</v>
      </c>
      <c r="L2961" t="inlineStr">
        <is>
          <t>Pendiente de primera llamada</t>
        </is>
      </c>
    </row>
    <row r="2962">
      <c r="A2962" t="inlineStr">
        <is>
          <t>CLI-2960</t>
        </is>
      </c>
      <c r="B2962" t="inlineStr">
        <is>
          <t>Catalina Cano Londoño</t>
        </is>
      </c>
      <c r="C2962" t="inlineStr">
        <is>
          <t>3237291878</t>
        </is>
      </c>
      <c r="D2962" t="inlineStr">
        <is>
          <t>catalina.cano29@gmail.com</t>
        </is>
      </c>
      <c r="E2962" t="inlineStr">
        <is>
          <t>Bello</t>
        </is>
      </c>
      <c r="F2962" t="inlineStr">
        <is>
          <t>PRY-005</t>
        </is>
      </c>
      <c r="G2962" t="inlineStr">
        <is>
          <t>Instagram</t>
        </is>
      </c>
      <c r="H2962" t="inlineStr">
        <is>
          <t>Sofía Prada</t>
        </is>
      </c>
      <c r="I2962" t="inlineStr">
        <is>
          <t>Nuevo lead</t>
        </is>
      </c>
      <c r="J2962" s="28" t="n">
        <v>46173</v>
      </c>
      <c r="K2962" s="28" t="n">
        <v>46207</v>
      </c>
      <c r="L2962" t="inlineStr">
        <is>
          <t>Pendiente de primera llamada</t>
        </is>
      </c>
    </row>
    <row r="2963">
      <c r="A2963" t="inlineStr">
        <is>
          <t>CLI-2961</t>
        </is>
      </c>
      <c r="B2963" t="inlineStr">
        <is>
          <t>Mónica Echeverri Montes</t>
        </is>
      </c>
      <c r="C2963" t="inlineStr">
        <is>
          <t>3011303744</t>
        </is>
      </c>
      <c r="D2963" t="inlineStr">
        <is>
          <t>monica.echeverri69@outlook.com</t>
        </is>
      </c>
      <c r="E2963" t="inlineStr">
        <is>
          <t>Itagüí</t>
        </is>
      </c>
      <c r="F2963" t="inlineStr">
        <is>
          <t>PRY-005</t>
        </is>
      </c>
      <c r="G2963" t="inlineStr">
        <is>
          <t>Facebook</t>
        </is>
      </c>
      <c r="H2963" t="inlineStr">
        <is>
          <t>Miguel Salazar</t>
        </is>
      </c>
      <c r="I2963" t="inlineStr">
        <is>
          <t>Nuevo lead</t>
        </is>
      </c>
      <c r="J2963" s="28" t="n">
        <v>46173</v>
      </c>
      <c r="K2963" s="28" t="n">
        <v>46209</v>
      </c>
      <c r="L2963" t="inlineStr">
        <is>
          <t>Pendiente de primera llamada</t>
        </is>
      </c>
    </row>
    <row r="2964">
      <c r="A2964" t="inlineStr">
        <is>
          <t>CLI-2962</t>
        </is>
      </c>
      <c r="B2964" t="inlineStr">
        <is>
          <t>Mariana Agudelo Pérez</t>
        </is>
      </c>
      <c r="C2964" t="inlineStr">
        <is>
          <t>3158170961</t>
        </is>
      </c>
      <c r="D2964" t="inlineStr">
        <is>
          <t>mariana.agudelo29@outlook.com</t>
        </is>
      </c>
      <c r="E2964" t="inlineStr">
        <is>
          <t>Envigado</t>
        </is>
      </c>
      <c r="F2964" t="inlineStr">
        <is>
          <t>PRY-007</t>
        </is>
      </c>
      <c r="G2964" t="inlineStr">
        <is>
          <t>Facebook</t>
        </is>
      </c>
      <c r="H2964" t="inlineStr">
        <is>
          <t>Sofía Prada</t>
        </is>
      </c>
      <c r="I2964" t="inlineStr">
        <is>
          <t>Nuevo lead</t>
        </is>
      </c>
      <c r="J2964" s="28" t="n">
        <v>46174</v>
      </c>
      <c r="K2964" s="28" t="n">
        <v>46213</v>
      </c>
      <c r="L2964" t="inlineStr">
        <is>
          <t>Pendiente de primera llamada</t>
        </is>
      </c>
    </row>
    <row r="2965">
      <c r="A2965" t="inlineStr">
        <is>
          <t>CLI-2963</t>
        </is>
      </c>
      <c r="B2965" t="inlineStr">
        <is>
          <t>Wilson Zuluaga Henao</t>
        </is>
      </c>
      <c r="C2965" t="inlineStr">
        <is>
          <t>3006597632</t>
        </is>
      </c>
      <c r="D2965" t="inlineStr">
        <is>
          <t>wilson.zuluaga18@hotmail.com</t>
        </is>
      </c>
      <c r="E2965" t="inlineStr">
        <is>
          <t>Rionegro</t>
        </is>
      </c>
      <c r="F2965" t="inlineStr">
        <is>
          <t>PRY-002</t>
        </is>
      </c>
      <c r="G2965" t="inlineStr">
        <is>
          <t>Portal Web</t>
        </is>
      </c>
      <c r="H2965" t="inlineStr">
        <is>
          <t>Sofía Prada</t>
        </is>
      </c>
      <c r="I2965" t="inlineStr">
        <is>
          <t>Nuevo lead</t>
        </is>
      </c>
      <c r="J2965" s="28" t="n">
        <v>46174</v>
      </c>
      <c r="K2965" s="28" t="n">
        <v>46205</v>
      </c>
      <c r="L2965" t="inlineStr">
        <is>
          <t>Pendiente de primera llamada</t>
        </is>
      </c>
    </row>
    <row r="2966">
      <c r="A2966" t="inlineStr">
        <is>
          <t>CLI-2964</t>
        </is>
      </c>
      <c r="B2966" t="inlineStr">
        <is>
          <t>José Gaviria Cano</t>
        </is>
      </c>
      <c r="C2966" t="inlineStr">
        <is>
          <t>3229567977</t>
        </is>
      </c>
      <c r="D2966" t="inlineStr">
        <is>
          <t>jose.gaviria34@hotmail.com</t>
        </is>
      </c>
      <c r="E2966" t="inlineStr">
        <is>
          <t>Envigado</t>
        </is>
      </c>
      <c r="F2966" t="inlineStr">
        <is>
          <t>PRY-001</t>
        </is>
      </c>
      <c r="G2966" t="inlineStr">
        <is>
          <t>Portal Web</t>
        </is>
      </c>
      <c r="H2966" t="inlineStr">
        <is>
          <t>Mateo Herrera</t>
        </is>
      </c>
      <c r="I2966" t="inlineStr">
        <is>
          <t>Nuevo lead</t>
        </is>
      </c>
      <c r="J2966" s="28" t="n">
        <v>46174</v>
      </c>
      <c r="K2966" s="28" t="n">
        <v>46209</v>
      </c>
      <c r="L2966" t="inlineStr">
        <is>
          <t>Pendiente de primera llamada</t>
        </is>
      </c>
    </row>
    <row r="2967">
      <c r="A2967" t="inlineStr">
        <is>
          <t>CLI-2965</t>
        </is>
      </c>
      <c r="B2967" t="inlineStr">
        <is>
          <t>Carolina Montoya Rojas</t>
        </is>
      </c>
      <c r="C2967" t="inlineStr">
        <is>
          <t>3103760393</t>
        </is>
      </c>
      <c r="D2967" t="inlineStr">
        <is>
          <t>carolina.montoya95@hotmail.com</t>
        </is>
      </c>
      <c r="E2967" t="inlineStr">
        <is>
          <t>Itagüí</t>
        </is>
      </c>
      <c r="F2967" t="inlineStr">
        <is>
          <t>PRY-002</t>
        </is>
      </c>
      <c r="G2967" t="inlineStr">
        <is>
          <t>Feria Inmobiliaria</t>
        </is>
      </c>
      <c r="H2967" t="inlineStr">
        <is>
          <t>Santiago Muñoz</t>
        </is>
      </c>
      <c r="I2967" t="inlineStr">
        <is>
          <t>Nuevo lead</t>
        </is>
      </c>
      <c r="J2967" s="28" t="n">
        <v>46174</v>
      </c>
      <c r="K2967" s="28" t="n">
        <v>46209</v>
      </c>
      <c r="L2967" t="inlineStr">
        <is>
          <t>Pendiente de primera llamada</t>
        </is>
      </c>
    </row>
    <row r="2968">
      <c r="A2968" t="inlineStr">
        <is>
          <t>CLI-2966</t>
        </is>
      </c>
      <c r="B2968" t="inlineStr">
        <is>
          <t>Jhon Sánchez Hernández</t>
        </is>
      </c>
      <c r="C2968" t="inlineStr">
        <is>
          <t>3108540526</t>
        </is>
      </c>
      <c r="D2968" t="inlineStr">
        <is>
          <t>jhon.sanchez31@yahoo.com</t>
        </is>
      </c>
      <c r="E2968" t="inlineStr">
        <is>
          <t>Medellín</t>
        </is>
      </c>
      <c r="F2968" t="inlineStr">
        <is>
          <t>PRY-001</t>
        </is>
      </c>
      <c r="G2968" t="inlineStr">
        <is>
          <t>Facebook</t>
        </is>
      </c>
      <c r="H2968" t="inlineStr">
        <is>
          <t>Mateo Herrera</t>
        </is>
      </c>
      <c r="I2968" t="inlineStr">
        <is>
          <t>Nuevo lead</t>
        </is>
      </c>
      <c r="J2968" s="28" t="n">
        <v>46174</v>
      </c>
      <c r="K2968" s="28" t="n">
        <v>46206</v>
      </c>
      <c r="L2968" t="inlineStr">
        <is>
          <t>Pendiente de primera llamada</t>
        </is>
      </c>
    </row>
    <row r="2969">
      <c r="A2969" t="inlineStr">
        <is>
          <t>CLI-2967</t>
        </is>
      </c>
      <c r="B2969" t="inlineStr">
        <is>
          <t>Juliana Vargas Agudelo</t>
        </is>
      </c>
      <c r="C2969" t="inlineStr">
        <is>
          <t>3158519175</t>
        </is>
      </c>
      <c r="D2969" t="inlineStr">
        <is>
          <t>juliana.vargas14@outlook.com</t>
        </is>
      </c>
      <c r="E2969" t="inlineStr">
        <is>
          <t>Rionegro</t>
        </is>
      </c>
      <c r="F2969" t="inlineStr">
        <is>
          <t>PRY-002</t>
        </is>
      </c>
      <c r="G2969" t="inlineStr">
        <is>
          <t>Feria Inmobiliaria</t>
        </is>
      </c>
      <c r="H2969" t="inlineStr">
        <is>
          <t>Sofía Prada</t>
        </is>
      </c>
      <c r="I2969" t="inlineStr">
        <is>
          <t>Nuevo lead</t>
        </is>
      </c>
      <c r="J2969" s="28" t="n">
        <v>46174</v>
      </c>
      <c r="K2969" s="28" t="n">
        <v>46205</v>
      </c>
      <c r="L2969" t="inlineStr">
        <is>
          <t>Pendiente de primera llamada</t>
        </is>
      </c>
    </row>
    <row r="2970">
      <c r="A2970" t="inlineStr">
        <is>
          <t>CLI-2968</t>
        </is>
      </c>
      <c r="B2970" t="inlineStr">
        <is>
          <t>José Valencia Palacio</t>
        </is>
      </c>
      <c r="C2970" t="inlineStr">
        <is>
          <t>3141306195</t>
        </is>
      </c>
      <c r="D2970" t="inlineStr">
        <is>
          <t>jose.valencia33@yahoo.com</t>
        </is>
      </c>
      <c r="E2970" t="inlineStr">
        <is>
          <t>Rionegro</t>
        </is>
      </c>
      <c r="F2970" t="inlineStr">
        <is>
          <t>PRY-005</t>
        </is>
      </c>
      <c r="G2970" t="inlineStr">
        <is>
          <t>Referido</t>
        </is>
      </c>
      <c r="H2970" t="inlineStr">
        <is>
          <t>Santiago Muñoz</t>
        </is>
      </c>
      <c r="I2970" t="inlineStr">
        <is>
          <t>Nuevo lead</t>
        </is>
      </c>
      <c r="J2970" s="28" t="n">
        <v>46175</v>
      </c>
      <c r="K2970" s="28" t="n">
        <v>46213</v>
      </c>
      <c r="L2970" t="inlineStr">
        <is>
          <t>Pidió brochure y precios</t>
        </is>
      </c>
    </row>
    <row r="2971">
      <c r="A2971" t="inlineStr">
        <is>
          <t>CLI-2969</t>
        </is>
      </c>
      <c r="B2971" t="inlineStr">
        <is>
          <t>Sebastián Montes Ochoa</t>
        </is>
      </c>
      <c r="C2971" t="inlineStr">
        <is>
          <t>3141698557</t>
        </is>
      </c>
      <c r="D2971" t="inlineStr">
        <is>
          <t>sebastian.montes24@gmail.com</t>
        </is>
      </c>
      <c r="E2971" t="inlineStr">
        <is>
          <t>Bello</t>
        </is>
      </c>
      <c r="F2971" t="inlineStr">
        <is>
          <t>PRY-006</t>
        </is>
      </c>
      <c r="G2971" t="inlineStr">
        <is>
          <t>Referido</t>
        </is>
      </c>
      <c r="H2971" t="inlineStr">
        <is>
          <t>Ana Quintero</t>
        </is>
      </c>
      <c r="I2971" t="inlineStr">
        <is>
          <t>En contacto</t>
        </is>
      </c>
      <c r="J2971" s="28" t="n">
        <v>46175</v>
      </c>
      <c r="K2971" s="28" t="n">
        <v>46204</v>
      </c>
      <c r="L2971" t="inlineStr">
        <is>
          <t>Pendiente de primera llamada</t>
        </is>
      </c>
    </row>
    <row r="2972">
      <c r="A2972" t="inlineStr">
        <is>
          <t>CLI-2970</t>
        </is>
      </c>
      <c r="B2972" t="inlineStr">
        <is>
          <t>Hernán Arango Escobar</t>
        </is>
      </c>
      <c r="C2972" t="inlineStr">
        <is>
          <t>3246173095</t>
        </is>
      </c>
      <c r="D2972" t="inlineStr">
        <is>
          <t>hernan.arango78@hotmail.com</t>
        </is>
      </c>
      <c r="E2972" t="inlineStr">
        <is>
          <t>Medellín</t>
        </is>
      </c>
      <c r="F2972" t="inlineStr">
        <is>
          <t>PRY-003</t>
        </is>
      </c>
      <c r="G2972" t="inlineStr">
        <is>
          <t>Portal Web</t>
        </is>
      </c>
      <c r="H2972" t="inlineStr">
        <is>
          <t>Miguel Salazar</t>
        </is>
      </c>
      <c r="I2972" t="inlineStr">
        <is>
          <t>Nuevo lead</t>
        </is>
      </c>
      <c r="J2972" s="28" t="n">
        <v>46175</v>
      </c>
      <c r="K2972" s="28" t="n">
        <v>46207</v>
      </c>
      <c r="L2972" t="inlineStr">
        <is>
          <t>Pendiente de primera llamada</t>
        </is>
      </c>
    </row>
    <row r="2973">
      <c r="A2973" t="inlineStr">
        <is>
          <t>CLI-2971</t>
        </is>
      </c>
      <c r="B2973" t="inlineStr">
        <is>
          <t>Mariana Giraldo Toro</t>
        </is>
      </c>
      <c r="C2973" t="inlineStr">
        <is>
          <t>3221656353</t>
        </is>
      </c>
      <c r="D2973" t="inlineStr">
        <is>
          <t>mariana.giraldo86@gmail.com</t>
        </is>
      </c>
      <c r="E2973" t="inlineStr">
        <is>
          <t>Sabaneta</t>
        </is>
      </c>
      <c r="F2973" t="inlineStr">
        <is>
          <t>PRY-002</t>
        </is>
      </c>
      <c r="G2973" t="inlineStr">
        <is>
          <t>Feria Inmobiliaria</t>
        </is>
      </c>
      <c r="H2973" t="inlineStr">
        <is>
          <t>Andrés Torres</t>
        </is>
      </c>
      <c r="I2973" t="inlineStr">
        <is>
          <t>Nuevo lead</t>
        </is>
      </c>
      <c r="J2973" s="28" t="n">
        <v>46175</v>
      </c>
      <c r="K2973" s="28" t="n">
        <v>46206</v>
      </c>
      <c r="L2973" t="inlineStr">
        <is>
          <t>Pendiente de primera llamada</t>
        </is>
      </c>
    </row>
    <row r="2974">
      <c r="A2974" t="inlineStr">
        <is>
          <t>CLI-2972</t>
        </is>
      </c>
      <c r="B2974" t="inlineStr">
        <is>
          <t>Ricardo Echeverri Jaramillo</t>
        </is>
      </c>
      <c r="C2974" t="inlineStr">
        <is>
          <t>3006722420</t>
        </is>
      </c>
      <c r="D2974" t="inlineStr">
        <is>
          <t>ricardo.echeverri46@gmail.com</t>
        </is>
      </c>
      <c r="E2974" t="inlineStr">
        <is>
          <t>Rionegro</t>
        </is>
      </c>
      <c r="F2974" t="inlineStr">
        <is>
          <t>PRY-003</t>
        </is>
      </c>
      <c r="G2974" t="inlineStr">
        <is>
          <t>Portal Web</t>
        </is>
      </c>
      <c r="H2974" t="inlineStr">
        <is>
          <t>Sofía Prada</t>
        </is>
      </c>
      <c r="I2974" t="inlineStr">
        <is>
          <t>En contacto</t>
        </is>
      </c>
      <c r="J2974" s="28" t="n">
        <v>46175</v>
      </c>
      <c r="K2974" s="28" t="n">
        <v>46210</v>
      </c>
      <c r="L2974" t="inlineStr">
        <is>
          <t>Pendiente de primera llamada</t>
        </is>
      </c>
    </row>
    <row r="2975">
      <c r="A2975" t="inlineStr">
        <is>
          <t>CLI-2973</t>
        </is>
      </c>
      <c r="B2975" t="inlineStr">
        <is>
          <t>Julián Ramírez Ochoa</t>
        </is>
      </c>
      <c r="C2975" t="inlineStr">
        <is>
          <t>3136786194</t>
        </is>
      </c>
      <c r="D2975" t="inlineStr">
        <is>
          <t>julian.ramirez63@hotmail.com</t>
        </is>
      </c>
      <c r="E2975" t="inlineStr">
        <is>
          <t>Bello</t>
        </is>
      </c>
      <c r="F2975" t="inlineStr">
        <is>
          <t>PRY-006</t>
        </is>
      </c>
      <c r="G2975" t="inlineStr">
        <is>
          <t>Llamada directa</t>
        </is>
      </c>
      <c r="H2975" t="inlineStr">
        <is>
          <t>Andrés Torres</t>
        </is>
      </c>
      <c r="I2975" t="inlineStr">
        <is>
          <t>Nuevo lead</t>
        </is>
      </c>
      <c r="J2975" s="28" t="n">
        <v>46176</v>
      </c>
      <c r="K2975" s="28" t="n">
        <v>46210</v>
      </c>
      <c r="L2975" t="inlineStr">
        <is>
          <t>Solicitó información por formulario</t>
        </is>
      </c>
    </row>
    <row r="2976">
      <c r="A2976" t="inlineStr">
        <is>
          <t>CLI-2974</t>
        </is>
      </c>
      <c r="B2976" t="inlineStr">
        <is>
          <t>Sandra Cardona Gaviria</t>
        </is>
      </c>
      <c r="C2976" t="inlineStr">
        <is>
          <t>3012946741</t>
        </is>
      </c>
      <c r="D2976" t="inlineStr">
        <is>
          <t>sandra.cardona84@gmail.com</t>
        </is>
      </c>
      <c r="E2976" t="inlineStr">
        <is>
          <t>Envigado</t>
        </is>
      </c>
      <c r="F2976" t="inlineStr">
        <is>
          <t>PRY-007</t>
        </is>
      </c>
      <c r="G2976" t="inlineStr">
        <is>
          <t>Facebook</t>
        </is>
      </c>
      <c r="H2976" t="inlineStr">
        <is>
          <t>Luis Bedoya</t>
        </is>
      </c>
      <c r="I2976" t="inlineStr">
        <is>
          <t>Nuevo lead</t>
        </is>
      </c>
      <c r="J2976" s="28" t="n">
        <v>46176</v>
      </c>
      <c r="K2976" s="28" t="n">
        <v>46213</v>
      </c>
      <c r="L2976" t="inlineStr">
        <is>
          <t>Solicitó información por formulario</t>
        </is>
      </c>
    </row>
    <row r="2977">
      <c r="A2977" t="inlineStr">
        <is>
          <t>CLI-2975</t>
        </is>
      </c>
      <c r="B2977" t="inlineStr">
        <is>
          <t>Emilio Zapata Zuluaga</t>
        </is>
      </c>
      <c r="C2977" t="inlineStr">
        <is>
          <t>3046167395</t>
        </is>
      </c>
      <c r="D2977" t="inlineStr">
        <is>
          <t>emilio.zapata56@outlook.com</t>
        </is>
      </c>
      <c r="E2977" t="inlineStr">
        <is>
          <t>Envigado</t>
        </is>
      </c>
      <c r="F2977" t="inlineStr">
        <is>
          <t>PRY-008</t>
        </is>
      </c>
      <c r="G2977" t="inlineStr">
        <is>
          <t>Feria Inmobiliaria</t>
        </is>
      </c>
      <c r="H2977" t="inlineStr">
        <is>
          <t>Andrés Torres</t>
        </is>
      </c>
      <c r="I2977" t="inlineStr">
        <is>
          <t>En contacto</t>
        </is>
      </c>
      <c r="J2977" s="28" t="n">
        <v>46176</v>
      </c>
      <c r="K2977" s="28" t="n">
        <v>46211</v>
      </c>
      <c r="L2977" t="inlineStr">
        <is>
          <t>Pendiente de primera llamada</t>
        </is>
      </c>
    </row>
    <row r="2978">
      <c r="A2978" t="inlineStr">
        <is>
          <t>CLI-2976</t>
        </is>
      </c>
      <c r="B2978" t="inlineStr">
        <is>
          <t>Fernando Henao Ochoa</t>
        </is>
      </c>
      <c r="C2978" t="inlineStr">
        <is>
          <t>3233788347</t>
        </is>
      </c>
      <c r="D2978" t="inlineStr">
        <is>
          <t>fernando.henao19@yahoo.com</t>
        </is>
      </c>
      <c r="E2978" t="inlineStr">
        <is>
          <t>La Estrella</t>
        </is>
      </c>
      <c r="F2978" t="inlineStr">
        <is>
          <t>PRY-003</t>
        </is>
      </c>
      <c r="G2978" t="inlineStr">
        <is>
          <t>Llamada directa</t>
        </is>
      </c>
      <c r="H2978" t="inlineStr">
        <is>
          <t>Luis Bedoya</t>
        </is>
      </c>
      <c r="I2978" t="inlineStr">
        <is>
          <t>Nuevo lead</t>
        </is>
      </c>
      <c r="J2978" s="28" t="n">
        <v>46176</v>
      </c>
      <c r="K2978" s="28" t="n">
        <v>46206</v>
      </c>
      <c r="L2978" t="inlineStr">
        <is>
          <t>Pendiente de primera llamada</t>
        </is>
      </c>
    </row>
    <row r="2979">
      <c r="A2979" t="inlineStr">
        <is>
          <t>CLI-2977</t>
        </is>
      </c>
      <c r="B2979" t="inlineStr">
        <is>
          <t>Juan Pablo Duque Ochoa</t>
        </is>
      </c>
      <c r="C2979" t="inlineStr">
        <is>
          <t>3228283188</t>
        </is>
      </c>
      <c r="D2979" t="inlineStr">
        <is>
          <t>juan.duque76@outlook.com</t>
        </is>
      </c>
      <c r="E2979" t="inlineStr">
        <is>
          <t>Bello</t>
        </is>
      </c>
      <c r="F2979" t="inlineStr">
        <is>
          <t>PRY-008</t>
        </is>
      </c>
      <c r="G2979" t="inlineStr">
        <is>
          <t>Instagram</t>
        </is>
      </c>
      <c r="H2979" t="inlineStr">
        <is>
          <t>Daniela Ríos</t>
        </is>
      </c>
      <c r="I2979" t="inlineStr">
        <is>
          <t>En contacto</t>
        </is>
      </c>
      <c r="J2979" s="28" t="n">
        <v>46176</v>
      </c>
      <c r="K2979" s="28" t="n">
        <v>46209</v>
      </c>
      <c r="L2979" t="inlineStr">
        <is>
          <t>Pendiente de primera llamada</t>
        </is>
      </c>
    </row>
    <row r="2980">
      <c r="A2980" t="inlineStr">
        <is>
          <t>CLI-2978</t>
        </is>
      </c>
      <c r="B2980" t="inlineStr">
        <is>
          <t>Santiago Peláez Sánchez</t>
        </is>
      </c>
      <c r="C2980" t="inlineStr">
        <is>
          <t>3177464904</t>
        </is>
      </c>
      <c r="D2980" t="inlineStr">
        <is>
          <t>santiago.pelaez44@hotmail.com</t>
        </is>
      </c>
      <c r="E2980" t="inlineStr">
        <is>
          <t>Bello</t>
        </is>
      </c>
      <c r="F2980" t="inlineStr">
        <is>
          <t>PRY-003</t>
        </is>
      </c>
      <c r="G2980" t="inlineStr">
        <is>
          <t>Portal Web</t>
        </is>
      </c>
      <c r="H2980" t="inlineStr">
        <is>
          <t>Santiago Muñoz</t>
        </is>
      </c>
      <c r="I2980" t="inlineStr">
        <is>
          <t>Nuevo lead</t>
        </is>
      </c>
      <c r="J2980" s="28" t="n">
        <v>46176</v>
      </c>
      <c r="K2980" s="28" t="n">
        <v>46211</v>
      </c>
      <c r="L2980" t="inlineStr">
        <is>
          <t>Pendiente de primera llamada</t>
        </is>
      </c>
    </row>
    <row r="2981">
      <c r="A2981" t="inlineStr">
        <is>
          <t>CLI-2979</t>
        </is>
      </c>
      <c r="B2981" t="inlineStr">
        <is>
          <t>Cristian Ramírez Echeverri</t>
        </is>
      </c>
      <c r="C2981" t="inlineStr">
        <is>
          <t>3206595188</t>
        </is>
      </c>
      <c r="D2981" t="inlineStr">
        <is>
          <t>cristian.ramirez61@outlook.com</t>
        </is>
      </c>
      <c r="E2981" t="inlineStr">
        <is>
          <t>Medellín</t>
        </is>
      </c>
      <c r="F2981" t="inlineStr">
        <is>
          <t>PRY-002</t>
        </is>
      </c>
      <c r="G2981" t="inlineStr">
        <is>
          <t>Portal Web</t>
        </is>
      </c>
      <c r="H2981" t="inlineStr">
        <is>
          <t>Sofía Prada</t>
        </is>
      </c>
      <c r="I2981" t="inlineStr">
        <is>
          <t>Nuevo lead</t>
        </is>
      </c>
      <c r="J2981" s="28" t="n">
        <v>46177</v>
      </c>
      <c r="K2981" s="28" t="n">
        <v>46204</v>
      </c>
      <c r="L2981" t="inlineStr">
        <is>
          <t>Pendiente de primera llamada</t>
        </is>
      </c>
    </row>
    <row r="2982">
      <c r="A2982" t="inlineStr">
        <is>
          <t>CLI-2980</t>
        </is>
      </c>
      <c r="B2982" t="inlineStr">
        <is>
          <t>Daniel Toro Toro</t>
        </is>
      </c>
      <c r="C2982" t="inlineStr">
        <is>
          <t>3019526702</t>
        </is>
      </c>
      <c r="D2982" t="inlineStr">
        <is>
          <t>daniel.toro79@gmail.com</t>
        </is>
      </c>
      <c r="E2982" t="inlineStr">
        <is>
          <t>Bello</t>
        </is>
      </c>
      <c r="F2982" t="inlineStr">
        <is>
          <t>PRY-006</t>
        </is>
      </c>
      <c r="G2982" t="inlineStr">
        <is>
          <t>Llamada directa</t>
        </is>
      </c>
      <c r="H2982" t="inlineStr">
        <is>
          <t>Paula Arenas</t>
        </is>
      </c>
      <c r="I2982" t="inlineStr">
        <is>
          <t>En contacto</t>
        </is>
      </c>
      <c r="J2982" s="28" t="n">
        <v>46177</v>
      </c>
      <c r="K2982" s="28" t="n">
        <v>46205</v>
      </c>
      <c r="L2982" t="inlineStr">
        <is>
          <t>Pendiente de primera llamada</t>
        </is>
      </c>
    </row>
    <row r="2983">
      <c r="A2983" t="inlineStr">
        <is>
          <t>CLI-2981</t>
        </is>
      </c>
      <c r="B2983" t="inlineStr">
        <is>
          <t>Sara Osorio Gómez</t>
        </is>
      </c>
      <c r="C2983" t="inlineStr">
        <is>
          <t>3245736252</t>
        </is>
      </c>
      <c r="D2983" t="inlineStr">
        <is>
          <t>sara.osorio43@hotmail.com</t>
        </is>
      </c>
      <c r="E2983" t="inlineStr">
        <is>
          <t>Envigado</t>
        </is>
      </c>
      <c r="F2983" t="inlineStr">
        <is>
          <t>PRY-007</t>
        </is>
      </c>
      <c r="G2983" t="inlineStr">
        <is>
          <t>Feria Inmobiliaria</t>
        </is>
      </c>
      <c r="H2983" t="inlineStr">
        <is>
          <t>Ana Quintero</t>
        </is>
      </c>
      <c r="I2983" t="inlineStr">
        <is>
          <t>En contacto</t>
        </is>
      </c>
      <c r="J2983" s="28" t="n">
        <v>46177</v>
      </c>
      <c r="K2983" s="28" t="n">
        <v>46209</v>
      </c>
      <c r="L2983" t="inlineStr">
        <is>
          <t>Pendiente de primera llamada</t>
        </is>
      </c>
    </row>
    <row r="2984">
      <c r="A2984" t="inlineStr">
        <is>
          <t>CLI-2982</t>
        </is>
      </c>
      <c r="B2984" t="inlineStr">
        <is>
          <t>Jhon Cifuentes Castaño</t>
        </is>
      </c>
      <c r="C2984" t="inlineStr">
        <is>
          <t>3228272078</t>
        </is>
      </c>
      <c r="D2984" t="inlineStr">
        <is>
          <t>jhon.cifuentes65@yahoo.com</t>
        </is>
      </c>
      <c r="E2984" t="inlineStr">
        <is>
          <t>Itagüí</t>
        </is>
      </c>
      <c r="F2984" t="inlineStr">
        <is>
          <t>PRY-008</t>
        </is>
      </c>
      <c r="G2984" t="inlineStr">
        <is>
          <t>Portal Web</t>
        </is>
      </c>
      <c r="H2984" t="inlineStr">
        <is>
          <t>Miguel Salazar</t>
        </is>
      </c>
      <c r="I2984" t="inlineStr">
        <is>
          <t>En contacto</t>
        </is>
      </c>
      <c r="J2984" s="28" t="n">
        <v>46177</v>
      </c>
      <c r="K2984" s="28" t="n">
        <v>46210</v>
      </c>
      <c r="L2984" t="inlineStr">
        <is>
          <t>Pendiente de primera llamada</t>
        </is>
      </c>
    </row>
    <row r="2985">
      <c r="A2985" t="inlineStr">
        <is>
          <t>CLI-2983</t>
        </is>
      </c>
      <c r="B2985" t="inlineStr">
        <is>
          <t>Patricia Quintero Vásquez</t>
        </is>
      </c>
      <c r="C2985" t="inlineStr">
        <is>
          <t>3006925192</t>
        </is>
      </c>
      <c r="D2985" t="inlineStr">
        <is>
          <t>patricia.quintero39@gmail.com</t>
        </is>
      </c>
      <c r="E2985" t="inlineStr">
        <is>
          <t>Medellín</t>
        </is>
      </c>
      <c r="F2985" t="inlineStr">
        <is>
          <t>PRY-002</t>
        </is>
      </c>
      <c r="G2985" t="inlineStr">
        <is>
          <t>Facebook</t>
        </is>
      </c>
      <c r="H2985" t="inlineStr">
        <is>
          <t>Paula Arenas</t>
        </is>
      </c>
      <c r="I2985" t="inlineStr">
        <is>
          <t>Nuevo lead</t>
        </is>
      </c>
      <c r="J2985" s="28" t="n">
        <v>46178</v>
      </c>
      <c r="K2985" s="28" t="n">
        <v>46207</v>
      </c>
      <c r="L2985" t="inlineStr">
        <is>
          <t>Pidió brochure y precios</t>
        </is>
      </c>
    </row>
    <row r="2986">
      <c r="A2986" t="inlineStr">
        <is>
          <t>CLI-2984</t>
        </is>
      </c>
      <c r="B2986" t="inlineStr">
        <is>
          <t>Verónica Echeverri Quintero</t>
        </is>
      </c>
      <c r="C2986" t="inlineStr">
        <is>
          <t>3145059689</t>
        </is>
      </c>
      <c r="D2986" t="inlineStr">
        <is>
          <t>veronica.echeverri95@gmail.com</t>
        </is>
      </c>
      <c r="E2986" t="inlineStr">
        <is>
          <t>Medellín</t>
        </is>
      </c>
      <c r="F2986" t="inlineStr">
        <is>
          <t>PRY-003</t>
        </is>
      </c>
      <c r="G2986" t="inlineStr">
        <is>
          <t>Feria Inmobiliaria</t>
        </is>
      </c>
      <c r="H2986" t="inlineStr">
        <is>
          <t>Mateo Herrera</t>
        </is>
      </c>
      <c r="I2986" t="inlineStr">
        <is>
          <t>Nuevo lead</t>
        </is>
      </c>
      <c r="J2986" s="28" t="n">
        <v>46178</v>
      </c>
      <c r="K2986" s="28" t="n">
        <v>46213</v>
      </c>
      <c r="L2986" t="inlineStr">
        <is>
          <t>Pendiente de primera llamada</t>
        </is>
      </c>
    </row>
    <row r="2987">
      <c r="A2987" t="inlineStr">
        <is>
          <t>CLI-2985</t>
        </is>
      </c>
      <c r="B2987" t="inlineStr">
        <is>
          <t>Valeria Rojas Gaviria</t>
        </is>
      </c>
      <c r="C2987" t="inlineStr">
        <is>
          <t>3171714162</t>
        </is>
      </c>
      <c r="D2987" t="inlineStr">
        <is>
          <t>valeria.rojas28@yahoo.com</t>
        </is>
      </c>
      <c r="E2987" t="inlineStr">
        <is>
          <t>Sabaneta</t>
        </is>
      </c>
      <c r="F2987" t="inlineStr">
        <is>
          <t>PRY-001</t>
        </is>
      </c>
      <c r="G2987" t="inlineStr">
        <is>
          <t>Portal Web</t>
        </is>
      </c>
      <c r="H2987" t="inlineStr">
        <is>
          <t>Luis Bedoya</t>
        </is>
      </c>
      <c r="I2987" t="inlineStr">
        <is>
          <t>Nuevo lead</t>
        </is>
      </c>
      <c r="J2987" s="28" t="n">
        <v>46178</v>
      </c>
      <c r="K2987" s="28" t="n">
        <v>46211</v>
      </c>
      <c r="L2987" t="inlineStr">
        <is>
          <t>Pendiente de primera llamada</t>
        </is>
      </c>
    </row>
    <row r="2988">
      <c r="A2988" t="inlineStr">
        <is>
          <t>CLI-2986</t>
        </is>
      </c>
      <c r="B2988" t="inlineStr">
        <is>
          <t>Nicolás Duque Betancur</t>
        </is>
      </c>
      <c r="C2988" t="inlineStr">
        <is>
          <t>3151713166</t>
        </is>
      </c>
      <c r="D2988" t="inlineStr">
        <is>
          <t>nicolas.duque8@outlook.com</t>
        </is>
      </c>
      <c r="E2988" t="inlineStr">
        <is>
          <t>La Estrella</t>
        </is>
      </c>
      <c r="F2988" t="inlineStr">
        <is>
          <t>PRY-005</t>
        </is>
      </c>
      <c r="G2988" t="inlineStr">
        <is>
          <t>Portal Web</t>
        </is>
      </c>
      <c r="H2988" t="inlineStr">
        <is>
          <t>Daniela Ríos</t>
        </is>
      </c>
      <c r="I2988" t="inlineStr">
        <is>
          <t>En contacto</t>
        </is>
      </c>
      <c r="J2988" s="28" t="n">
        <v>46178</v>
      </c>
      <c r="K2988" s="28" t="n">
        <v>46213</v>
      </c>
      <c r="L2988" t="inlineStr">
        <is>
          <t>Pendiente de primera llamada</t>
        </is>
      </c>
    </row>
    <row r="2989">
      <c r="A2989" t="inlineStr">
        <is>
          <t>CLI-2987</t>
        </is>
      </c>
      <c r="B2989" t="inlineStr">
        <is>
          <t>Jorge Correa Palacio</t>
        </is>
      </c>
      <c r="C2989" t="inlineStr">
        <is>
          <t>3202104453</t>
        </is>
      </c>
      <c r="D2989" t="inlineStr">
        <is>
          <t>jorge.correa38@gmail.com</t>
        </is>
      </c>
      <c r="E2989" t="inlineStr">
        <is>
          <t>Envigado</t>
        </is>
      </c>
      <c r="F2989" t="inlineStr">
        <is>
          <t>PRY-007</t>
        </is>
      </c>
      <c r="G2989" t="inlineStr">
        <is>
          <t>Referido</t>
        </is>
      </c>
      <c r="H2989" t="inlineStr">
        <is>
          <t>Sofía Prada</t>
        </is>
      </c>
      <c r="I2989" t="inlineStr">
        <is>
          <t>Nuevo lead</t>
        </is>
      </c>
      <c r="J2989" s="28" t="n">
        <v>46178</v>
      </c>
      <c r="K2989" s="28" t="n">
        <v>46205</v>
      </c>
      <c r="L2989" t="inlineStr">
        <is>
          <t>Pendiente de primera llamada</t>
        </is>
      </c>
    </row>
    <row r="2990">
      <c r="A2990" t="inlineStr">
        <is>
          <t>CLI-2988</t>
        </is>
      </c>
      <c r="B2990" t="inlineStr">
        <is>
          <t>Fernando Rojas Sánchez</t>
        </is>
      </c>
      <c r="C2990" t="inlineStr">
        <is>
          <t>3245598820</t>
        </is>
      </c>
      <c r="D2990" t="inlineStr">
        <is>
          <t>fernando.rojas78@gmail.com</t>
        </is>
      </c>
      <c r="E2990" t="inlineStr">
        <is>
          <t>Medellín</t>
        </is>
      </c>
      <c r="F2990" t="inlineStr">
        <is>
          <t>PRY-003</t>
        </is>
      </c>
      <c r="G2990" t="inlineStr">
        <is>
          <t>Portal Web</t>
        </is>
      </c>
      <c r="H2990" t="inlineStr">
        <is>
          <t>Ana Quintero</t>
        </is>
      </c>
      <c r="I2990" t="inlineStr">
        <is>
          <t>En contacto</t>
        </is>
      </c>
      <c r="J2990" s="28" t="n">
        <v>46179</v>
      </c>
      <c r="K2990" s="28" t="n">
        <v>46204</v>
      </c>
      <c r="L2990" t="inlineStr">
        <is>
          <t>Pendiente de primera llamada</t>
        </is>
      </c>
    </row>
    <row r="2991">
      <c r="A2991" t="inlineStr">
        <is>
          <t>CLI-2989</t>
        </is>
      </c>
      <c r="B2991" t="inlineStr">
        <is>
          <t>Jorge Espinosa Duque</t>
        </is>
      </c>
      <c r="C2991" t="inlineStr">
        <is>
          <t>3134753863</t>
        </is>
      </c>
      <c r="D2991" t="inlineStr">
        <is>
          <t>jorge.espinosa5@gmail.com</t>
        </is>
      </c>
      <c r="E2991" t="inlineStr">
        <is>
          <t>Medellín</t>
        </is>
      </c>
      <c r="F2991" t="inlineStr">
        <is>
          <t>PRY-003</t>
        </is>
      </c>
      <c r="G2991" t="inlineStr">
        <is>
          <t>Facebook</t>
        </is>
      </c>
      <c r="H2991" t="inlineStr">
        <is>
          <t>Ana Quintero</t>
        </is>
      </c>
      <c r="I2991" t="inlineStr">
        <is>
          <t>Nuevo lead</t>
        </is>
      </c>
      <c r="J2991" s="28" t="n">
        <v>46179</v>
      </c>
      <c r="K2991" s="28" t="n">
        <v>46212</v>
      </c>
      <c r="L2991" t="inlineStr">
        <is>
          <t>Pendiente de primera llamada</t>
        </is>
      </c>
    </row>
    <row r="2992">
      <c r="A2992" t="inlineStr">
        <is>
          <t>CLI-2990</t>
        </is>
      </c>
      <c r="B2992" t="inlineStr">
        <is>
          <t>Diego Palacio Duque</t>
        </is>
      </c>
      <c r="C2992" t="inlineStr">
        <is>
          <t>3142151878</t>
        </is>
      </c>
      <c r="D2992" t="inlineStr">
        <is>
          <t>diego.palacio17@outlook.com</t>
        </is>
      </c>
      <c r="E2992" t="inlineStr">
        <is>
          <t>Medellín</t>
        </is>
      </c>
      <c r="F2992" t="inlineStr">
        <is>
          <t>PRY-003</t>
        </is>
      </c>
      <c r="G2992" t="inlineStr">
        <is>
          <t>Facebook</t>
        </is>
      </c>
      <c r="H2992" t="inlineStr">
        <is>
          <t>Miguel Salazar</t>
        </is>
      </c>
      <c r="I2992" t="inlineStr">
        <is>
          <t>En contacto</t>
        </is>
      </c>
      <c r="J2992" s="28" t="n">
        <v>46179</v>
      </c>
      <c r="K2992" s="28" t="n">
        <v>46207</v>
      </c>
      <c r="L2992" t="inlineStr">
        <is>
          <t>Pendiente de primera llamada</t>
        </is>
      </c>
    </row>
    <row r="2993">
      <c r="A2993" t="inlineStr">
        <is>
          <t>CLI-2991</t>
        </is>
      </c>
      <c r="B2993" t="inlineStr">
        <is>
          <t>Felipe Ramírez Palacio</t>
        </is>
      </c>
      <c r="C2993" t="inlineStr">
        <is>
          <t>3226979612</t>
        </is>
      </c>
      <c r="D2993" t="inlineStr">
        <is>
          <t>felipe.ramirez41@gmail.com</t>
        </is>
      </c>
      <c r="E2993" t="inlineStr">
        <is>
          <t>Medellín</t>
        </is>
      </c>
      <c r="F2993" t="inlineStr">
        <is>
          <t>PRY-001</t>
        </is>
      </c>
      <c r="G2993" t="inlineStr">
        <is>
          <t>Instagram</t>
        </is>
      </c>
      <c r="H2993" t="inlineStr">
        <is>
          <t>Andrés Torres</t>
        </is>
      </c>
      <c r="I2993" t="inlineStr">
        <is>
          <t>Nuevo lead</t>
        </is>
      </c>
      <c r="J2993" s="28" t="n">
        <v>46179</v>
      </c>
      <c r="K2993" s="28" t="n">
        <v>46205</v>
      </c>
      <c r="L2993" t="inlineStr">
        <is>
          <t>Pendiente de primera llamada</t>
        </is>
      </c>
    </row>
    <row r="2994">
      <c r="A2994" t="inlineStr">
        <is>
          <t>CLI-2992</t>
        </is>
      </c>
      <c r="B2994" t="inlineStr">
        <is>
          <t>Verónica Mejía Hernández</t>
        </is>
      </c>
      <c r="C2994" t="inlineStr">
        <is>
          <t>3012794609</t>
        </is>
      </c>
      <c r="D2994" t="inlineStr">
        <is>
          <t>veronica.mejia52@hotmail.com</t>
        </is>
      </c>
      <c r="E2994" t="inlineStr">
        <is>
          <t>Itagüí</t>
        </is>
      </c>
      <c r="F2994" t="inlineStr">
        <is>
          <t>PRY-003</t>
        </is>
      </c>
      <c r="G2994" t="inlineStr">
        <is>
          <t>Portal Web</t>
        </is>
      </c>
      <c r="H2994" t="inlineStr">
        <is>
          <t>Daniela Ríos</t>
        </is>
      </c>
      <c r="I2994" t="inlineStr">
        <is>
          <t>Nuevo lead</t>
        </is>
      </c>
      <c r="J2994" s="28" t="n">
        <v>46180</v>
      </c>
      <c r="K2994" s="28" t="n">
        <v>46216</v>
      </c>
      <c r="L2994" t="inlineStr">
        <is>
          <t>Solicitó información por formulario</t>
        </is>
      </c>
    </row>
    <row r="2995">
      <c r="A2995" t="inlineStr">
        <is>
          <t>CLI-2993</t>
        </is>
      </c>
      <c r="B2995" t="inlineStr">
        <is>
          <t>Jhon Mejía Toro</t>
        </is>
      </c>
      <c r="C2995" t="inlineStr">
        <is>
          <t>3243083910</t>
        </is>
      </c>
      <c r="D2995" t="inlineStr">
        <is>
          <t>jhon.mejia64@yahoo.com</t>
        </is>
      </c>
      <c r="E2995" t="inlineStr">
        <is>
          <t>Itagüí</t>
        </is>
      </c>
      <c r="F2995" t="inlineStr">
        <is>
          <t>PRY-008</t>
        </is>
      </c>
      <c r="G2995" t="inlineStr">
        <is>
          <t>Instagram</t>
        </is>
      </c>
      <c r="H2995" t="inlineStr">
        <is>
          <t>Andrés Torres</t>
        </is>
      </c>
      <c r="I2995" t="inlineStr">
        <is>
          <t>Nuevo lead</t>
        </is>
      </c>
      <c r="J2995" s="28" t="n">
        <v>46180</v>
      </c>
      <c r="K2995" s="28" t="n">
        <v>46209</v>
      </c>
      <c r="L2995" t="inlineStr">
        <is>
          <t>Pendiente de primera llamada</t>
        </is>
      </c>
    </row>
    <row r="2996">
      <c r="A2996" t="inlineStr">
        <is>
          <t>CLI-2994</t>
        </is>
      </c>
      <c r="B2996" t="inlineStr">
        <is>
          <t>Esteban Pérez Montes</t>
        </is>
      </c>
      <c r="C2996" t="inlineStr">
        <is>
          <t>3224626517</t>
        </is>
      </c>
      <c r="D2996" t="inlineStr">
        <is>
          <t>esteban.perez9@yahoo.com</t>
        </is>
      </c>
      <c r="E2996" t="inlineStr">
        <is>
          <t>Medellín</t>
        </is>
      </c>
      <c r="F2996" t="inlineStr">
        <is>
          <t>PRY-002</t>
        </is>
      </c>
      <c r="G2996" t="inlineStr">
        <is>
          <t>Feria Inmobiliaria</t>
        </is>
      </c>
      <c r="H2996" t="inlineStr">
        <is>
          <t>Juliana Vélez</t>
        </is>
      </c>
      <c r="I2996" t="inlineStr">
        <is>
          <t>Nuevo lead</t>
        </is>
      </c>
      <c r="J2996" s="28" t="n">
        <v>46180</v>
      </c>
      <c r="K2996" s="28" t="n">
        <v>46207</v>
      </c>
      <c r="L2996" t="inlineStr">
        <is>
          <t>Pendiente de primera llamada</t>
        </is>
      </c>
    </row>
    <row r="2997">
      <c r="A2997" t="inlineStr">
        <is>
          <t>CLI-2995</t>
        </is>
      </c>
      <c r="B2997" t="inlineStr">
        <is>
          <t>Natalia Castaño Zuluaga</t>
        </is>
      </c>
      <c r="C2997" t="inlineStr">
        <is>
          <t>3142002799</t>
        </is>
      </c>
      <c r="D2997" t="inlineStr">
        <is>
          <t>natalia.castano36@gmail.com</t>
        </is>
      </c>
      <c r="E2997" t="inlineStr">
        <is>
          <t>Medellín</t>
        </is>
      </c>
      <c r="F2997" t="inlineStr">
        <is>
          <t>PRY-002</t>
        </is>
      </c>
      <c r="G2997" t="inlineStr">
        <is>
          <t>Facebook</t>
        </is>
      </c>
      <c r="H2997" t="inlineStr">
        <is>
          <t>Ana Quintero</t>
        </is>
      </c>
      <c r="I2997" t="inlineStr">
        <is>
          <t>Nuevo lead</t>
        </is>
      </c>
      <c r="J2997" s="28" t="n">
        <v>46180</v>
      </c>
      <c r="K2997" s="28" t="n">
        <v>46207</v>
      </c>
      <c r="L2997" t="inlineStr">
        <is>
          <t>Pendiente de primera llamada</t>
        </is>
      </c>
    </row>
    <row r="2998">
      <c r="A2998" t="inlineStr">
        <is>
          <t>CLI-2996</t>
        </is>
      </c>
      <c r="B2998" t="inlineStr">
        <is>
          <t>Luisa Vargas Gaviria</t>
        </is>
      </c>
      <c r="C2998" t="inlineStr">
        <is>
          <t>3201917898</t>
        </is>
      </c>
      <c r="D2998" t="inlineStr">
        <is>
          <t>luisa.vargas43@yahoo.com</t>
        </is>
      </c>
      <c r="E2998" t="inlineStr">
        <is>
          <t>Medellín</t>
        </is>
      </c>
      <c r="F2998" t="inlineStr">
        <is>
          <t>PRY-002</t>
        </is>
      </c>
      <c r="G2998" t="inlineStr">
        <is>
          <t>Instagram</t>
        </is>
      </c>
      <c r="H2998" t="inlineStr">
        <is>
          <t>Mateo Herrera</t>
        </is>
      </c>
      <c r="I2998" t="inlineStr">
        <is>
          <t>En contacto</t>
        </is>
      </c>
      <c r="J2998" s="28" t="n">
        <v>46180</v>
      </c>
      <c r="K2998" s="28" t="n">
        <v>46213</v>
      </c>
      <c r="L2998" t="inlineStr">
        <is>
          <t>Pendiente de primera llamada</t>
        </is>
      </c>
    </row>
    <row r="2999">
      <c r="A2999" t="inlineStr">
        <is>
          <t>CLI-2997</t>
        </is>
      </c>
      <c r="B2999" t="inlineStr">
        <is>
          <t>Katherine Franco Peláez</t>
        </is>
      </c>
      <c r="C2999" t="inlineStr">
        <is>
          <t>3229121537</t>
        </is>
      </c>
      <c r="D2999" t="inlineStr">
        <is>
          <t>katherine.franco2@yahoo.com</t>
        </is>
      </c>
      <c r="E2999" t="inlineStr">
        <is>
          <t>Envigado</t>
        </is>
      </c>
      <c r="F2999" t="inlineStr">
        <is>
          <t>PRY-007</t>
        </is>
      </c>
      <c r="G2999" t="inlineStr">
        <is>
          <t>Facebook</t>
        </is>
      </c>
      <c r="H2999" t="inlineStr">
        <is>
          <t>Sofía Prada</t>
        </is>
      </c>
      <c r="I2999" t="inlineStr">
        <is>
          <t>Nuevo lead</t>
        </is>
      </c>
      <c r="J2999" s="28" t="n">
        <v>46181</v>
      </c>
      <c r="K2999" s="28" t="n">
        <v>46216</v>
      </c>
      <c r="L2999" t="inlineStr">
        <is>
          <t>Pidió brochure y precios</t>
        </is>
      </c>
    </row>
    <row r="3000">
      <c r="A3000" t="inlineStr">
        <is>
          <t>CLI-2998</t>
        </is>
      </c>
      <c r="B3000" t="inlineStr">
        <is>
          <t>Lorena Duque Osorio</t>
        </is>
      </c>
      <c r="C3000" t="inlineStr">
        <is>
          <t>3155141426</t>
        </is>
      </c>
      <c r="D3000" t="inlineStr">
        <is>
          <t>lorena.duque53@yahoo.com</t>
        </is>
      </c>
      <c r="E3000" t="inlineStr">
        <is>
          <t>Medellín</t>
        </is>
      </c>
      <c r="F3000" t="inlineStr">
        <is>
          <t>PRY-003</t>
        </is>
      </c>
      <c r="G3000" t="inlineStr">
        <is>
          <t>Portal Web</t>
        </is>
      </c>
      <c r="H3000" t="inlineStr">
        <is>
          <t>Miguel Salazar</t>
        </is>
      </c>
      <c r="I3000" t="inlineStr">
        <is>
          <t>En contacto</t>
        </is>
      </c>
      <c r="J3000" s="28" t="n">
        <v>46181</v>
      </c>
      <c r="K3000" s="28" t="n">
        <v>46207</v>
      </c>
      <c r="L3000" t="inlineStr">
        <is>
          <t>Pendiente de primera llamada</t>
        </is>
      </c>
    </row>
    <row r="3001">
      <c r="A3001" t="inlineStr">
        <is>
          <t>CLI-2999</t>
        </is>
      </c>
      <c r="B3001" t="inlineStr">
        <is>
          <t>Daniel Salazar Toro</t>
        </is>
      </c>
      <c r="C3001" t="inlineStr">
        <is>
          <t>3155984303</t>
        </is>
      </c>
      <c r="D3001" t="inlineStr">
        <is>
          <t>daniel.salazar73@hotmail.com</t>
        </is>
      </c>
      <c r="E3001" t="inlineStr">
        <is>
          <t>Medellín</t>
        </is>
      </c>
      <c r="F3001" t="inlineStr">
        <is>
          <t>PRY-001</t>
        </is>
      </c>
      <c r="G3001" t="inlineStr">
        <is>
          <t>Instagram</t>
        </is>
      </c>
      <c r="H3001" t="inlineStr">
        <is>
          <t>Luis Bedoya</t>
        </is>
      </c>
      <c r="I3001" t="inlineStr">
        <is>
          <t>En contacto</t>
        </is>
      </c>
      <c r="J3001" s="28" t="n">
        <v>46181</v>
      </c>
      <c r="K3001" s="28" t="n">
        <v>46210</v>
      </c>
      <c r="L3001" t="inlineStr">
        <is>
          <t>Pendiente de primera llamada</t>
        </is>
      </c>
    </row>
    <row r="3002">
      <c r="A3002" t="inlineStr">
        <is>
          <t>CLI-3000</t>
        </is>
      </c>
      <c r="B3002" t="inlineStr">
        <is>
          <t>Hernán Peláez Escobar</t>
        </is>
      </c>
      <c r="C3002" t="inlineStr">
        <is>
          <t>3248911668</t>
        </is>
      </c>
      <c r="D3002" t="inlineStr">
        <is>
          <t>hernan.pelaez22@hotmail.com</t>
        </is>
      </c>
      <c r="E3002" t="inlineStr">
        <is>
          <t>Medellín</t>
        </is>
      </c>
      <c r="F3002" t="inlineStr">
        <is>
          <t>PRY-002</t>
        </is>
      </c>
      <c r="G3002" t="inlineStr">
        <is>
          <t>Facebook</t>
        </is>
      </c>
      <c r="H3002" t="inlineStr">
        <is>
          <t>Luis Bedoya</t>
        </is>
      </c>
      <c r="I3002" t="inlineStr">
        <is>
          <t>Nuevo lead</t>
        </is>
      </c>
      <c r="J3002" s="28" t="n">
        <v>46181</v>
      </c>
      <c r="K3002" s="28" t="n">
        <v>46207</v>
      </c>
      <c r="L3002" t="inlineStr">
        <is>
          <t>Pendiente de primera llamada</t>
        </is>
      </c>
    </row>
    <row r="3003">
      <c r="A3003" t="inlineStr">
        <is>
          <t>CLI-3001</t>
        </is>
      </c>
      <c r="B3003" t="inlineStr">
        <is>
          <t>Juliana López Henao</t>
        </is>
      </c>
      <c r="C3003" t="inlineStr">
        <is>
          <t>3148653551</t>
        </is>
      </c>
      <c r="D3003" t="inlineStr">
        <is>
          <t>juliana.lopez46@outlook.com</t>
        </is>
      </c>
      <c r="E3003" t="inlineStr">
        <is>
          <t>Envigado</t>
        </is>
      </c>
      <c r="F3003" t="inlineStr">
        <is>
          <t>PRY-003</t>
        </is>
      </c>
      <c r="G3003" t="inlineStr">
        <is>
          <t>Llamada directa</t>
        </is>
      </c>
      <c r="H3003" t="inlineStr">
        <is>
          <t>Luis Bedoya</t>
        </is>
      </c>
      <c r="I3003" t="inlineStr">
        <is>
          <t>En contacto</t>
        </is>
      </c>
      <c r="J3003" s="28" t="n">
        <v>46182</v>
      </c>
      <c r="K3003" s="28" t="n">
        <v>46213</v>
      </c>
      <c r="L3003" t="inlineStr">
        <is>
          <t>Interesado, pidió plano de la unidad</t>
        </is>
      </c>
    </row>
    <row r="3004">
      <c r="A3004" t="inlineStr">
        <is>
          <t>CLI-3002</t>
        </is>
      </c>
      <c r="B3004" t="inlineStr">
        <is>
          <t>Valentina Henao Agudelo</t>
        </is>
      </c>
      <c r="C3004" t="inlineStr">
        <is>
          <t>3145952110</t>
        </is>
      </c>
      <c r="D3004" t="inlineStr">
        <is>
          <t>valentina.henao34@outlook.com</t>
        </is>
      </c>
      <c r="E3004" t="inlineStr">
        <is>
          <t>Envigado</t>
        </is>
      </c>
      <c r="F3004" t="inlineStr">
        <is>
          <t>PRY-007</t>
        </is>
      </c>
      <c r="G3004" t="inlineStr">
        <is>
          <t>Portal Web</t>
        </is>
      </c>
      <c r="H3004" t="inlineStr">
        <is>
          <t>Daniela Ríos</t>
        </is>
      </c>
      <c r="I3004" t="inlineStr">
        <is>
          <t>Nuevo lead</t>
        </is>
      </c>
      <c r="J3004" s="28" t="n">
        <v>46182</v>
      </c>
      <c r="K3004" s="28" t="n">
        <v>46209</v>
      </c>
      <c r="L3004" t="inlineStr">
        <is>
          <t>Pendiente de primera llamada</t>
        </is>
      </c>
    </row>
    <row r="3005">
      <c r="A3005" t="inlineStr">
        <is>
          <t>CLI-3003</t>
        </is>
      </c>
      <c r="B3005" t="inlineStr">
        <is>
          <t>Laura Restrepo Marín</t>
        </is>
      </c>
      <c r="C3005" t="inlineStr">
        <is>
          <t>3019733401</t>
        </is>
      </c>
      <c r="D3005" t="inlineStr">
        <is>
          <t>laura.restrepo79@hotmail.com</t>
        </is>
      </c>
      <c r="E3005" t="inlineStr">
        <is>
          <t>Itagüí</t>
        </is>
      </c>
      <c r="F3005" t="inlineStr">
        <is>
          <t>PRY-003</t>
        </is>
      </c>
      <c r="G3005" t="inlineStr">
        <is>
          <t>Feria Inmobiliaria</t>
        </is>
      </c>
      <c r="H3005" t="inlineStr">
        <is>
          <t>Ana Quintero</t>
        </is>
      </c>
      <c r="I3005" t="inlineStr">
        <is>
          <t>Nuevo lead</t>
        </is>
      </c>
      <c r="J3005" s="28" t="n">
        <v>46182</v>
      </c>
      <c r="K3005" s="28" t="n">
        <v>46206</v>
      </c>
      <c r="L3005" t="inlineStr">
        <is>
          <t>Pendiente de primera llamada</t>
        </is>
      </c>
    </row>
    <row r="3006">
      <c r="A3006" t="inlineStr">
        <is>
          <t>CLI-3004</t>
        </is>
      </c>
      <c r="B3006" t="inlineStr">
        <is>
          <t>Felipe Bedoya Salcedo</t>
        </is>
      </c>
      <c r="C3006" t="inlineStr">
        <is>
          <t>3157514835</t>
        </is>
      </c>
      <c r="D3006" t="inlineStr">
        <is>
          <t>felipe.bedoya86@hotmail.com</t>
        </is>
      </c>
      <c r="E3006" t="inlineStr">
        <is>
          <t>Bello</t>
        </is>
      </c>
      <c r="F3006" t="inlineStr">
        <is>
          <t>PRY-006</t>
        </is>
      </c>
      <c r="G3006" t="inlineStr">
        <is>
          <t>Portal Web</t>
        </is>
      </c>
      <c r="H3006" t="inlineStr">
        <is>
          <t>Sofía Prada</t>
        </is>
      </c>
      <c r="I3006" t="inlineStr">
        <is>
          <t>Nuevo lead</t>
        </is>
      </c>
      <c r="J3006" s="28" t="n">
        <v>46182</v>
      </c>
      <c r="K3006" s="28" t="n">
        <v>46212</v>
      </c>
      <c r="L3006" t="inlineStr">
        <is>
          <t>Pendiente de primera llamada</t>
        </is>
      </c>
    </row>
    <row r="3007">
      <c r="A3007" t="inlineStr">
        <is>
          <t>CLI-3005</t>
        </is>
      </c>
      <c r="B3007" t="inlineStr">
        <is>
          <t>Paola Osorio Espinosa</t>
        </is>
      </c>
      <c r="C3007" t="inlineStr">
        <is>
          <t>3235753602</t>
        </is>
      </c>
      <c r="D3007" t="inlineStr">
        <is>
          <t>paola.osorio22@hotmail.com</t>
        </is>
      </c>
      <c r="E3007" t="inlineStr">
        <is>
          <t>Medellín</t>
        </is>
      </c>
      <c r="F3007" t="inlineStr">
        <is>
          <t>PRY-007</t>
        </is>
      </c>
      <c r="G3007" t="inlineStr">
        <is>
          <t>Referido</t>
        </is>
      </c>
      <c r="H3007" t="inlineStr">
        <is>
          <t>Ana Quintero</t>
        </is>
      </c>
      <c r="I3007" t="inlineStr">
        <is>
          <t>Nuevo lead</t>
        </is>
      </c>
      <c r="J3007" s="28" t="n">
        <v>46183</v>
      </c>
      <c r="K3007" s="28" t="n">
        <v>46205</v>
      </c>
      <c r="L3007" t="inlineStr">
        <is>
          <t>Pendiente de primera llamada</t>
        </is>
      </c>
    </row>
    <row r="3008">
      <c r="A3008" t="inlineStr">
        <is>
          <t>CLI-3006</t>
        </is>
      </c>
      <c r="B3008" t="inlineStr">
        <is>
          <t>Santiago Zapata Pérez</t>
        </is>
      </c>
      <c r="C3008" t="inlineStr">
        <is>
          <t>3176198880</t>
        </is>
      </c>
      <c r="D3008" t="inlineStr">
        <is>
          <t>santiago.zapata73@gmail.com</t>
        </is>
      </c>
      <c r="E3008" t="inlineStr">
        <is>
          <t>Envigado</t>
        </is>
      </c>
      <c r="F3008" t="inlineStr">
        <is>
          <t>PRY-008</t>
        </is>
      </c>
      <c r="G3008" t="inlineStr">
        <is>
          <t>Portal Web</t>
        </is>
      </c>
      <c r="H3008" t="inlineStr">
        <is>
          <t>Ana Quintero</t>
        </is>
      </c>
      <c r="I3008" t="inlineStr">
        <is>
          <t>Nuevo lead</t>
        </is>
      </c>
      <c r="J3008" s="28" t="n">
        <v>46183</v>
      </c>
      <c r="K3008" s="28" t="n">
        <v>46207</v>
      </c>
      <c r="L3008" t="inlineStr">
        <is>
          <t>Pendiente de primera llamada</t>
        </is>
      </c>
    </row>
    <row r="3009">
      <c r="A3009" t="inlineStr">
        <is>
          <t>CLI-3007</t>
        </is>
      </c>
      <c r="B3009" t="inlineStr">
        <is>
          <t>Andrés Muñoz Palacio</t>
        </is>
      </c>
      <c r="C3009" t="inlineStr">
        <is>
          <t>3207092477</t>
        </is>
      </c>
      <c r="D3009" t="inlineStr">
        <is>
          <t>andres.munoz29@yahoo.com</t>
        </is>
      </c>
      <c r="E3009" t="inlineStr">
        <is>
          <t>Medellín</t>
        </is>
      </c>
      <c r="F3009" t="inlineStr">
        <is>
          <t>PRY-001</t>
        </is>
      </c>
      <c r="G3009" t="inlineStr">
        <is>
          <t>Instagram</t>
        </is>
      </c>
      <c r="H3009" t="inlineStr">
        <is>
          <t>Juliana Vélez</t>
        </is>
      </c>
      <c r="I3009" t="inlineStr">
        <is>
          <t>Nuevo lead</t>
        </is>
      </c>
      <c r="J3009" s="28" t="n">
        <v>46183</v>
      </c>
      <c r="K3009" s="28" t="n">
        <v>46206</v>
      </c>
      <c r="L3009" t="inlineStr">
        <is>
          <t>Pendiente de primera llamada</t>
        </is>
      </c>
    </row>
    <row r="3010">
      <c r="A3010" t="inlineStr">
        <is>
          <t>CLI-3008</t>
        </is>
      </c>
      <c r="B3010" t="inlineStr">
        <is>
          <t>Paula Cifuentes Correa</t>
        </is>
      </c>
      <c r="C3010" t="inlineStr">
        <is>
          <t>3006778399</t>
        </is>
      </c>
      <c r="D3010" t="inlineStr">
        <is>
          <t>paula.cifuentes17@hotmail.com</t>
        </is>
      </c>
      <c r="E3010" t="inlineStr">
        <is>
          <t>Itagüí</t>
        </is>
      </c>
      <c r="F3010" t="inlineStr">
        <is>
          <t>PRY-008</t>
        </is>
      </c>
      <c r="G3010" t="inlineStr">
        <is>
          <t>Portal Web</t>
        </is>
      </c>
      <c r="H3010" t="inlineStr">
        <is>
          <t>Paula Arenas</t>
        </is>
      </c>
      <c r="I3010" t="inlineStr">
        <is>
          <t>En contacto</t>
        </is>
      </c>
      <c r="J3010" s="28" t="n">
        <v>46183</v>
      </c>
      <c r="K3010" s="28" t="n">
        <v>46206</v>
      </c>
      <c r="L3010" t="inlineStr">
        <is>
          <t>Pendiente de primera llamada</t>
        </is>
      </c>
    </row>
    <row r="3011">
      <c r="A3011" t="inlineStr">
        <is>
          <t>CLI-3009</t>
        </is>
      </c>
      <c r="B3011" t="inlineStr">
        <is>
          <t>Felipe Toro López</t>
        </is>
      </c>
      <c r="C3011" t="inlineStr">
        <is>
          <t>3043358492</t>
        </is>
      </c>
      <c r="D3011" t="inlineStr">
        <is>
          <t>felipe.toro3@yahoo.com</t>
        </is>
      </c>
      <c r="E3011" t="inlineStr">
        <is>
          <t>Envigado</t>
        </is>
      </c>
      <c r="F3011" t="inlineStr">
        <is>
          <t>PRY-005</t>
        </is>
      </c>
      <c r="G3011" t="inlineStr">
        <is>
          <t>Referido</t>
        </is>
      </c>
      <c r="H3011" t="inlineStr">
        <is>
          <t>Paula Arenas</t>
        </is>
      </c>
      <c r="I3011" t="inlineStr">
        <is>
          <t>En contacto</t>
        </is>
      </c>
      <c r="J3011" s="28" t="n">
        <v>46184</v>
      </c>
      <c r="K3011" s="28" t="n">
        <v>46204</v>
      </c>
      <c r="L3011" t="inlineStr">
        <is>
          <t>Pendiente de primera llamada</t>
        </is>
      </c>
    </row>
    <row r="3012">
      <c r="A3012" t="inlineStr">
        <is>
          <t>CLI-3010</t>
        </is>
      </c>
      <c r="B3012" t="inlineStr">
        <is>
          <t>Natalia Quintero Muñoz</t>
        </is>
      </c>
      <c r="C3012" t="inlineStr">
        <is>
          <t>3045053361</t>
        </is>
      </c>
      <c r="D3012" t="inlineStr">
        <is>
          <t>natalia.quintero20@hotmail.com</t>
        </is>
      </c>
      <c r="E3012" t="inlineStr">
        <is>
          <t>Rionegro</t>
        </is>
      </c>
      <c r="F3012" t="inlineStr">
        <is>
          <t>PRY-005</t>
        </is>
      </c>
      <c r="G3012" t="inlineStr">
        <is>
          <t>Facebook</t>
        </is>
      </c>
      <c r="H3012" t="inlineStr">
        <is>
          <t>Santiago Muñoz</t>
        </is>
      </c>
      <c r="I3012" t="inlineStr">
        <is>
          <t>Nuevo lead</t>
        </is>
      </c>
      <c r="J3012" s="28" t="n">
        <v>46184</v>
      </c>
      <c r="K3012" s="28" t="n">
        <v>46206</v>
      </c>
      <c r="L3012" t="inlineStr">
        <is>
          <t>Pendiente de primera llamada</t>
        </is>
      </c>
    </row>
    <row r="3013">
      <c r="A3013" t="inlineStr">
        <is>
          <t>CLI-3011</t>
        </is>
      </c>
      <c r="B3013" t="inlineStr">
        <is>
          <t>Jorge Pérez Marín</t>
        </is>
      </c>
      <c r="C3013" t="inlineStr">
        <is>
          <t>3005330324</t>
        </is>
      </c>
      <c r="D3013" t="inlineStr">
        <is>
          <t>jorge.perez85@outlook.com</t>
        </is>
      </c>
      <c r="E3013" t="inlineStr">
        <is>
          <t>Itagüí</t>
        </is>
      </c>
      <c r="F3013" t="inlineStr">
        <is>
          <t>PRY-006</t>
        </is>
      </c>
      <c r="G3013" t="inlineStr">
        <is>
          <t>Portal Web</t>
        </is>
      </c>
      <c r="H3013" t="inlineStr">
        <is>
          <t>Miguel Salazar</t>
        </is>
      </c>
      <c r="I3013" t="inlineStr">
        <is>
          <t>En contacto</t>
        </is>
      </c>
      <c r="J3013" s="28" t="n">
        <v>46184</v>
      </c>
      <c r="K3013" s="28" t="n">
        <v>46210</v>
      </c>
      <c r="L3013" t="inlineStr">
        <is>
          <t>Pendiente de primera llamada</t>
        </is>
      </c>
    </row>
    <row r="3014">
      <c r="A3014" t="inlineStr">
        <is>
          <t>CLI-3012</t>
        </is>
      </c>
      <c r="B3014" t="inlineStr">
        <is>
          <t>Camila Palacio Betancur</t>
        </is>
      </c>
      <c r="C3014" t="inlineStr">
        <is>
          <t>3105919026</t>
        </is>
      </c>
      <c r="D3014" t="inlineStr">
        <is>
          <t>camila.palacio88@outlook.com</t>
        </is>
      </c>
      <c r="E3014" t="inlineStr">
        <is>
          <t>La Estrella</t>
        </is>
      </c>
      <c r="F3014" t="inlineStr">
        <is>
          <t>PRY-006</t>
        </is>
      </c>
      <c r="G3014" t="inlineStr">
        <is>
          <t>Facebook</t>
        </is>
      </c>
      <c r="H3014" t="inlineStr">
        <is>
          <t>Paula Arenas</t>
        </is>
      </c>
      <c r="I3014" t="inlineStr">
        <is>
          <t>Nuevo lead</t>
        </is>
      </c>
      <c r="J3014" s="28" t="n">
        <v>46185</v>
      </c>
      <c r="K3014" s="28" t="n">
        <v>46206</v>
      </c>
      <c r="L3014" t="inlineStr">
        <is>
          <t>Pendiente de primera llamada</t>
        </is>
      </c>
    </row>
    <row r="3015">
      <c r="A3015" t="inlineStr">
        <is>
          <t>CLI-3013</t>
        </is>
      </c>
      <c r="B3015" t="inlineStr">
        <is>
          <t>Valeria Uribe Hernández</t>
        </is>
      </c>
      <c r="C3015" t="inlineStr">
        <is>
          <t>3008388047</t>
        </is>
      </c>
      <c r="D3015" t="inlineStr">
        <is>
          <t>valeria.uribe95@outlook.com</t>
        </is>
      </c>
      <c r="E3015" t="inlineStr">
        <is>
          <t>Rionegro</t>
        </is>
      </c>
      <c r="F3015" t="inlineStr">
        <is>
          <t>PRY-002</t>
        </is>
      </c>
      <c r="G3015" t="inlineStr">
        <is>
          <t>Referido</t>
        </is>
      </c>
      <c r="H3015" t="inlineStr">
        <is>
          <t>Luis Bedoya</t>
        </is>
      </c>
      <c r="I3015" t="inlineStr">
        <is>
          <t>Nuevo lead</t>
        </is>
      </c>
      <c r="J3015" s="28" t="n">
        <v>46185</v>
      </c>
      <c r="K3015" s="28" t="n">
        <v>46213</v>
      </c>
      <c r="L3015" t="inlineStr">
        <is>
          <t>Pendiente de primera llamada</t>
        </is>
      </c>
    </row>
    <row r="3016">
      <c r="A3016" t="inlineStr">
        <is>
          <t>CLI-3014</t>
        </is>
      </c>
      <c r="B3016" t="inlineStr">
        <is>
          <t>Hernán Cardona Ramírez</t>
        </is>
      </c>
      <c r="C3016" t="inlineStr">
        <is>
          <t>3247768015</t>
        </is>
      </c>
      <c r="D3016" t="inlineStr">
        <is>
          <t>hernan.cardona70@hotmail.com</t>
        </is>
      </c>
      <c r="E3016" t="inlineStr">
        <is>
          <t>Itagüí</t>
        </is>
      </c>
      <c r="F3016" t="inlineStr">
        <is>
          <t>PRY-008</t>
        </is>
      </c>
      <c r="G3016" t="inlineStr">
        <is>
          <t>Portal Web</t>
        </is>
      </c>
      <c r="H3016" t="inlineStr">
        <is>
          <t>Luis Bedoya</t>
        </is>
      </c>
      <c r="I3016" t="inlineStr">
        <is>
          <t>Nuevo lead</t>
        </is>
      </c>
      <c r="J3016" s="28" t="n">
        <v>46185</v>
      </c>
      <c r="K3016" s="28" t="n">
        <v>46211</v>
      </c>
      <c r="L3016" t="inlineStr">
        <is>
          <t>Pendiente de primera llamada</t>
        </is>
      </c>
    </row>
    <row r="3017">
      <c r="A3017" t="inlineStr">
        <is>
          <t>CLI-3015</t>
        </is>
      </c>
      <c r="B3017" t="inlineStr">
        <is>
          <t>Mauricio López Cano</t>
        </is>
      </c>
      <c r="C3017" t="inlineStr">
        <is>
          <t>3004599166</t>
        </is>
      </c>
      <c r="D3017" t="inlineStr">
        <is>
          <t>mauricio.lopez69@yahoo.com</t>
        </is>
      </c>
      <c r="E3017" t="inlineStr">
        <is>
          <t>Itagüí</t>
        </is>
      </c>
      <c r="F3017" t="inlineStr">
        <is>
          <t>PRY-008</t>
        </is>
      </c>
      <c r="G3017" t="inlineStr">
        <is>
          <t>Portal Web</t>
        </is>
      </c>
      <c r="H3017" t="inlineStr">
        <is>
          <t>Luis Bedoya</t>
        </is>
      </c>
      <c r="I3017" t="inlineStr">
        <is>
          <t>Nuevo lead</t>
        </is>
      </c>
      <c r="J3017" s="28" t="n">
        <v>46185</v>
      </c>
      <c r="K3017" s="28" t="n">
        <v>46212</v>
      </c>
      <c r="L3017" t="inlineStr">
        <is>
          <t>Pendiente de primera llamada</t>
        </is>
      </c>
    </row>
    <row r="3018">
      <c r="A3018" t="inlineStr">
        <is>
          <t>CLI-3016</t>
        </is>
      </c>
      <c r="B3018" t="inlineStr">
        <is>
          <t>Natalia Cifuentes Escobar</t>
        </is>
      </c>
      <c r="C3018" t="inlineStr">
        <is>
          <t>3159178126</t>
        </is>
      </c>
      <c r="D3018" t="inlineStr">
        <is>
          <t>natalia.cifuentes31@yahoo.com</t>
        </is>
      </c>
      <c r="E3018" t="inlineStr">
        <is>
          <t>Rionegro</t>
        </is>
      </c>
      <c r="F3018" t="inlineStr">
        <is>
          <t>PRY-005</t>
        </is>
      </c>
      <c r="G3018" t="inlineStr">
        <is>
          <t>Portal Web</t>
        </is>
      </c>
      <c r="H3018" t="inlineStr">
        <is>
          <t>Juliana Vélez</t>
        </is>
      </c>
      <c r="I3018" t="inlineStr">
        <is>
          <t>En contacto</t>
        </is>
      </c>
      <c r="J3018" s="28" t="n">
        <v>46186</v>
      </c>
      <c r="K3018" s="28" t="n">
        <v>46208</v>
      </c>
      <c r="L3018" t="inlineStr">
        <is>
          <t>Primera llamada realizada</t>
        </is>
      </c>
    </row>
    <row r="3019">
      <c r="A3019" t="inlineStr">
        <is>
          <t>CLI-3017</t>
        </is>
      </c>
      <c r="B3019" t="inlineStr">
        <is>
          <t>Mateo Quintero López</t>
        </is>
      </c>
      <c r="C3019" t="inlineStr">
        <is>
          <t>3108181184</t>
        </is>
      </c>
      <c r="D3019" t="inlineStr">
        <is>
          <t>mateo.quintero91@outlook.com</t>
        </is>
      </c>
      <c r="E3019" t="inlineStr">
        <is>
          <t>Itagüí</t>
        </is>
      </c>
      <c r="F3019" t="inlineStr">
        <is>
          <t>PRY-003</t>
        </is>
      </c>
      <c r="G3019" t="inlineStr">
        <is>
          <t>Instagram</t>
        </is>
      </c>
      <c r="H3019" t="inlineStr">
        <is>
          <t>Paula Arenas</t>
        </is>
      </c>
      <c r="I3019" t="inlineStr">
        <is>
          <t>Nuevo lead</t>
        </is>
      </c>
      <c r="J3019" s="28" t="n">
        <v>46186</v>
      </c>
      <c r="K3019" s="28" t="n">
        <v>46210</v>
      </c>
      <c r="L3019" t="inlineStr">
        <is>
          <t>Pendiente de primera llamada</t>
        </is>
      </c>
    </row>
    <row r="3020">
      <c r="A3020" t="inlineStr">
        <is>
          <t>CLI-3018</t>
        </is>
      </c>
      <c r="B3020" t="inlineStr">
        <is>
          <t>Natalia Peláez Álvarez</t>
        </is>
      </c>
      <c r="C3020" t="inlineStr">
        <is>
          <t>3238314506</t>
        </is>
      </c>
      <c r="D3020" t="inlineStr">
        <is>
          <t>natalia.pelaez31@hotmail.com</t>
        </is>
      </c>
      <c r="E3020" t="inlineStr">
        <is>
          <t>Envigado</t>
        </is>
      </c>
      <c r="F3020" t="inlineStr">
        <is>
          <t>PRY-007</t>
        </is>
      </c>
      <c r="G3020" t="inlineStr">
        <is>
          <t>Portal Web</t>
        </is>
      </c>
      <c r="H3020" t="inlineStr">
        <is>
          <t>Juliana Vélez</t>
        </is>
      </c>
      <c r="I3020" t="inlineStr">
        <is>
          <t>En contacto</t>
        </is>
      </c>
      <c r="J3020" s="28" t="n">
        <v>46186</v>
      </c>
      <c r="K3020" s="28" t="n">
        <v>46209</v>
      </c>
      <c r="L3020" t="inlineStr">
        <is>
          <t>Pendiente de primera llamada</t>
        </is>
      </c>
    </row>
    <row r="3021">
      <c r="A3021" t="inlineStr">
        <is>
          <t>CLI-3019</t>
        </is>
      </c>
      <c r="B3021" t="inlineStr">
        <is>
          <t>Santiago Uribe Vásquez</t>
        </is>
      </c>
      <c r="C3021" t="inlineStr">
        <is>
          <t>3226678849</t>
        </is>
      </c>
      <c r="D3021" t="inlineStr">
        <is>
          <t>santiago.uribe36@outlook.com</t>
        </is>
      </c>
      <c r="E3021" t="inlineStr">
        <is>
          <t>Itagüí</t>
        </is>
      </c>
      <c r="F3021" t="inlineStr">
        <is>
          <t>PRY-008</t>
        </is>
      </c>
      <c r="G3021" t="inlineStr">
        <is>
          <t>Portal Web</t>
        </is>
      </c>
      <c r="H3021" t="inlineStr">
        <is>
          <t>Andrés Torres</t>
        </is>
      </c>
      <c r="I3021" t="inlineStr">
        <is>
          <t>Nuevo lead</t>
        </is>
      </c>
      <c r="J3021" s="28" t="n">
        <v>46186</v>
      </c>
      <c r="K3021" s="28" t="n">
        <v>46206</v>
      </c>
      <c r="L3021" t="inlineStr">
        <is>
          <t>Pendiente de primera llamada</t>
        </is>
      </c>
    </row>
    <row r="3022">
      <c r="A3022" t="inlineStr">
        <is>
          <t>CLI-3020</t>
        </is>
      </c>
      <c r="B3022" t="inlineStr">
        <is>
          <t>Ximena Zapata Londoño</t>
        </is>
      </c>
      <c r="C3022" t="inlineStr">
        <is>
          <t>3223732334</t>
        </is>
      </c>
      <c r="D3022" t="inlineStr">
        <is>
          <t>ximena.zapata65@hotmail.com</t>
        </is>
      </c>
      <c r="E3022" t="inlineStr">
        <is>
          <t>Rionegro</t>
        </is>
      </c>
      <c r="F3022" t="inlineStr">
        <is>
          <t>PRY-003</t>
        </is>
      </c>
      <c r="G3022" t="inlineStr">
        <is>
          <t>Portal Web</t>
        </is>
      </c>
      <c r="H3022" t="inlineStr">
        <is>
          <t>Luis Bedoya</t>
        </is>
      </c>
      <c r="I3022" t="inlineStr">
        <is>
          <t>En contacto</t>
        </is>
      </c>
      <c r="J3022" s="28" t="n">
        <v>46186</v>
      </c>
      <c r="K3022" s="28" t="n">
        <v>46207</v>
      </c>
      <c r="L3022" t="inlineStr">
        <is>
          <t>Pendiente de primera llamada</t>
        </is>
      </c>
    </row>
    <row r="3023">
      <c r="A3023" t="inlineStr">
        <is>
          <t>CLI-3021</t>
        </is>
      </c>
      <c r="B3023" t="inlineStr">
        <is>
          <t>Rodrigo Duque Salazar</t>
        </is>
      </c>
      <c r="C3023" t="inlineStr">
        <is>
          <t>3003893842</t>
        </is>
      </c>
      <c r="D3023" t="inlineStr">
        <is>
          <t>rodrigo.duque27@hotmail.com</t>
        </is>
      </c>
      <c r="E3023" t="inlineStr">
        <is>
          <t>Medellín</t>
        </is>
      </c>
      <c r="F3023" t="inlineStr">
        <is>
          <t>PRY-006</t>
        </is>
      </c>
      <c r="G3023" t="inlineStr">
        <is>
          <t>Instagram</t>
        </is>
      </c>
      <c r="H3023" t="inlineStr">
        <is>
          <t>Andrés Torres</t>
        </is>
      </c>
      <c r="I3023" t="inlineStr">
        <is>
          <t>En contacto</t>
        </is>
      </c>
      <c r="J3023" s="28" t="n">
        <v>46187</v>
      </c>
      <c r="K3023" s="28" t="n">
        <v>46209</v>
      </c>
      <c r="L3023" t="inlineStr">
        <is>
          <t>Pendiente de primera llamada</t>
        </is>
      </c>
    </row>
    <row r="3024">
      <c r="A3024" t="inlineStr">
        <is>
          <t>CLI-3022</t>
        </is>
      </c>
      <c r="B3024" t="inlineStr">
        <is>
          <t>Julián Toro Arango</t>
        </is>
      </c>
      <c r="C3024" t="inlineStr">
        <is>
          <t>3207024377</t>
        </is>
      </c>
      <c r="D3024" t="inlineStr">
        <is>
          <t>julian.toro45@yahoo.com</t>
        </is>
      </c>
      <c r="E3024" t="inlineStr">
        <is>
          <t>Rionegro</t>
        </is>
      </c>
      <c r="F3024" t="inlineStr">
        <is>
          <t>PRY-008</t>
        </is>
      </c>
      <c r="G3024" t="inlineStr">
        <is>
          <t>Portal Web</t>
        </is>
      </c>
      <c r="H3024" t="inlineStr">
        <is>
          <t>Luis Bedoya</t>
        </is>
      </c>
      <c r="I3024" t="inlineStr">
        <is>
          <t>En contacto</t>
        </is>
      </c>
      <c r="J3024" s="28" t="n">
        <v>46187</v>
      </c>
      <c r="K3024" s="28" t="n">
        <v>46212</v>
      </c>
      <c r="L3024" t="inlineStr">
        <is>
          <t>Pendiente de primera llamada</t>
        </is>
      </c>
    </row>
    <row r="3025">
      <c r="A3025" t="inlineStr">
        <is>
          <t>CLI-3023</t>
        </is>
      </c>
      <c r="B3025" t="inlineStr">
        <is>
          <t>Laura Hernández Giraldo</t>
        </is>
      </c>
      <c r="C3025" t="inlineStr">
        <is>
          <t>3209500310</t>
        </is>
      </c>
      <c r="D3025" t="inlineStr">
        <is>
          <t>laura.hernandez70@hotmail.com</t>
        </is>
      </c>
      <c r="E3025" t="inlineStr">
        <is>
          <t>Itagüí</t>
        </is>
      </c>
      <c r="F3025" t="inlineStr">
        <is>
          <t>PRY-008</t>
        </is>
      </c>
      <c r="G3025" t="inlineStr">
        <is>
          <t>Facebook</t>
        </is>
      </c>
      <c r="H3025" t="inlineStr">
        <is>
          <t>Santiago Muñoz</t>
        </is>
      </c>
      <c r="I3025" t="inlineStr">
        <is>
          <t>Nuevo lead</t>
        </is>
      </c>
      <c r="J3025" s="28" t="n">
        <v>46187</v>
      </c>
      <c r="K3025" s="28" t="n">
        <v>46210</v>
      </c>
      <c r="L3025" t="inlineStr">
        <is>
          <t>Pendiente de primera llamada</t>
        </is>
      </c>
    </row>
    <row r="3026">
      <c r="A3026" t="inlineStr">
        <is>
          <t>CLI-3024</t>
        </is>
      </c>
      <c r="B3026" t="inlineStr">
        <is>
          <t>Mónica Cardona Ríos</t>
        </is>
      </c>
      <c r="C3026" t="inlineStr">
        <is>
          <t>3158036678</t>
        </is>
      </c>
      <c r="D3026" t="inlineStr">
        <is>
          <t>monica.cardona84@gmail.com</t>
        </is>
      </c>
      <c r="E3026" t="inlineStr">
        <is>
          <t>Medellín</t>
        </is>
      </c>
      <c r="F3026" t="inlineStr">
        <is>
          <t>PRY-002</t>
        </is>
      </c>
      <c r="G3026" t="inlineStr">
        <is>
          <t>Facebook</t>
        </is>
      </c>
      <c r="H3026" t="inlineStr">
        <is>
          <t>Luis Bedoya</t>
        </is>
      </c>
      <c r="I3026" t="inlineStr">
        <is>
          <t>En contacto</t>
        </is>
      </c>
      <c r="J3026" s="28" t="n">
        <v>46187</v>
      </c>
      <c r="K3026" s="28" t="n">
        <v>46205</v>
      </c>
      <c r="L3026" t="inlineStr">
        <is>
          <t>Pendiente de primera llamada</t>
        </is>
      </c>
    </row>
    <row r="3027">
      <c r="A3027" t="inlineStr">
        <is>
          <t>CLI-3025</t>
        </is>
      </c>
      <c r="B3027" t="inlineStr">
        <is>
          <t>Daniela Jaramillo Zapata</t>
        </is>
      </c>
      <c r="C3027" t="inlineStr">
        <is>
          <t>3175614497</t>
        </is>
      </c>
      <c r="D3027" t="inlineStr">
        <is>
          <t>daniela.jaramillo94@outlook.com</t>
        </is>
      </c>
      <c r="E3027" t="inlineStr">
        <is>
          <t>Itagüí</t>
        </is>
      </c>
      <c r="F3027" t="inlineStr">
        <is>
          <t>PRY-008</t>
        </is>
      </c>
      <c r="G3027" t="inlineStr">
        <is>
          <t>Facebook</t>
        </is>
      </c>
      <c r="H3027" t="inlineStr">
        <is>
          <t>Andrés Torres</t>
        </is>
      </c>
      <c r="I3027" t="inlineStr">
        <is>
          <t>En contacto</t>
        </is>
      </c>
      <c r="J3027" s="28" t="n">
        <v>46189</v>
      </c>
      <c r="K3027" s="28" t="n">
        <v>46211</v>
      </c>
      <c r="L3027" t="inlineStr">
        <is>
          <t>Pendiente de primera llamada</t>
        </is>
      </c>
    </row>
    <row r="3028">
      <c r="A3028" t="inlineStr">
        <is>
          <t>CLI-3026</t>
        </is>
      </c>
      <c r="B3028" t="inlineStr">
        <is>
          <t>Gloria Salazar Cardona</t>
        </is>
      </c>
      <c r="C3028" t="inlineStr">
        <is>
          <t>3003803323</t>
        </is>
      </c>
      <c r="D3028" t="inlineStr">
        <is>
          <t>gloria.salazar31@gmail.com</t>
        </is>
      </c>
      <c r="E3028" t="inlineStr">
        <is>
          <t>Bello</t>
        </is>
      </c>
      <c r="F3028" t="inlineStr">
        <is>
          <t>PRY-006</t>
        </is>
      </c>
      <c r="G3028" t="inlineStr">
        <is>
          <t>Llamada directa</t>
        </is>
      </c>
      <c r="H3028" t="inlineStr">
        <is>
          <t>Sofía Prada</t>
        </is>
      </c>
      <c r="I3028" t="inlineStr">
        <is>
          <t>En contacto</t>
        </is>
      </c>
      <c r="J3028" s="28" t="n">
        <v>46189</v>
      </c>
      <c r="K3028" s="28" t="n">
        <v>46213</v>
      </c>
      <c r="L3028" t="inlineStr">
        <is>
          <t>Pendiente de primera llamada</t>
        </is>
      </c>
    </row>
    <row r="3029">
      <c r="A3029" t="inlineStr">
        <is>
          <t>CLI-3027</t>
        </is>
      </c>
      <c r="B3029" t="inlineStr">
        <is>
          <t>Diana Escobar Peláez</t>
        </is>
      </c>
      <c r="C3029" t="inlineStr">
        <is>
          <t>3044380765</t>
        </is>
      </c>
      <c r="D3029" t="inlineStr">
        <is>
          <t>diana.escobar15@yahoo.com</t>
        </is>
      </c>
      <c r="E3029" t="inlineStr">
        <is>
          <t>Envigado</t>
        </is>
      </c>
      <c r="F3029" t="inlineStr">
        <is>
          <t>PRY-007</t>
        </is>
      </c>
      <c r="G3029" t="inlineStr">
        <is>
          <t>Portal Web</t>
        </is>
      </c>
      <c r="H3029" t="inlineStr">
        <is>
          <t>Paula Arenas</t>
        </is>
      </c>
      <c r="I3029" t="inlineStr">
        <is>
          <t>Nuevo lead</t>
        </is>
      </c>
      <c r="J3029" s="28" t="n">
        <v>46190</v>
      </c>
      <c r="K3029" s="28" t="n">
        <v>46210</v>
      </c>
      <c r="L3029" t="inlineStr">
        <is>
          <t>Pendiente de primera llamada</t>
        </is>
      </c>
    </row>
    <row r="3030">
      <c r="A3030" t="inlineStr">
        <is>
          <t>CLI-3028</t>
        </is>
      </c>
      <c r="B3030" t="inlineStr">
        <is>
          <t>Liliana Montoya Salcedo</t>
        </is>
      </c>
      <c r="C3030" t="inlineStr">
        <is>
          <t>3157235779</t>
        </is>
      </c>
      <c r="D3030" t="inlineStr">
        <is>
          <t>liliana.montoya53@hotmail.com</t>
        </is>
      </c>
      <c r="E3030" t="inlineStr">
        <is>
          <t>Rionegro</t>
        </is>
      </c>
      <c r="F3030" t="inlineStr">
        <is>
          <t>PRY-005</t>
        </is>
      </c>
      <c r="G3030" t="inlineStr">
        <is>
          <t>Portal Web</t>
        </is>
      </c>
      <c r="H3030" t="inlineStr">
        <is>
          <t>Mateo Herrera</t>
        </is>
      </c>
      <c r="I3030" t="inlineStr">
        <is>
          <t>En contacto</t>
        </is>
      </c>
      <c r="J3030" s="28" t="n">
        <v>46190</v>
      </c>
      <c r="K3030" s="28" t="n">
        <v>46206</v>
      </c>
      <c r="L3030" t="inlineStr">
        <is>
          <t>Pendiente de primera llamada</t>
        </is>
      </c>
    </row>
    <row r="3031">
      <c r="A3031" t="inlineStr">
        <is>
          <t>CLI-3029</t>
        </is>
      </c>
      <c r="B3031" t="inlineStr">
        <is>
          <t>Carolina Gaviria Salazar</t>
        </is>
      </c>
      <c r="C3031" t="inlineStr">
        <is>
          <t>3011547812</t>
        </is>
      </c>
      <c r="D3031" t="inlineStr">
        <is>
          <t>carolina.gaviria15@outlook.com</t>
        </is>
      </c>
      <c r="E3031" t="inlineStr">
        <is>
          <t>Rionegro</t>
        </is>
      </c>
      <c r="F3031" t="inlineStr">
        <is>
          <t>PRY-005</t>
        </is>
      </c>
      <c r="G3031" t="inlineStr">
        <is>
          <t>Referido</t>
        </is>
      </c>
      <c r="H3031" t="inlineStr">
        <is>
          <t>Mateo Herrera</t>
        </is>
      </c>
      <c r="I3031" t="inlineStr">
        <is>
          <t>Nuevo lead</t>
        </is>
      </c>
      <c r="J3031" s="28" t="n">
        <v>46191</v>
      </c>
      <c r="K3031" s="28" t="n">
        <v>46211</v>
      </c>
      <c r="L3031" t="inlineStr">
        <is>
          <t>Pendiente de primera llamada</t>
        </is>
      </c>
    </row>
    <row r="3032">
      <c r="A3032" t="inlineStr">
        <is>
          <t>CLI-3030</t>
        </is>
      </c>
      <c r="B3032" t="inlineStr">
        <is>
          <t>Mariana Londoño Álvarez</t>
        </is>
      </c>
      <c r="C3032" t="inlineStr">
        <is>
          <t>3015767391</t>
        </is>
      </c>
      <c r="D3032" t="inlineStr">
        <is>
          <t>mariana.londono12@outlook.com</t>
        </is>
      </c>
      <c r="E3032" t="inlineStr">
        <is>
          <t>Envigado</t>
        </is>
      </c>
      <c r="F3032" t="inlineStr">
        <is>
          <t>PRY-007</t>
        </is>
      </c>
      <c r="G3032" t="inlineStr">
        <is>
          <t>Facebook</t>
        </is>
      </c>
      <c r="H3032" t="inlineStr">
        <is>
          <t>Sofía Prada</t>
        </is>
      </c>
      <c r="I3032" t="inlineStr">
        <is>
          <t>En contacto</t>
        </is>
      </c>
      <c r="J3032" s="28" t="n">
        <v>46192</v>
      </c>
      <c r="K3032" s="28" t="n">
        <v>46207</v>
      </c>
      <c r="L3032" t="inlineStr">
        <is>
          <t>Pendiente de primera llamada</t>
        </is>
      </c>
    </row>
    <row r="3033">
      <c r="A3033" t="inlineStr">
        <is>
          <t>CLI-3031</t>
        </is>
      </c>
      <c r="B3033" t="inlineStr">
        <is>
          <t>Sandra Betancur Castaño</t>
        </is>
      </c>
      <c r="C3033" t="inlineStr">
        <is>
          <t>3101529971</t>
        </is>
      </c>
      <c r="D3033" t="inlineStr">
        <is>
          <t>sandra.betancur7@yahoo.com</t>
        </is>
      </c>
      <c r="E3033" t="inlineStr">
        <is>
          <t>Bello</t>
        </is>
      </c>
      <c r="F3033" t="inlineStr">
        <is>
          <t>PRY-006</t>
        </is>
      </c>
      <c r="G3033" t="inlineStr">
        <is>
          <t>Facebook</t>
        </is>
      </c>
      <c r="H3033" t="inlineStr">
        <is>
          <t>Andrés Torres</t>
        </is>
      </c>
      <c r="I3033" t="inlineStr">
        <is>
          <t>Nuevo lead</t>
        </is>
      </c>
      <c r="J3033" s="28" t="n">
        <v>46193</v>
      </c>
      <c r="K3033" s="28" t="n">
        <v>46216</v>
      </c>
      <c r="L3033" t="inlineStr">
        <is>
          <t>Pidió brochure y precios</t>
        </is>
      </c>
    </row>
    <row r="3034">
      <c r="A3034" t="inlineStr">
        <is>
          <t>CLI-3032</t>
        </is>
      </c>
      <c r="B3034" t="inlineStr">
        <is>
          <t>Esteban Cifuentes Cardona</t>
        </is>
      </c>
      <c r="C3034" t="inlineStr">
        <is>
          <t>3001179703</t>
        </is>
      </c>
      <c r="D3034" t="inlineStr">
        <is>
          <t>esteban.cifuentes48@gmail.com</t>
        </is>
      </c>
      <c r="E3034" t="inlineStr">
        <is>
          <t>Medellín</t>
        </is>
      </c>
      <c r="F3034" t="inlineStr">
        <is>
          <t>PRY-003</t>
        </is>
      </c>
      <c r="G3034" t="inlineStr">
        <is>
          <t>Portal Web</t>
        </is>
      </c>
      <c r="H3034" t="inlineStr">
        <is>
          <t>Paula Arenas</t>
        </is>
      </c>
      <c r="I3034" t="inlineStr">
        <is>
          <t>En contacto</t>
        </is>
      </c>
      <c r="J3034" s="28" t="n">
        <v>46193</v>
      </c>
      <c r="K3034" s="28" t="n">
        <v>46207</v>
      </c>
      <c r="L3034" t="inlineStr">
        <is>
          <t>Pendiente de primera llamada</t>
        </is>
      </c>
    </row>
    <row r="3035">
      <c r="A3035" t="inlineStr">
        <is>
          <t>CLI-3033</t>
        </is>
      </c>
      <c r="B3035" t="inlineStr">
        <is>
          <t>Cristian Álvarez Arango</t>
        </is>
      </c>
      <c r="C3035" t="inlineStr">
        <is>
          <t>3047254723</t>
        </is>
      </c>
      <c r="D3035" t="inlineStr">
        <is>
          <t>cristian.alvarez97@hotmail.com</t>
        </is>
      </c>
      <c r="E3035" t="inlineStr">
        <is>
          <t>Itagüí</t>
        </is>
      </c>
      <c r="F3035" t="inlineStr">
        <is>
          <t>PRY-008</t>
        </is>
      </c>
      <c r="G3035" t="inlineStr">
        <is>
          <t>Facebook</t>
        </is>
      </c>
      <c r="H3035" t="inlineStr">
        <is>
          <t>Paula Arenas</t>
        </is>
      </c>
      <c r="I3035" t="inlineStr">
        <is>
          <t>Nuevo lead</t>
        </is>
      </c>
      <c r="J3035" s="28" t="n">
        <v>46193</v>
      </c>
      <c r="K3035" s="28" t="n">
        <v>46211</v>
      </c>
      <c r="L3035" t="inlineStr">
        <is>
          <t>Pendiente de primera llamada</t>
        </is>
      </c>
    </row>
    <row r="3036">
      <c r="A3036" t="inlineStr">
        <is>
          <t>CLI-3034</t>
        </is>
      </c>
      <c r="B3036" t="inlineStr">
        <is>
          <t>José López Ochoa</t>
        </is>
      </c>
      <c r="C3036" t="inlineStr">
        <is>
          <t>3231468521</t>
        </is>
      </c>
      <c r="D3036" t="inlineStr">
        <is>
          <t>jose.lopez62@yahoo.com</t>
        </is>
      </c>
      <c r="E3036" t="inlineStr">
        <is>
          <t>Itagüí</t>
        </is>
      </c>
      <c r="F3036" t="inlineStr">
        <is>
          <t>PRY-002</t>
        </is>
      </c>
      <c r="G3036" t="inlineStr">
        <is>
          <t>Feria Inmobiliaria</t>
        </is>
      </c>
      <c r="H3036" t="inlineStr">
        <is>
          <t>Luis Bedoya</t>
        </is>
      </c>
      <c r="I3036" t="inlineStr">
        <is>
          <t>En contacto</t>
        </is>
      </c>
      <c r="J3036" s="28" t="n">
        <v>46194</v>
      </c>
      <c r="K3036" s="28" t="n">
        <v>46211</v>
      </c>
      <c r="L3036" t="inlineStr">
        <is>
          <t>Pendiente de primera llamada</t>
        </is>
      </c>
    </row>
    <row r="3037">
      <c r="A3037" t="inlineStr">
        <is>
          <t>CLI-3035</t>
        </is>
      </c>
      <c r="B3037" t="inlineStr">
        <is>
          <t>Fernando Ramírez Jaramillo</t>
        </is>
      </c>
      <c r="C3037" t="inlineStr">
        <is>
          <t>3049014993</t>
        </is>
      </c>
      <c r="D3037" t="inlineStr">
        <is>
          <t>fernando.ramirez60@outlook.com</t>
        </is>
      </c>
      <c r="E3037" t="inlineStr">
        <is>
          <t>Bello</t>
        </is>
      </c>
      <c r="F3037" t="inlineStr">
        <is>
          <t>PRY-006</t>
        </is>
      </c>
      <c r="G3037" t="inlineStr">
        <is>
          <t>Facebook</t>
        </is>
      </c>
      <c r="H3037" t="inlineStr">
        <is>
          <t>Daniela Ríos</t>
        </is>
      </c>
      <c r="I3037" t="inlineStr">
        <is>
          <t>Nuevo lead</t>
        </is>
      </c>
      <c r="J3037" s="28" t="n">
        <v>46194</v>
      </c>
      <c r="K3037" s="28" t="n">
        <v>46204</v>
      </c>
      <c r="L3037" t="inlineStr">
        <is>
          <t>Pendiente de primera llamada</t>
        </is>
      </c>
    </row>
    <row r="3038">
      <c r="A3038" t="inlineStr">
        <is>
          <t>CLI-3036</t>
        </is>
      </c>
      <c r="B3038" t="inlineStr">
        <is>
          <t>Paola Bedoya Arango</t>
        </is>
      </c>
      <c r="C3038" t="inlineStr">
        <is>
          <t>3237507099</t>
        </is>
      </c>
      <c r="D3038" t="inlineStr">
        <is>
          <t>paola.bedoya54@gmail.com</t>
        </is>
      </c>
      <c r="E3038" t="inlineStr">
        <is>
          <t>Rionegro</t>
        </is>
      </c>
      <c r="F3038" t="inlineStr">
        <is>
          <t>PRY-008</t>
        </is>
      </c>
      <c r="G3038" t="inlineStr">
        <is>
          <t>Referido</t>
        </is>
      </c>
      <c r="H3038" t="inlineStr">
        <is>
          <t>Sofía Prada</t>
        </is>
      </c>
      <c r="I3038" t="inlineStr">
        <is>
          <t>Nuevo lead</t>
        </is>
      </c>
      <c r="J3038" s="28" t="n">
        <v>46194</v>
      </c>
      <c r="K3038" s="28" t="n">
        <v>46212</v>
      </c>
      <c r="L3038" t="inlineStr">
        <is>
          <t>Pendiente de primera llamada</t>
        </is>
      </c>
    </row>
    <row r="3039">
      <c r="A3039" t="inlineStr">
        <is>
          <t>CLI-3037</t>
        </is>
      </c>
      <c r="B3039" t="inlineStr">
        <is>
          <t>María Sánchez Gaviria</t>
        </is>
      </c>
      <c r="C3039" t="inlineStr">
        <is>
          <t>3246378942</t>
        </is>
      </c>
      <c r="D3039" t="inlineStr">
        <is>
          <t>maria.sanchez8@gmail.com</t>
        </is>
      </c>
      <c r="E3039" t="inlineStr">
        <is>
          <t>Itagüí</t>
        </is>
      </c>
      <c r="F3039" t="inlineStr">
        <is>
          <t>PRY-008</t>
        </is>
      </c>
      <c r="G3039" t="inlineStr">
        <is>
          <t>Llamada directa</t>
        </is>
      </c>
      <c r="H3039" t="inlineStr">
        <is>
          <t>Juliana Vélez</t>
        </is>
      </c>
      <c r="I3039" t="inlineStr">
        <is>
          <t>En contacto</t>
        </is>
      </c>
      <c r="J3039" s="28" t="n">
        <v>46195</v>
      </c>
      <c r="K3039" s="28" t="n">
        <v>46212</v>
      </c>
      <c r="L3039" t="inlineStr">
        <is>
          <t>Pendiente de primera llamada</t>
        </is>
      </c>
    </row>
    <row r="3040">
      <c r="A3040" t="inlineStr">
        <is>
          <t>CLI-3038</t>
        </is>
      </c>
      <c r="B3040" t="inlineStr">
        <is>
          <t>Jhon Álvarez Agudelo</t>
        </is>
      </c>
      <c r="C3040" t="inlineStr">
        <is>
          <t>3228757385</t>
        </is>
      </c>
      <c r="D3040" t="inlineStr">
        <is>
          <t>jhon.alvarez6@gmail.com</t>
        </is>
      </c>
      <c r="E3040" t="inlineStr">
        <is>
          <t>Rionegro</t>
        </is>
      </c>
      <c r="F3040" t="inlineStr">
        <is>
          <t>PRY-005</t>
        </is>
      </c>
      <c r="G3040" t="inlineStr">
        <is>
          <t>Portal Web</t>
        </is>
      </c>
      <c r="H3040" t="inlineStr">
        <is>
          <t>Juliana Vélez</t>
        </is>
      </c>
      <c r="I3040" t="inlineStr">
        <is>
          <t>Nuevo lead</t>
        </is>
      </c>
      <c r="J3040" s="28" t="n">
        <v>46195</v>
      </c>
      <c r="K3040" s="28" t="n">
        <v>46208</v>
      </c>
      <c r="L3040" t="inlineStr">
        <is>
          <t>Pendiente de primera llamada</t>
        </is>
      </c>
    </row>
    <row r="3041">
      <c r="A3041" t="inlineStr">
        <is>
          <t>CLI-3039</t>
        </is>
      </c>
      <c r="B3041" t="inlineStr">
        <is>
          <t>Tomás Agudelo Valencia</t>
        </is>
      </c>
      <c r="C3041" t="inlineStr">
        <is>
          <t>3018140112</t>
        </is>
      </c>
      <c r="D3041" t="inlineStr">
        <is>
          <t>tomas.agudelo42@gmail.com</t>
        </is>
      </c>
      <c r="E3041" t="inlineStr">
        <is>
          <t>Medellín</t>
        </is>
      </c>
      <c r="F3041" t="inlineStr">
        <is>
          <t>PRY-003</t>
        </is>
      </c>
      <c r="G3041" t="inlineStr">
        <is>
          <t>Facebook</t>
        </is>
      </c>
      <c r="H3041" t="inlineStr">
        <is>
          <t>Ana Quintero</t>
        </is>
      </c>
      <c r="I3041" t="inlineStr">
        <is>
          <t>En contacto</t>
        </is>
      </c>
      <c r="J3041" s="28" t="n">
        <v>46195</v>
      </c>
      <c r="K3041" s="28" t="n">
        <v>46212</v>
      </c>
      <c r="L3041" t="inlineStr">
        <is>
          <t>Pendiente de primera llamada</t>
        </is>
      </c>
    </row>
    <row r="3042">
      <c r="A3042" t="inlineStr">
        <is>
          <t>CLI-3040</t>
        </is>
      </c>
      <c r="B3042" t="inlineStr">
        <is>
          <t>Luisa Cifuentes Uribe</t>
        </is>
      </c>
      <c r="C3042" t="inlineStr">
        <is>
          <t>3003636666</t>
        </is>
      </c>
      <c r="D3042" t="inlineStr">
        <is>
          <t>luisa.cifuentes65@gmail.com</t>
        </is>
      </c>
      <c r="E3042" t="inlineStr">
        <is>
          <t>Medellín</t>
        </is>
      </c>
      <c r="F3042" t="inlineStr">
        <is>
          <t>PRY-006</t>
        </is>
      </c>
      <c r="G3042" t="inlineStr">
        <is>
          <t>Feria Inmobiliaria</t>
        </is>
      </c>
      <c r="H3042" t="inlineStr">
        <is>
          <t>Paula Arenas</t>
        </is>
      </c>
      <c r="I3042" t="inlineStr">
        <is>
          <t>Nuevo lead</t>
        </is>
      </c>
      <c r="J3042" s="28" t="n">
        <v>46195</v>
      </c>
      <c r="K3042" s="28" t="n">
        <v>46209</v>
      </c>
      <c r="L3042" t="inlineStr">
        <is>
          <t>Pendiente de primera llamada</t>
        </is>
      </c>
    </row>
    <row r="3043">
      <c r="A3043" t="inlineStr">
        <is>
          <t>CLI-3041</t>
        </is>
      </c>
      <c r="B3043" t="inlineStr">
        <is>
          <t>Carlos Jaramillo López</t>
        </is>
      </c>
      <c r="C3043" t="inlineStr">
        <is>
          <t>3178714188</t>
        </is>
      </c>
      <c r="D3043" t="inlineStr">
        <is>
          <t>carlos.jaramillo96@yahoo.com</t>
        </is>
      </c>
      <c r="E3043" t="inlineStr">
        <is>
          <t>Itagüí</t>
        </is>
      </c>
      <c r="F3043" t="inlineStr">
        <is>
          <t>PRY-008</t>
        </is>
      </c>
      <c r="G3043" t="inlineStr">
        <is>
          <t>Portal Web</t>
        </is>
      </c>
      <c r="H3043" t="inlineStr">
        <is>
          <t>Miguel Salazar</t>
        </is>
      </c>
      <c r="I3043" t="inlineStr">
        <is>
          <t>Nuevo lead</t>
        </is>
      </c>
      <c r="J3043" s="28" t="n">
        <v>46196</v>
      </c>
      <c r="K3043" s="28" t="n">
        <v>46210</v>
      </c>
      <c r="L3043" t="inlineStr">
        <is>
          <t>Pendiente de primera llamada</t>
        </is>
      </c>
    </row>
    <row r="3044">
      <c r="A3044" t="inlineStr">
        <is>
          <t>CLI-3042</t>
        </is>
      </c>
      <c r="B3044" t="inlineStr">
        <is>
          <t>Manuela Quintero Higuita</t>
        </is>
      </c>
      <c r="C3044" t="inlineStr">
        <is>
          <t>3242782402</t>
        </is>
      </c>
      <c r="D3044" t="inlineStr">
        <is>
          <t>manuela.quintero30@hotmail.com</t>
        </is>
      </c>
      <c r="E3044" t="inlineStr">
        <is>
          <t>Medellín</t>
        </is>
      </c>
      <c r="F3044" t="inlineStr">
        <is>
          <t>PRY-001</t>
        </is>
      </c>
      <c r="G3044" t="inlineStr">
        <is>
          <t>Instagram</t>
        </is>
      </c>
      <c r="H3044" t="inlineStr">
        <is>
          <t>Ana Quintero</t>
        </is>
      </c>
      <c r="I3044" t="inlineStr">
        <is>
          <t>Nuevo lead</t>
        </is>
      </c>
      <c r="J3044" s="28" t="n">
        <v>46197</v>
      </c>
      <c r="K3044" s="28" t="n">
        <v>46205</v>
      </c>
      <c r="L3044" t="inlineStr">
        <is>
          <t>Pendiente de primera llamada</t>
        </is>
      </c>
    </row>
    <row r="3045">
      <c r="A3045" t="inlineStr">
        <is>
          <t>CLI-3043</t>
        </is>
      </c>
      <c r="B3045" t="inlineStr">
        <is>
          <t>Ximena Ríos Vélez</t>
        </is>
      </c>
      <c r="C3045" t="inlineStr">
        <is>
          <t>3238893565</t>
        </is>
      </c>
      <c r="D3045" t="inlineStr">
        <is>
          <t>ximena.rios52@gmail.com</t>
        </is>
      </c>
      <c r="E3045" t="inlineStr">
        <is>
          <t>Sabaneta</t>
        </is>
      </c>
      <c r="F3045" t="inlineStr">
        <is>
          <t>PRY-005</t>
        </is>
      </c>
      <c r="G3045" t="inlineStr">
        <is>
          <t>Facebook</t>
        </is>
      </c>
      <c r="H3045" t="inlineStr">
        <is>
          <t>Santiago Muñoz</t>
        </is>
      </c>
      <c r="I3045" t="inlineStr">
        <is>
          <t>En contacto</t>
        </is>
      </c>
      <c r="J3045" s="28" t="n">
        <v>46197</v>
      </c>
      <c r="K3045" s="28" t="n">
        <v>46209</v>
      </c>
      <c r="L3045" t="inlineStr">
        <is>
          <t>Pendiente de primera llamada</t>
        </is>
      </c>
    </row>
    <row r="3046">
      <c r="A3046" t="inlineStr">
        <is>
          <t>CLI-3044</t>
        </is>
      </c>
      <c r="B3046" t="inlineStr">
        <is>
          <t>Paola Duque Gómez</t>
        </is>
      </c>
      <c r="C3046" t="inlineStr">
        <is>
          <t>3222614658</t>
        </is>
      </c>
      <c r="D3046" t="inlineStr">
        <is>
          <t>paola.duque8@gmail.com</t>
        </is>
      </c>
      <c r="E3046" t="inlineStr">
        <is>
          <t>Itagüí</t>
        </is>
      </c>
      <c r="F3046" t="inlineStr">
        <is>
          <t>PRY-008</t>
        </is>
      </c>
      <c r="G3046" t="inlineStr">
        <is>
          <t>Instagram</t>
        </is>
      </c>
      <c r="H3046" t="inlineStr">
        <is>
          <t>Sofía Prada</t>
        </is>
      </c>
      <c r="I3046" t="inlineStr">
        <is>
          <t>Nuevo lead</t>
        </is>
      </c>
      <c r="J3046" s="28" t="n">
        <v>46197</v>
      </c>
      <c r="K3046" s="28" t="n">
        <v>46205</v>
      </c>
      <c r="L3046" t="inlineStr">
        <is>
          <t>Pendiente de primera llamada</t>
        </is>
      </c>
    </row>
    <row r="3047">
      <c r="A3047" t="inlineStr">
        <is>
          <t>CLI-3045</t>
        </is>
      </c>
      <c r="B3047" t="inlineStr">
        <is>
          <t>Felipe Higuita Montes</t>
        </is>
      </c>
      <c r="C3047" t="inlineStr">
        <is>
          <t>3133942341</t>
        </is>
      </c>
      <c r="D3047" t="inlineStr">
        <is>
          <t>felipe.higuita50@outlook.com</t>
        </is>
      </c>
      <c r="E3047" t="inlineStr">
        <is>
          <t>Medellín</t>
        </is>
      </c>
      <c r="F3047" t="inlineStr">
        <is>
          <t>PRY-001</t>
        </is>
      </c>
      <c r="G3047" t="inlineStr">
        <is>
          <t>Instagram</t>
        </is>
      </c>
      <c r="H3047" t="inlineStr">
        <is>
          <t>Santiago Muñoz</t>
        </is>
      </c>
      <c r="I3047" t="inlineStr">
        <is>
          <t>En contacto</t>
        </is>
      </c>
      <c r="J3047" s="28" t="n">
        <v>46199</v>
      </c>
      <c r="K3047" s="28" t="n">
        <v>46204</v>
      </c>
      <c r="L3047" t="inlineStr">
        <is>
          <t>Pendiente de primera llamada</t>
        </is>
      </c>
    </row>
    <row r="3048">
      <c r="A3048" t="inlineStr">
        <is>
          <t>CLI-3046</t>
        </is>
      </c>
      <c r="B3048" t="inlineStr">
        <is>
          <t>Valentina Hernández Montes</t>
        </is>
      </c>
      <c r="C3048" t="inlineStr">
        <is>
          <t>3144722997</t>
        </is>
      </c>
      <c r="D3048" t="inlineStr">
        <is>
          <t>valentina.hernandez12@gmail.com</t>
        </is>
      </c>
      <c r="E3048" t="inlineStr">
        <is>
          <t>Medellín</t>
        </is>
      </c>
      <c r="F3048" t="inlineStr">
        <is>
          <t>PRY-003</t>
        </is>
      </c>
      <c r="G3048" t="inlineStr">
        <is>
          <t>Feria Inmobiliaria</t>
        </is>
      </c>
      <c r="H3048" t="inlineStr">
        <is>
          <t>Miguel Salazar</t>
        </is>
      </c>
      <c r="I3048" t="inlineStr">
        <is>
          <t>Nuevo lead</t>
        </is>
      </c>
      <c r="J3048" s="28" t="n">
        <v>46199</v>
      </c>
      <c r="K3048" s="28" t="n">
        <v>46207</v>
      </c>
      <c r="L3048" t="inlineStr">
        <is>
          <t>Pendiente de primera llamada</t>
        </is>
      </c>
    </row>
    <row r="3049">
      <c r="A3049" t="inlineStr">
        <is>
          <t>CLI-3047</t>
        </is>
      </c>
      <c r="B3049" t="inlineStr">
        <is>
          <t>Santiago Hernández Sánchez</t>
        </is>
      </c>
      <c r="C3049" t="inlineStr">
        <is>
          <t>3242135952</t>
        </is>
      </c>
      <c r="D3049" t="inlineStr">
        <is>
          <t>santiago.hernandez16@yahoo.com</t>
        </is>
      </c>
      <c r="E3049" t="inlineStr">
        <is>
          <t>Medellín</t>
        </is>
      </c>
      <c r="F3049" t="inlineStr">
        <is>
          <t>PRY-003</t>
        </is>
      </c>
      <c r="G3049" t="inlineStr">
        <is>
          <t>Instagram</t>
        </is>
      </c>
      <c r="H3049" t="inlineStr">
        <is>
          <t>Andrés Torres</t>
        </is>
      </c>
      <c r="I3049" t="inlineStr">
        <is>
          <t>Nuevo lead</t>
        </is>
      </c>
      <c r="J3049" s="28" t="n">
        <v>46200</v>
      </c>
      <c r="K3049" s="28" t="n">
        <v>46207</v>
      </c>
      <c r="L3049" t="inlineStr">
        <is>
          <t>Pendiente de primera llamada</t>
        </is>
      </c>
    </row>
    <row r="3050">
      <c r="A3050" t="inlineStr">
        <is>
          <t>CLI-3048</t>
        </is>
      </c>
      <c r="B3050" t="inlineStr">
        <is>
          <t>Katherine Echeverri Quintero</t>
        </is>
      </c>
      <c r="C3050" t="inlineStr">
        <is>
          <t>3201317291</t>
        </is>
      </c>
      <c r="D3050" t="inlineStr">
        <is>
          <t>katherine.echeverri47@gmail.com</t>
        </is>
      </c>
      <c r="E3050" t="inlineStr">
        <is>
          <t>Envigado</t>
        </is>
      </c>
      <c r="F3050" t="inlineStr">
        <is>
          <t>PRY-007</t>
        </is>
      </c>
      <c r="G3050" t="inlineStr">
        <is>
          <t>Portal Web</t>
        </is>
      </c>
      <c r="H3050" t="inlineStr">
        <is>
          <t>Sofía Prada</t>
        </is>
      </c>
      <c r="I3050" t="inlineStr">
        <is>
          <t>Nuevo lead</t>
        </is>
      </c>
      <c r="J3050" s="28" t="n">
        <v>46200</v>
      </c>
      <c r="K3050" s="28" t="n">
        <v>46204</v>
      </c>
      <c r="L3050" t="inlineStr">
        <is>
          <t>Pendiente de primera llamada</t>
        </is>
      </c>
    </row>
    <row r="3051">
      <c r="A3051" t="inlineStr">
        <is>
          <t>CLI-3049</t>
        </is>
      </c>
      <c r="B3051" t="inlineStr">
        <is>
          <t>Paola Agudelo Toro</t>
        </is>
      </c>
      <c r="C3051" t="inlineStr">
        <is>
          <t>3012451429</t>
        </is>
      </c>
      <c r="D3051" t="inlineStr">
        <is>
          <t>paola.agudelo16@gmail.com</t>
        </is>
      </c>
      <c r="E3051" t="inlineStr">
        <is>
          <t>Medellín</t>
        </is>
      </c>
      <c r="F3051" t="inlineStr">
        <is>
          <t>PRY-002</t>
        </is>
      </c>
      <c r="G3051" t="inlineStr">
        <is>
          <t>Llamada directa</t>
        </is>
      </c>
      <c r="H3051" t="inlineStr">
        <is>
          <t>Daniela Ríos</t>
        </is>
      </c>
      <c r="I3051" t="inlineStr">
        <is>
          <t>En contacto</t>
        </is>
      </c>
      <c r="J3051" s="28" t="n">
        <v>46201</v>
      </c>
      <c r="K3051" s="28" t="n">
        <v>46207</v>
      </c>
      <c r="L3051" t="inlineStr">
        <is>
          <t>Pendiente de primera llamada</t>
        </is>
      </c>
    </row>
    <row r="3052">
      <c r="A3052" t="inlineStr">
        <is>
          <t>CLI-3050</t>
        </is>
      </c>
      <c r="B3052" t="inlineStr">
        <is>
          <t>Nicolás Echeverri Agudelo</t>
        </is>
      </c>
      <c r="C3052" t="inlineStr">
        <is>
          <t>3009283484</t>
        </is>
      </c>
      <c r="D3052" t="inlineStr">
        <is>
          <t>nicolas.echeverri23@outlook.com</t>
        </is>
      </c>
      <c r="E3052" t="inlineStr">
        <is>
          <t>Medellín</t>
        </is>
      </c>
      <c r="F3052" t="inlineStr">
        <is>
          <t>PRY-001</t>
        </is>
      </c>
      <c r="G3052" t="inlineStr">
        <is>
          <t>Instagram</t>
        </is>
      </c>
      <c r="H3052" t="inlineStr">
        <is>
          <t>Luis Bedoya</t>
        </is>
      </c>
      <c r="I3052" t="inlineStr">
        <is>
          <t>Nuevo lead</t>
        </is>
      </c>
      <c r="J3052" s="28" t="n">
        <v>46201</v>
      </c>
      <c r="K3052" s="28" t="n">
        <v>46204</v>
      </c>
      <c r="L3052" t="inlineStr">
        <is>
          <t>Pendiente de primera llamada</t>
        </is>
      </c>
    </row>
    <row r="3053">
      <c r="A3053" t="inlineStr">
        <is>
          <t>CLI-3051</t>
        </is>
      </c>
      <c r="B3053" t="inlineStr">
        <is>
          <t>Laura Jaramillo Echeverri</t>
        </is>
      </c>
      <c r="C3053" t="inlineStr">
        <is>
          <t>3007678567</t>
        </is>
      </c>
      <c r="D3053" t="inlineStr">
        <is>
          <t>laura.jaramillo26@gmail.com</t>
        </is>
      </c>
      <c r="E3053" t="inlineStr">
        <is>
          <t>Medellín</t>
        </is>
      </c>
      <c r="F3053" t="inlineStr">
        <is>
          <t>PRY-003</t>
        </is>
      </c>
      <c r="G3053" t="inlineStr">
        <is>
          <t>Facebook</t>
        </is>
      </c>
      <c r="H3053" t="inlineStr">
        <is>
          <t>Miguel Salazar</t>
        </is>
      </c>
      <c r="I3053" t="inlineStr">
        <is>
          <t>En contacto</t>
        </is>
      </c>
      <c r="J3053" s="28" t="n">
        <v>46201</v>
      </c>
      <c r="K3053" s="28" t="n">
        <v>46207</v>
      </c>
      <c r="L3053" t="inlineStr">
        <is>
          <t>Pendiente de primera llamada</t>
        </is>
      </c>
    </row>
    <row r="3054">
      <c r="A3054" t="inlineStr">
        <is>
          <t>CLI-3052</t>
        </is>
      </c>
      <c r="B3054" t="inlineStr">
        <is>
          <t>Camila Escobar Vélez</t>
        </is>
      </c>
      <c r="C3054" t="inlineStr">
        <is>
          <t>3146927655</t>
        </is>
      </c>
      <c r="D3054" t="inlineStr">
        <is>
          <t>camila.escobar89@yahoo.com</t>
        </is>
      </c>
      <c r="E3054" t="inlineStr">
        <is>
          <t>Medellín</t>
        </is>
      </c>
      <c r="F3054" t="inlineStr">
        <is>
          <t>PRY-002</t>
        </is>
      </c>
      <c r="G3054" t="inlineStr">
        <is>
          <t>Portal Web</t>
        </is>
      </c>
      <c r="H3054" t="inlineStr">
        <is>
          <t>Miguel Salazar</t>
        </is>
      </c>
      <c r="I3054" t="inlineStr">
        <is>
          <t>En contacto</t>
        </is>
      </c>
      <c r="J3054" s="28" t="n">
        <v>46201</v>
      </c>
      <c r="K3054" s="28" t="n">
        <v>46206</v>
      </c>
      <c r="L3054" t="inlineStr">
        <is>
          <t>Pendiente de primera llamada</t>
        </is>
      </c>
    </row>
    <row r="3055">
      <c r="A3055" t="inlineStr">
        <is>
          <t>CLI-3053</t>
        </is>
      </c>
      <c r="B3055" t="inlineStr">
        <is>
          <t>Cristian Cardona Peláez</t>
        </is>
      </c>
      <c r="C3055" t="inlineStr">
        <is>
          <t>3004380167</t>
        </is>
      </c>
      <c r="D3055" t="inlineStr">
        <is>
          <t>cristian.cardona60@outlook.com</t>
        </is>
      </c>
      <c r="E3055" t="inlineStr">
        <is>
          <t>Bello</t>
        </is>
      </c>
      <c r="F3055" t="inlineStr">
        <is>
          <t>PRY-006</t>
        </is>
      </c>
      <c r="G3055" t="inlineStr">
        <is>
          <t>Facebook</t>
        </is>
      </c>
      <c r="H3055" t="inlineStr">
        <is>
          <t>Santiago Muñoz</t>
        </is>
      </c>
      <c r="I3055" t="inlineStr">
        <is>
          <t>En contacto</t>
        </is>
      </c>
      <c r="J3055" s="28" t="n">
        <v>46202</v>
      </c>
      <c r="K3055" s="28" t="n">
        <v>46209</v>
      </c>
      <c r="L3055" t="inlineStr">
        <is>
          <t>Pendiente de primera llamada</t>
        </is>
      </c>
    </row>
    <row r="3056">
      <c r="A3056" t="inlineStr">
        <is>
          <t>CLI-3054</t>
        </is>
      </c>
      <c r="B3056" t="inlineStr">
        <is>
          <t>Camila Franco Quintero</t>
        </is>
      </c>
      <c r="C3056" t="inlineStr">
        <is>
          <t>3177384889</t>
        </is>
      </c>
      <c r="D3056" t="inlineStr">
        <is>
          <t>camila.franco75@gmail.com</t>
        </is>
      </c>
      <c r="E3056" t="inlineStr">
        <is>
          <t>Envigado</t>
        </is>
      </c>
      <c r="F3056" t="inlineStr">
        <is>
          <t>PRY-007</t>
        </is>
      </c>
      <c r="G3056" t="inlineStr">
        <is>
          <t>Referido</t>
        </is>
      </c>
      <c r="H3056" t="inlineStr">
        <is>
          <t>Luis Bedoya</t>
        </is>
      </c>
      <c r="I3056" t="inlineStr">
        <is>
          <t>Nuevo lead</t>
        </is>
      </c>
      <c r="J3056" s="28" t="n">
        <v>46203</v>
      </c>
      <c r="K3056" s="28" t="n">
        <v>46207</v>
      </c>
      <c r="L3056" t="inlineStr">
        <is>
          <t>Pendiente de primera llamada</t>
        </is>
      </c>
    </row>
    <row r="3057">
      <c r="A3057" t="inlineStr">
        <is>
          <t>CLI-3055</t>
        </is>
      </c>
      <c r="B3057" t="inlineStr">
        <is>
          <t>Gloria López Rojas</t>
        </is>
      </c>
      <c r="C3057" t="inlineStr">
        <is>
          <t>3145186432</t>
        </is>
      </c>
      <c r="D3057" t="inlineStr">
        <is>
          <t>gloria.lopez94@gmail.com</t>
        </is>
      </c>
      <c r="E3057" t="inlineStr">
        <is>
          <t>Medellín</t>
        </is>
      </c>
      <c r="F3057" t="inlineStr">
        <is>
          <t>PRY-001</t>
        </is>
      </c>
      <c r="G3057" t="inlineStr">
        <is>
          <t>Llamada directa</t>
        </is>
      </c>
      <c r="H3057" t="inlineStr">
        <is>
          <t>Juliana Vélez</t>
        </is>
      </c>
      <c r="I3057" t="inlineStr">
        <is>
          <t>Nuevo lead</t>
        </is>
      </c>
      <c r="J3057" s="28" t="n">
        <v>46203</v>
      </c>
      <c r="K3057" s="28" t="n">
        <v>46212</v>
      </c>
      <c r="L3057" t="inlineStr">
        <is>
          <t>Pendiente de primera llamada</t>
        </is>
      </c>
    </row>
  </sheetData>
  <mergeCells count="1">
    <mergeCell ref="A1:L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tabColor rgb="FFC55A11"/>
    <outlinePr summaryBelow="1" summaryRight="1"/>
    <pageSetUpPr/>
  </sheetPr>
  <dimension ref="A1:L106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4.43" defaultRowHeight="15" customHeight="1"/>
  <cols>
    <col width="12" customWidth="1" style="25" min="1" max="1"/>
    <col width="22" customWidth="1" style="25" min="2" max="2"/>
    <col width="10" customWidth="1" style="25" min="3" max="3"/>
    <col width="14" customWidth="1" style="25" min="4" max="4"/>
    <col width="16" customWidth="1" style="25" min="5" max="5"/>
    <col width="22" customWidth="1" style="25" min="6" max="6"/>
    <col width="20" customWidth="1" style="25" min="7" max="7"/>
    <col width="14" customWidth="1" style="25" min="8" max="8"/>
    <col width="16" customWidth="1" style="25" min="9" max="9"/>
    <col width="18" customWidth="1" style="25" min="10" max="10"/>
    <col width="14" customWidth="1" style="25" min="11" max="11"/>
    <col width="28" customWidth="1" style="25" min="12" max="12"/>
    <col width="8.710000000000001" customWidth="1" style="25" min="13" max="26"/>
  </cols>
  <sheetData>
    <row r="1" ht="39.75" customHeight="1" s="25">
      <c r="A1" s="26" t="inlineStr">
        <is>
          <t>PIPELINE COMERCIAL — GESTIÓN DE VENTAS</t>
        </is>
      </c>
    </row>
    <row r="2" ht="21.75" customHeight="1" s="25">
      <c r="A2" s="4" t="inlineStr">
        <is>
          <t>ID Negocio</t>
        </is>
      </c>
      <c r="B2" s="4" t="inlineStr">
        <is>
          <t>Cliente</t>
        </is>
      </c>
      <c r="C2" s="4" t="inlineStr">
        <is>
          <t>Proyecto</t>
        </is>
      </c>
      <c r="D2" s="4" t="inlineStr">
        <is>
          <t>Unidad</t>
        </is>
      </c>
      <c r="E2" s="4" t="inlineStr">
        <is>
          <t>Asesor</t>
        </is>
      </c>
      <c r="F2" s="4" t="inlineStr">
        <is>
          <t>Etapa</t>
        </is>
      </c>
      <c r="G2" s="4" t="inlineStr">
        <is>
          <t>Valor Venta (COP)</t>
        </is>
      </c>
      <c r="H2" s="4" t="inlineStr">
        <is>
          <t>% Probabilidad</t>
        </is>
      </c>
      <c r="I2" s="4" t="inlineStr">
        <is>
          <t>Fecha Apertura</t>
        </is>
      </c>
      <c r="J2" s="4" t="inlineStr">
        <is>
          <t>Fecha Cierre Est.</t>
        </is>
      </c>
      <c r="K2" s="4" t="inlineStr">
        <is>
          <t>Días en Etapa</t>
        </is>
      </c>
      <c r="L2" s="4" t="inlineStr">
        <is>
          <t>Observación</t>
        </is>
      </c>
    </row>
    <row r="3" ht="18" customHeight="1" s="25">
      <c r="A3" t="inlineStr">
        <is>
          <t>NEG-0001</t>
        </is>
      </c>
      <c r="B3" t="inlineStr">
        <is>
          <t>Cristian Muñoz Gómez</t>
        </is>
      </c>
      <c r="C3" t="inlineStr">
        <is>
          <t>PRY-001</t>
        </is>
      </c>
      <c r="D3" t="inlineStr">
        <is>
          <t>Apto 1102</t>
        </is>
      </c>
      <c r="E3" t="inlineStr">
        <is>
          <t>Paula Arenas</t>
        </is>
      </c>
      <c r="F3" t="inlineStr">
        <is>
          <t>Ganado</t>
        </is>
      </c>
      <c r="G3" t="n">
        <v>538000000</v>
      </c>
      <c r="H3" t="n">
        <v>1</v>
      </c>
      <c r="I3" s="28" t="n">
        <v>45292</v>
      </c>
      <c r="J3" s="28" t="n">
        <v>45327</v>
      </c>
      <c r="K3" t="n">
        <v>35</v>
      </c>
      <c r="L3" t="inlineStr">
        <is>
          <t>Promesa de compraventa firmada</t>
        </is>
      </c>
    </row>
    <row r="4" ht="18" customHeight="1" s="25">
      <c r="A4" t="inlineStr">
        <is>
          <t>NEG-0002</t>
        </is>
      </c>
      <c r="B4" t="inlineStr">
        <is>
          <t>Daniela López Quintero</t>
        </is>
      </c>
      <c r="C4" t="inlineStr">
        <is>
          <t>PRY-001</t>
        </is>
      </c>
      <c r="D4" t="inlineStr">
        <is>
          <t>Apto 303</t>
        </is>
      </c>
      <c r="E4" t="inlineStr">
        <is>
          <t>Andrés Torres</t>
        </is>
      </c>
      <c r="F4" t="inlineStr">
        <is>
          <t>Ganado</t>
        </is>
      </c>
      <c r="G4" t="n">
        <v>665000000</v>
      </c>
      <c r="H4" t="n">
        <v>1</v>
      </c>
      <c r="I4" s="28" t="n">
        <v>45292</v>
      </c>
      <c r="J4" s="28" t="n">
        <v>45327</v>
      </c>
      <c r="K4" t="n">
        <v>35</v>
      </c>
      <c r="L4" t="inlineStr">
        <is>
          <t>Promesa de compraventa firmada</t>
        </is>
      </c>
    </row>
    <row r="5" ht="18" customHeight="1" s="25">
      <c r="A5" t="inlineStr">
        <is>
          <t>NEG-0003</t>
        </is>
      </c>
      <c r="B5" t="inlineStr">
        <is>
          <t>Valeria Montoya Montes</t>
        </is>
      </c>
      <c r="C5" t="inlineStr">
        <is>
          <t>PRY-001</t>
        </is>
      </c>
      <c r="D5" t="inlineStr">
        <is>
          <t>Apto 1601</t>
        </is>
      </c>
      <c r="E5" t="inlineStr">
        <is>
          <t>Juliana Vélez</t>
        </is>
      </c>
      <c r="F5" t="inlineStr">
        <is>
          <t>Ganado</t>
        </is>
      </c>
      <c r="G5" t="n">
        <v>750000000</v>
      </c>
      <c r="H5" t="n">
        <v>1</v>
      </c>
      <c r="I5" s="28" t="n">
        <v>45292</v>
      </c>
      <c r="J5" s="28" t="n">
        <v>45327</v>
      </c>
      <c r="K5" t="n">
        <v>35</v>
      </c>
      <c r="L5" t="inlineStr">
        <is>
          <t>Promesa de compraventa firmada</t>
        </is>
      </c>
    </row>
    <row r="6" ht="18" customHeight="1" s="25">
      <c r="A6" t="inlineStr">
        <is>
          <t>NEG-0004</t>
        </is>
      </c>
      <c r="B6" t="inlineStr">
        <is>
          <t>Isabel Cardona Quintero</t>
        </is>
      </c>
      <c r="C6" t="inlineStr">
        <is>
          <t>PRY-001</t>
        </is>
      </c>
      <c r="D6" t="inlineStr">
        <is>
          <t>Apto 201</t>
        </is>
      </c>
      <c r="E6" t="inlineStr">
        <is>
          <t>Luis Bedoya</t>
        </is>
      </c>
      <c r="F6" t="inlineStr">
        <is>
          <t>Ganado</t>
        </is>
      </c>
      <c r="G6" t="n">
        <v>558000000</v>
      </c>
      <c r="H6" t="n">
        <v>1</v>
      </c>
      <c r="I6" s="28" t="n">
        <v>45292</v>
      </c>
      <c r="J6" s="28" t="n">
        <v>45327</v>
      </c>
      <c r="K6" t="n">
        <v>35</v>
      </c>
      <c r="L6" t="inlineStr">
        <is>
          <t>Promesa de compraventa firmada</t>
        </is>
      </c>
    </row>
    <row r="7" ht="18" customHeight="1" s="25">
      <c r="A7" t="inlineStr">
        <is>
          <t>NEG-0005</t>
        </is>
      </c>
      <c r="B7" t="inlineStr">
        <is>
          <t>Verónica Higuita Peláez</t>
        </is>
      </c>
      <c r="C7" t="inlineStr">
        <is>
          <t>PRY-001</t>
        </is>
      </c>
      <c r="D7" t="inlineStr">
        <is>
          <t>Apto 804</t>
        </is>
      </c>
      <c r="E7" t="inlineStr">
        <is>
          <t>Sofía Prada</t>
        </is>
      </c>
      <c r="F7" t="inlineStr">
        <is>
          <t>Ganado</t>
        </is>
      </c>
      <c r="G7" t="n">
        <v>570000000</v>
      </c>
      <c r="H7" t="n">
        <v>1</v>
      </c>
      <c r="I7" s="28" t="n">
        <v>45292</v>
      </c>
      <c r="J7" s="28" t="n">
        <v>45342</v>
      </c>
      <c r="K7" t="n">
        <v>50</v>
      </c>
      <c r="L7" t="inlineStr">
        <is>
          <t>Promesa de compraventa firmada</t>
        </is>
      </c>
    </row>
    <row r="8" ht="18" customHeight="1" s="25">
      <c r="A8" t="inlineStr">
        <is>
          <t>NEG-0006</t>
        </is>
      </c>
      <c r="B8" t="inlineStr">
        <is>
          <t>Isabel Vélez Palacio</t>
        </is>
      </c>
      <c r="C8" t="inlineStr">
        <is>
          <t>PRY-001</t>
        </is>
      </c>
      <c r="D8" t="inlineStr">
        <is>
          <t>Apto 1106</t>
        </is>
      </c>
      <c r="E8" t="inlineStr">
        <is>
          <t>Sofía Prada</t>
        </is>
      </c>
      <c r="F8" t="inlineStr">
        <is>
          <t>Ganado</t>
        </is>
      </c>
      <c r="G8" t="n">
        <v>584000000</v>
      </c>
      <c r="H8" t="n">
        <v>1</v>
      </c>
      <c r="I8" s="28" t="n">
        <v>45292</v>
      </c>
      <c r="J8" s="28" t="n">
        <v>45362</v>
      </c>
      <c r="K8" t="n">
        <v>70</v>
      </c>
      <c r="L8" t="inlineStr">
        <is>
          <t>Promesa de compraventa firmada</t>
        </is>
      </c>
    </row>
    <row r="9" ht="18" customHeight="1" s="25">
      <c r="A9" t="inlineStr">
        <is>
          <t>NEG-0007</t>
        </is>
      </c>
      <c r="B9" t="inlineStr">
        <is>
          <t>Camila Ochoa Pérez</t>
        </is>
      </c>
      <c r="C9" t="inlineStr">
        <is>
          <t>PRY-001</t>
        </is>
      </c>
      <c r="D9" t="inlineStr">
        <is>
          <t>Apto 1504</t>
        </is>
      </c>
      <c r="E9" t="inlineStr">
        <is>
          <t>Juliana Vélez</t>
        </is>
      </c>
      <c r="F9" t="inlineStr">
        <is>
          <t>Ganado</t>
        </is>
      </c>
      <c r="G9" t="n">
        <v>691000000</v>
      </c>
      <c r="H9" t="n">
        <v>1</v>
      </c>
      <c r="I9" s="28" t="n">
        <v>45292</v>
      </c>
      <c r="J9" s="28" t="n">
        <v>45365</v>
      </c>
      <c r="K9" t="n">
        <v>73</v>
      </c>
      <c r="L9" t="inlineStr">
        <is>
          <t>Promesa de compraventa firmada</t>
        </is>
      </c>
    </row>
    <row r="10" ht="18" customHeight="1" s="25">
      <c r="A10" t="inlineStr">
        <is>
          <t>NEG-0008</t>
        </is>
      </c>
      <c r="B10" t="inlineStr">
        <is>
          <t>Ximena Salazar Pérez</t>
        </is>
      </c>
      <c r="C10" t="inlineStr">
        <is>
          <t>PRY-001</t>
        </is>
      </c>
      <c r="D10" t="inlineStr">
        <is>
          <t>Apto 1405</t>
        </is>
      </c>
      <c r="E10" t="inlineStr">
        <is>
          <t>Juliana Vélez</t>
        </is>
      </c>
      <c r="F10" t="inlineStr">
        <is>
          <t>Ganado</t>
        </is>
      </c>
      <c r="G10" t="n">
        <v>721000000</v>
      </c>
      <c r="H10" t="n">
        <v>1</v>
      </c>
      <c r="I10" s="28" t="n">
        <v>45292</v>
      </c>
      <c r="J10" s="28" t="n">
        <v>45371</v>
      </c>
      <c r="K10" t="n">
        <v>79</v>
      </c>
      <c r="L10" t="inlineStr">
        <is>
          <t>Promesa de compraventa firmada</t>
        </is>
      </c>
    </row>
    <row r="11" ht="18" customHeight="1" s="25">
      <c r="A11" t="inlineStr">
        <is>
          <t>NEG-0009</t>
        </is>
      </c>
      <c r="B11" t="inlineStr">
        <is>
          <t>Alejandro Gómez Ochoa</t>
        </is>
      </c>
      <c r="C11" t="inlineStr">
        <is>
          <t>PRY-001</t>
        </is>
      </c>
      <c r="D11" t="inlineStr">
        <is>
          <t>Apto 601</t>
        </is>
      </c>
      <c r="E11" t="inlineStr">
        <is>
          <t>Ana Quintero</t>
        </is>
      </c>
      <c r="F11" t="inlineStr">
        <is>
          <t>Ganado</t>
        </is>
      </c>
      <c r="G11" t="n">
        <v>754000000</v>
      </c>
      <c r="H11" t="n">
        <v>1</v>
      </c>
      <c r="I11" s="28" t="n">
        <v>45292</v>
      </c>
      <c r="J11" s="28" t="n">
        <v>45378</v>
      </c>
      <c r="K11" t="n">
        <v>86</v>
      </c>
      <c r="L11" t="inlineStr">
        <is>
          <t>Promesa de compraventa firmada</t>
        </is>
      </c>
    </row>
    <row r="12" ht="18" customHeight="1" s="25">
      <c r="A12" t="inlineStr">
        <is>
          <t>NEG-0010</t>
        </is>
      </c>
      <c r="B12" t="inlineStr">
        <is>
          <t>Liliana Bedoya Echeverri</t>
        </is>
      </c>
      <c r="C12" t="inlineStr">
        <is>
          <t>PRY-001</t>
        </is>
      </c>
      <c r="D12" t="inlineStr">
        <is>
          <t>Apto 2102</t>
        </is>
      </c>
      <c r="E12" t="inlineStr">
        <is>
          <t>Luis Bedoya</t>
        </is>
      </c>
      <c r="F12" t="inlineStr">
        <is>
          <t>Perdido</t>
        </is>
      </c>
      <c r="G12" t="n">
        <v>747000000</v>
      </c>
      <c r="H12" t="n">
        <v>0</v>
      </c>
      <c r="I12" s="28" t="n">
        <v>45292</v>
      </c>
      <c r="J12" s="28" t="n">
        <v>45327</v>
      </c>
      <c r="K12" t="n">
        <v>35</v>
      </c>
      <c r="L12" t="inlineStr">
        <is>
          <t>No volvió a responder</t>
        </is>
      </c>
    </row>
    <row r="13" ht="18" customHeight="1" s="25">
      <c r="A13" t="inlineStr">
        <is>
          <t>NEG-0011</t>
        </is>
      </c>
      <c r="B13" t="inlineStr">
        <is>
          <t>Isabel Echeverri Marín</t>
        </is>
      </c>
      <c r="C13" t="inlineStr">
        <is>
          <t>PRY-001</t>
        </is>
      </c>
      <c r="D13" t="inlineStr">
        <is>
          <t>Apto 502</t>
        </is>
      </c>
      <c r="E13" t="inlineStr">
        <is>
          <t>Miguel Salazar</t>
        </is>
      </c>
      <c r="F13" t="inlineStr">
        <is>
          <t>Perdido</t>
        </is>
      </c>
      <c r="G13" t="n">
        <v>731000000</v>
      </c>
      <c r="H13" t="n">
        <v>0</v>
      </c>
      <c r="I13" s="28" t="n">
        <v>45292</v>
      </c>
      <c r="J13" s="28" t="n">
        <v>45406</v>
      </c>
      <c r="K13" t="n">
        <v>114</v>
      </c>
      <c r="L13" t="inlineStr">
        <is>
          <t>Crédito no aprobado</t>
        </is>
      </c>
    </row>
    <row r="14" ht="18" customHeight="1" s="25">
      <c r="A14" t="inlineStr">
        <is>
          <t>NEG-0012</t>
        </is>
      </c>
      <c r="B14" t="inlineStr">
        <is>
          <t>Ricardo Espinosa Palacio</t>
        </is>
      </c>
      <c r="C14" t="inlineStr">
        <is>
          <t>PRY-002</t>
        </is>
      </c>
      <c r="D14" t="inlineStr">
        <is>
          <t>Casa 7</t>
        </is>
      </c>
      <c r="E14" t="inlineStr">
        <is>
          <t>Miguel Salazar</t>
        </is>
      </c>
      <c r="F14" t="inlineStr">
        <is>
          <t>Ganado</t>
        </is>
      </c>
      <c r="G14" t="n">
        <v>695000000</v>
      </c>
      <c r="H14" t="n">
        <v>1</v>
      </c>
      <c r="I14" s="28" t="n">
        <v>45292</v>
      </c>
      <c r="J14" s="28" t="n">
        <v>45358</v>
      </c>
      <c r="K14" t="n">
        <v>66</v>
      </c>
      <c r="L14" t="inlineStr">
        <is>
          <t>Promesa de compraventa firmada</t>
        </is>
      </c>
    </row>
    <row r="15" ht="18" customHeight="1" s="25">
      <c r="A15" t="inlineStr">
        <is>
          <t>NEG-0013</t>
        </is>
      </c>
      <c r="B15" t="inlineStr">
        <is>
          <t>Alejandro Hernández Palacio</t>
        </is>
      </c>
      <c r="C15" t="inlineStr">
        <is>
          <t>PRY-002</t>
        </is>
      </c>
      <c r="D15" t="inlineStr">
        <is>
          <t>Casa 2</t>
        </is>
      </c>
      <c r="E15" t="inlineStr">
        <is>
          <t>Juliana Vélez</t>
        </is>
      </c>
      <c r="F15" t="inlineStr">
        <is>
          <t>Ganado</t>
        </is>
      </c>
      <c r="G15" t="n">
        <v>633000000</v>
      </c>
      <c r="H15" t="n">
        <v>1</v>
      </c>
      <c r="I15" s="28" t="n">
        <v>45292</v>
      </c>
      <c r="J15" s="28" t="n">
        <v>45376</v>
      </c>
      <c r="K15" t="n">
        <v>84</v>
      </c>
      <c r="L15" t="inlineStr">
        <is>
          <t>Promesa de compraventa firmada</t>
        </is>
      </c>
    </row>
    <row r="16" ht="18" customHeight="1" s="25">
      <c r="A16" t="inlineStr">
        <is>
          <t>NEG-0014</t>
        </is>
      </c>
      <c r="B16" t="inlineStr">
        <is>
          <t>Santiago Arango Ríos</t>
        </is>
      </c>
      <c r="C16" t="inlineStr">
        <is>
          <t>PRY-002</t>
        </is>
      </c>
      <c r="D16" t="inlineStr">
        <is>
          <t>Casa 24</t>
        </is>
      </c>
      <c r="E16" t="inlineStr">
        <is>
          <t>Luis Bedoya</t>
        </is>
      </c>
      <c r="F16" t="inlineStr">
        <is>
          <t>Ganado</t>
        </is>
      </c>
      <c r="G16" t="n">
        <v>728000000</v>
      </c>
      <c r="H16" t="n">
        <v>1</v>
      </c>
      <c r="I16" s="28" t="n">
        <v>45292</v>
      </c>
      <c r="J16" s="28" t="n">
        <v>45394</v>
      </c>
      <c r="K16" t="n">
        <v>102</v>
      </c>
      <c r="L16" t="inlineStr">
        <is>
          <t>Promesa de compraventa firmada</t>
        </is>
      </c>
    </row>
    <row r="17" ht="18" customHeight="1" s="25">
      <c r="A17" t="inlineStr">
        <is>
          <t>NEG-0015</t>
        </is>
      </c>
      <c r="B17" t="inlineStr">
        <is>
          <t>Gabriel Quintero Uribe</t>
        </is>
      </c>
      <c r="C17" t="inlineStr">
        <is>
          <t>PRY-002</t>
        </is>
      </c>
      <c r="D17" t="inlineStr">
        <is>
          <t>Casa 16</t>
        </is>
      </c>
      <c r="E17" t="inlineStr">
        <is>
          <t>Juliana Vélez</t>
        </is>
      </c>
      <c r="F17" t="inlineStr">
        <is>
          <t>Perdido</t>
        </is>
      </c>
      <c r="G17" t="n">
        <v>679000000</v>
      </c>
      <c r="H17" t="n">
        <v>0</v>
      </c>
      <c r="I17" s="28" t="n">
        <v>45292</v>
      </c>
      <c r="J17" s="28" t="n">
        <v>45384</v>
      </c>
      <c r="K17" t="n">
        <v>92</v>
      </c>
      <c r="L17" t="inlineStr">
        <is>
          <t>Crédito no aprobado</t>
        </is>
      </c>
    </row>
    <row r="18" ht="18" customHeight="1" s="25">
      <c r="A18" t="inlineStr">
        <is>
          <t>NEG-0016</t>
        </is>
      </c>
      <c r="B18" t="inlineStr">
        <is>
          <t>Mateo Ríos Cifuentes</t>
        </is>
      </c>
      <c r="C18" t="inlineStr">
        <is>
          <t>PRY-003</t>
        </is>
      </c>
      <c r="D18" t="inlineStr">
        <is>
          <t>Apto 304</t>
        </is>
      </c>
      <c r="E18" t="inlineStr">
        <is>
          <t>Paula Arenas</t>
        </is>
      </c>
      <c r="F18" t="inlineStr">
        <is>
          <t>Ganado</t>
        </is>
      </c>
      <c r="G18" t="n">
        <v>316000000</v>
      </c>
      <c r="H18" t="n">
        <v>1</v>
      </c>
      <c r="I18" s="28" t="n">
        <v>45292</v>
      </c>
      <c r="J18" s="28" t="n">
        <v>45317</v>
      </c>
      <c r="K18" t="n">
        <v>25</v>
      </c>
      <c r="L18" t="inlineStr">
        <is>
          <t>Promesa de compraventa firmada</t>
        </is>
      </c>
    </row>
    <row r="19" ht="18" customHeight="1" s="25">
      <c r="A19" t="inlineStr">
        <is>
          <t>NEG-0017</t>
        </is>
      </c>
      <c r="B19" t="inlineStr">
        <is>
          <t>Jhon Bedoya Echeverri</t>
        </is>
      </c>
      <c r="C19" t="inlineStr">
        <is>
          <t>PRY-003</t>
        </is>
      </c>
      <c r="D19" t="inlineStr">
        <is>
          <t>Apto 2001</t>
        </is>
      </c>
      <c r="E19" t="inlineStr">
        <is>
          <t>Andrés Torres</t>
        </is>
      </c>
      <c r="F19" t="inlineStr">
        <is>
          <t>Ganado</t>
        </is>
      </c>
      <c r="G19" t="n">
        <v>386000000</v>
      </c>
      <c r="H19" t="n">
        <v>1</v>
      </c>
      <c r="I19" s="28" t="n">
        <v>45292</v>
      </c>
      <c r="J19" s="28" t="n">
        <v>45317</v>
      </c>
      <c r="K19" t="n">
        <v>25</v>
      </c>
      <c r="L19" t="inlineStr">
        <is>
          <t>Promesa de compraventa firmada</t>
        </is>
      </c>
    </row>
    <row r="20" ht="18" customHeight="1" s="25">
      <c r="A20" t="inlineStr">
        <is>
          <t>NEG-0018</t>
        </is>
      </c>
      <c r="B20" t="inlineStr">
        <is>
          <t>Juliana Correa López</t>
        </is>
      </c>
      <c r="C20" t="inlineStr">
        <is>
          <t>PRY-003</t>
        </is>
      </c>
      <c r="D20" t="inlineStr">
        <is>
          <t>Apto 407</t>
        </is>
      </c>
      <c r="E20" t="inlineStr">
        <is>
          <t>Juliana Vélez</t>
        </is>
      </c>
      <c r="F20" t="inlineStr">
        <is>
          <t>Ganado</t>
        </is>
      </c>
      <c r="G20" t="n">
        <v>353000000</v>
      </c>
      <c r="H20" t="n">
        <v>1</v>
      </c>
      <c r="I20" s="28" t="n">
        <v>45292</v>
      </c>
      <c r="J20" s="28" t="n">
        <v>45317</v>
      </c>
      <c r="K20" t="n">
        <v>25</v>
      </c>
      <c r="L20" t="inlineStr">
        <is>
          <t>Promesa de compraventa firmada</t>
        </is>
      </c>
    </row>
    <row r="21" ht="18" customHeight="1" s="25">
      <c r="A21" t="inlineStr">
        <is>
          <t>NEG-0019</t>
        </is>
      </c>
      <c r="B21" t="inlineStr">
        <is>
          <t>Hernán Duque Cardona</t>
        </is>
      </c>
      <c r="C21" t="inlineStr">
        <is>
          <t>PRY-003</t>
        </is>
      </c>
      <c r="D21" t="inlineStr">
        <is>
          <t>Apto 1001</t>
        </is>
      </c>
      <c r="E21" t="inlineStr">
        <is>
          <t>Miguel Salazar</t>
        </is>
      </c>
      <c r="F21" t="inlineStr">
        <is>
          <t>Ganado</t>
        </is>
      </c>
      <c r="G21" t="n">
        <v>341000000</v>
      </c>
      <c r="H21" t="n">
        <v>1</v>
      </c>
      <c r="I21" s="28" t="n">
        <v>45292</v>
      </c>
      <c r="J21" s="28" t="n">
        <v>45317</v>
      </c>
      <c r="K21" t="n">
        <v>25</v>
      </c>
      <c r="L21" t="inlineStr">
        <is>
          <t>Promesa de compraventa firmada</t>
        </is>
      </c>
    </row>
    <row r="22" ht="18" customHeight="1" s="25">
      <c r="A22" t="inlineStr">
        <is>
          <t>NEG-0020</t>
        </is>
      </c>
      <c r="B22" t="inlineStr">
        <is>
          <t>Rodrigo Echeverri Jaramillo</t>
        </is>
      </c>
      <c r="C22" t="inlineStr">
        <is>
          <t>PRY-003</t>
        </is>
      </c>
      <c r="D22" t="inlineStr">
        <is>
          <t>Apto 1703</t>
        </is>
      </c>
      <c r="E22" t="inlineStr">
        <is>
          <t>Miguel Salazar</t>
        </is>
      </c>
      <c r="F22" t="inlineStr">
        <is>
          <t>Ganado</t>
        </is>
      </c>
      <c r="G22" t="n">
        <v>367000000</v>
      </c>
      <c r="H22" t="n">
        <v>1</v>
      </c>
      <c r="I22" s="28" t="n">
        <v>45292</v>
      </c>
      <c r="J22" s="28" t="n">
        <v>45317</v>
      </c>
      <c r="K22" t="n">
        <v>25</v>
      </c>
      <c r="L22" t="inlineStr">
        <is>
          <t>Promesa de compraventa firmada</t>
        </is>
      </c>
    </row>
    <row r="23" ht="18" customHeight="1" s="25">
      <c r="A23" t="inlineStr">
        <is>
          <t>NEG-0021</t>
        </is>
      </c>
      <c r="B23" t="inlineStr">
        <is>
          <t>David Espinosa Giraldo</t>
        </is>
      </c>
      <c r="C23" t="inlineStr">
        <is>
          <t>PRY-003</t>
        </is>
      </c>
      <c r="D23" t="inlineStr">
        <is>
          <t>Apto 303</t>
        </is>
      </c>
      <c r="E23" t="inlineStr">
        <is>
          <t>Juliana Vélez</t>
        </is>
      </c>
      <c r="F23" t="inlineStr">
        <is>
          <t>Ganado</t>
        </is>
      </c>
      <c r="G23" t="n">
        <v>300000000</v>
      </c>
      <c r="H23" t="n">
        <v>1</v>
      </c>
      <c r="I23" s="28" t="n">
        <v>45292</v>
      </c>
      <c r="J23" s="28" t="n">
        <v>45323</v>
      </c>
      <c r="K23" t="n">
        <v>31</v>
      </c>
      <c r="L23" t="inlineStr">
        <is>
          <t>Promesa de compraventa firmada</t>
        </is>
      </c>
    </row>
    <row r="24" ht="18" customHeight="1" s="25">
      <c r="A24" t="inlineStr">
        <is>
          <t>NEG-0022</t>
        </is>
      </c>
      <c r="B24" t="inlineStr">
        <is>
          <t>Catalina Higuita Gaviria</t>
        </is>
      </c>
      <c r="C24" t="inlineStr">
        <is>
          <t>PRY-003</t>
        </is>
      </c>
      <c r="D24" t="inlineStr">
        <is>
          <t>Apto 2307</t>
        </is>
      </c>
      <c r="E24" t="inlineStr">
        <is>
          <t>Sofía Prada</t>
        </is>
      </c>
      <c r="F24" t="inlineStr">
        <is>
          <t>Ganado</t>
        </is>
      </c>
      <c r="G24" t="n">
        <v>322000000</v>
      </c>
      <c r="H24" t="n">
        <v>1</v>
      </c>
      <c r="I24" s="28" t="n">
        <v>45292</v>
      </c>
      <c r="J24" s="28" t="n">
        <v>45332</v>
      </c>
      <c r="K24" t="n">
        <v>40</v>
      </c>
      <c r="L24" t="inlineStr">
        <is>
          <t>Promesa de compraventa firmada</t>
        </is>
      </c>
    </row>
    <row r="25" ht="18" customHeight="1" s="25">
      <c r="A25" t="inlineStr">
        <is>
          <t>NEG-0023</t>
        </is>
      </c>
      <c r="B25" t="inlineStr">
        <is>
          <t>Simón Palacio Echeverri</t>
        </is>
      </c>
      <c r="C25" t="inlineStr">
        <is>
          <t>PRY-003</t>
        </is>
      </c>
      <c r="D25" t="inlineStr">
        <is>
          <t>Apto 801</t>
        </is>
      </c>
      <c r="E25" t="inlineStr">
        <is>
          <t>Miguel Salazar</t>
        </is>
      </c>
      <c r="F25" t="inlineStr">
        <is>
          <t>Ganado</t>
        </is>
      </c>
      <c r="G25" t="n">
        <v>327000000</v>
      </c>
      <c r="H25" t="n">
        <v>1</v>
      </c>
      <c r="I25" s="28" t="n">
        <v>45292</v>
      </c>
      <c r="J25" s="28" t="n">
        <v>45335</v>
      </c>
      <c r="K25" t="n">
        <v>43</v>
      </c>
      <c r="L25" t="inlineStr">
        <is>
          <t>Promesa de compraventa firmada</t>
        </is>
      </c>
    </row>
    <row r="26" ht="18" customHeight="1" s="25">
      <c r="A26" t="inlineStr">
        <is>
          <t>NEG-0024</t>
        </is>
      </c>
      <c r="B26" t="inlineStr">
        <is>
          <t>José Giraldo Álvarez</t>
        </is>
      </c>
      <c r="C26" t="inlineStr">
        <is>
          <t>PRY-003</t>
        </is>
      </c>
      <c r="D26" t="inlineStr">
        <is>
          <t>Apto 606</t>
        </is>
      </c>
      <c r="E26" t="inlineStr">
        <is>
          <t>Andrés Torres</t>
        </is>
      </c>
      <c r="F26" t="inlineStr">
        <is>
          <t>Ganado</t>
        </is>
      </c>
      <c r="G26" t="n">
        <v>268000000</v>
      </c>
      <c r="H26" t="n">
        <v>1</v>
      </c>
      <c r="I26" s="28" t="n">
        <v>45292</v>
      </c>
      <c r="J26" s="28" t="n">
        <v>45347</v>
      </c>
      <c r="K26" t="n">
        <v>55</v>
      </c>
      <c r="L26" t="inlineStr">
        <is>
          <t>Promesa de compraventa firmada</t>
        </is>
      </c>
    </row>
    <row r="27" ht="18" customHeight="1" s="25">
      <c r="A27" t="inlineStr">
        <is>
          <t>NEG-0025</t>
        </is>
      </c>
      <c r="B27" t="inlineStr">
        <is>
          <t>Jhon Quintero Cifuentes</t>
        </is>
      </c>
      <c r="C27" t="inlineStr">
        <is>
          <t>PRY-003</t>
        </is>
      </c>
      <c r="D27" t="inlineStr">
        <is>
          <t>Apto 2304</t>
        </is>
      </c>
      <c r="E27" t="inlineStr">
        <is>
          <t>Sofía Prada</t>
        </is>
      </c>
      <c r="F27" t="inlineStr">
        <is>
          <t>Ganado</t>
        </is>
      </c>
      <c r="G27" t="n">
        <v>342000000</v>
      </c>
      <c r="H27" t="n">
        <v>1</v>
      </c>
      <c r="I27" s="28" t="n">
        <v>45292</v>
      </c>
      <c r="J27" s="28" t="n">
        <v>45351</v>
      </c>
      <c r="K27" t="n">
        <v>59</v>
      </c>
      <c r="L27" t="inlineStr">
        <is>
          <t>Promesa de compraventa firmada</t>
        </is>
      </c>
    </row>
    <row r="28" ht="18" customHeight="1" s="25">
      <c r="A28" t="inlineStr">
        <is>
          <t>NEG-0026</t>
        </is>
      </c>
      <c r="B28" t="inlineStr">
        <is>
          <t>Gloria Escobar Cardona</t>
        </is>
      </c>
      <c r="C28" t="inlineStr">
        <is>
          <t>PRY-003</t>
        </is>
      </c>
      <c r="D28" t="inlineStr">
        <is>
          <t>Apto 707</t>
        </is>
      </c>
      <c r="E28" t="inlineStr">
        <is>
          <t>Ana Quintero</t>
        </is>
      </c>
      <c r="F28" t="inlineStr">
        <is>
          <t>Ganado</t>
        </is>
      </c>
      <c r="G28" t="n">
        <v>352000000</v>
      </c>
      <c r="H28" t="n">
        <v>1</v>
      </c>
      <c r="I28" s="28" t="n">
        <v>45292</v>
      </c>
      <c r="J28" s="28" t="n">
        <v>45353</v>
      </c>
      <c r="K28" t="n">
        <v>61</v>
      </c>
      <c r="L28" t="inlineStr">
        <is>
          <t>Promesa de compraventa firmada</t>
        </is>
      </c>
    </row>
    <row r="29" ht="18" customHeight="1" s="25">
      <c r="A29" t="inlineStr">
        <is>
          <t>NEG-0027</t>
        </is>
      </c>
      <c r="B29" t="inlineStr">
        <is>
          <t>Mónica Montes Cano</t>
        </is>
      </c>
      <c r="C29" t="inlineStr">
        <is>
          <t>PRY-003</t>
        </is>
      </c>
      <c r="D29" t="inlineStr">
        <is>
          <t>Apto 1902</t>
        </is>
      </c>
      <c r="E29" t="inlineStr">
        <is>
          <t>Luis Bedoya</t>
        </is>
      </c>
      <c r="F29" t="inlineStr">
        <is>
          <t>Ganado</t>
        </is>
      </c>
      <c r="G29" t="n">
        <v>370000000</v>
      </c>
      <c r="H29" t="n">
        <v>1</v>
      </c>
      <c r="I29" s="28" t="n">
        <v>45292</v>
      </c>
      <c r="J29" s="28" t="n">
        <v>45375</v>
      </c>
      <c r="K29" t="n">
        <v>83</v>
      </c>
      <c r="L29" t="inlineStr">
        <is>
          <t>Promesa de compraventa firmada</t>
        </is>
      </c>
    </row>
    <row r="30" ht="18" customHeight="1" s="25">
      <c r="A30" t="inlineStr">
        <is>
          <t>NEG-0028</t>
        </is>
      </c>
      <c r="B30" t="inlineStr">
        <is>
          <t>Diego López Vásquez</t>
        </is>
      </c>
      <c r="C30" t="inlineStr">
        <is>
          <t>PRY-003</t>
        </is>
      </c>
      <c r="D30" t="inlineStr">
        <is>
          <t>Apto 1905</t>
        </is>
      </c>
      <c r="E30" t="inlineStr">
        <is>
          <t>Andrés Torres</t>
        </is>
      </c>
      <c r="F30" t="inlineStr">
        <is>
          <t>Perdido</t>
        </is>
      </c>
      <c r="G30" t="n">
        <v>280000000</v>
      </c>
      <c r="H30" t="n">
        <v>0</v>
      </c>
      <c r="I30" s="28" t="n">
        <v>45292</v>
      </c>
      <c r="J30" s="28" t="n">
        <v>45317</v>
      </c>
      <c r="K30" t="n">
        <v>25</v>
      </c>
      <c r="L30" t="inlineStr">
        <is>
          <t>Eligió otro proyecto</t>
        </is>
      </c>
    </row>
    <row r="31" ht="18" customHeight="1" s="25">
      <c r="A31" t="inlineStr">
        <is>
          <t>NEG-0029</t>
        </is>
      </c>
      <c r="B31" t="inlineStr">
        <is>
          <t>Nicolás Escobar Echeverri</t>
        </is>
      </c>
      <c r="C31" t="inlineStr">
        <is>
          <t>PRY-003</t>
        </is>
      </c>
      <c r="D31" t="inlineStr">
        <is>
          <t>Apto 501</t>
        </is>
      </c>
      <c r="E31" t="inlineStr">
        <is>
          <t>Miguel Salazar</t>
        </is>
      </c>
      <c r="F31" t="inlineStr">
        <is>
          <t>Perdido</t>
        </is>
      </c>
      <c r="G31" t="n">
        <v>325000000</v>
      </c>
      <c r="H31" t="n">
        <v>0</v>
      </c>
      <c r="I31" s="28" t="n">
        <v>45292</v>
      </c>
      <c r="J31" s="28" t="n">
        <v>45317</v>
      </c>
      <c r="K31" t="n">
        <v>25</v>
      </c>
      <c r="L31" t="inlineStr">
        <is>
          <t>Desistió de la compra</t>
        </is>
      </c>
    </row>
    <row r="32" ht="18" customHeight="1" s="25">
      <c r="A32" t="inlineStr">
        <is>
          <t>NEG-0030</t>
        </is>
      </c>
      <c r="B32" t="inlineStr">
        <is>
          <t>Camila Henao Espinosa</t>
        </is>
      </c>
      <c r="C32" t="inlineStr">
        <is>
          <t>PRY-003</t>
        </is>
      </c>
      <c r="D32" t="inlineStr">
        <is>
          <t>Apto 2302</t>
        </is>
      </c>
      <c r="E32" t="inlineStr">
        <is>
          <t>Paula Arenas</t>
        </is>
      </c>
      <c r="F32" t="inlineStr">
        <is>
          <t>Perdido</t>
        </is>
      </c>
      <c r="G32" t="n">
        <v>399000000</v>
      </c>
      <c r="H32" t="n">
        <v>0</v>
      </c>
      <c r="I32" s="28" t="n">
        <v>45292</v>
      </c>
      <c r="J32" s="28" t="n">
        <v>45317</v>
      </c>
      <c r="K32" t="n">
        <v>25</v>
      </c>
      <c r="L32" t="inlineStr">
        <is>
          <t>Crédito no aprobado</t>
        </is>
      </c>
    </row>
    <row r="33" ht="18" customHeight="1" s="25">
      <c r="A33" t="inlineStr">
        <is>
          <t>NEG-0031</t>
        </is>
      </c>
      <c r="B33" t="inlineStr">
        <is>
          <t>Carolina Henao Cardona</t>
        </is>
      </c>
      <c r="C33" t="inlineStr">
        <is>
          <t>PRY-003</t>
        </is>
      </c>
      <c r="D33" t="inlineStr">
        <is>
          <t>Apto 1207</t>
        </is>
      </c>
      <c r="E33" t="inlineStr">
        <is>
          <t>Sofía Prada</t>
        </is>
      </c>
      <c r="F33" t="inlineStr">
        <is>
          <t>Perdido</t>
        </is>
      </c>
      <c r="G33" t="n">
        <v>332000000</v>
      </c>
      <c r="H33" t="n">
        <v>0</v>
      </c>
      <c r="I33" s="28" t="n">
        <v>45292</v>
      </c>
      <c r="J33" s="28" t="n">
        <v>45332</v>
      </c>
      <c r="K33" t="n">
        <v>40</v>
      </c>
      <c r="L33" t="inlineStr">
        <is>
          <t>Desistió de la compra</t>
        </is>
      </c>
    </row>
    <row r="34" ht="18" customHeight="1" s="25">
      <c r="A34" t="inlineStr">
        <is>
          <t>NEG-0032</t>
        </is>
      </c>
      <c r="B34" t="inlineStr">
        <is>
          <t>Gloria Peláez Quintero</t>
        </is>
      </c>
      <c r="C34" t="inlineStr">
        <is>
          <t>PRY-003</t>
        </is>
      </c>
      <c r="D34" t="inlineStr">
        <is>
          <t>Apto 405</t>
        </is>
      </c>
      <c r="E34" t="inlineStr">
        <is>
          <t>Andrés Torres</t>
        </is>
      </c>
      <c r="F34" t="inlineStr">
        <is>
          <t>Perdido</t>
        </is>
      </c>
      <c r="G34" t="n">
        <v>311000000</v>
      </c>
      <c r="H34" t="n">
        <v>0</v>
      </c>
      <c r="I34" s="28" t="n">
        <v>45292</v>
      </c>
      <c r="J34" s="28" t="n">
        <v>45339</v>
      </c>
      <c r="K34" t="n">
        <v>47</v>
      </c>
      <c r="L34" t="inlineStr">
        <is>
          <t>Desistió de la compra</t>
        </is>
      </c>
    </row>
    <row r="35" ht="18" customHeight="1" s="25">
      <c r="A35" t="inlineStr">
        <is>
          <t>NEG-0033</t>
        </is>
      </c>
      <c r="B35" t="inlineStr">
        <is>
          <t>David Castaño Cardona</t>
        </is>
      </c>
      <c r="C35" t="inlineStr">
        <is>
          <t>PRY-003</t>
        </is>
      </c>
      <c r="D35" t="inlineStr">
        <is>
          <t>Apto 2604</t>
        </is>
      </c>
      <c r="E35" t="inlineStr">
        <is>
          <t>Paula Arenas</t>
        </is>
      </c>
      <c r="F35" t="inlineStr">
        <is>
          <t>Perdido</t>
        </is>
      </c>
      <c r="G35" t="n">
        <v>291000000</v>
      </c>
      <c r="H35" t="n">
        <v>0</v>
      </c>
      <c r="I35" s="28" t="n">
        <v>45292</v>
      </c>
      <c r="J35" s="28" t="n">
        <v>45350</v>
      </c>
      <c r="K35" t="n">
        <v>58</v>
      </c>
      <c r="L35" t="inlineStr">
        <is>
          <t>Eligió otro proyecto</t>
        </is>
      </c>
    </row>
    <row r="36" ht="18" customHeight="1" s="25">
      <c r="A36" t="inlineStr">
        <is>
          <t>NEG-0034</t>
        </is>
      </c>
      <c r="B36" t="inlineStr">
        <is>
          <t>Alejandra Rojas López</t>
        </is>
      </c>
      <c r="C36" t="inlineStr">
        <is>
          <t>PRY-004</t>
        </is>
      </c>
      <c r="D36" t="inlineStr">
        <is>
          <t>Casa 1</t>
        </is>
      </c>
      <c r="E36" t="inlineStr">
        <is>
          <t>Luis Bedoya</t>
        </is>
      </c>
      <c r="F36" t="inlineStr">
        <is>
          <t>Ganado</t>
        </is>
      </c>
      <c r="G36" t="n">
        <v>512000000</v>
      </c>
      <c r="H36" t="n">
        <v>1</v>
      </c>
      <c r="I36" s="28" t="n">
        <v>45292</v>
      </c>
      <c r="J36" s="28" t="n">
        <v>45332</v>
      </c>
      <c r="K36" t="n">
        <v>40</v>
      </c>
      <c r="L36" t="inlineStr">
        <is>
          <t>Promesa de compraventa firmada</t>
        </is>
      </c>
    </row>
    <row r="37" ht="18" customHeight="1" s="25">
      <c r="A37" t="inlineStr">
        <is>
          <t>NEG-0035</t>
        </is>
      </c>
      <c r="B37" t="inlineStr">
        <is>
          <t>Luisa Gaviria Palacio</t>
        </is>
      </c>
      <c r="C37" t="inlineStr">
        <is>
          <t>PRY-004</t>
        </is>
      </c>
      <c r="D37" t="inlineStr">
        <is>
          <t>Casa 41</t>
        </is>
      </c>
      <c r="E37" t="inlineStr">
        <is>
          <t>Andrés Torres</t>
        </is>
      </c>
      <c r="F37" t="inlineStr">
        <is>
          <t>Ganado</t>
        </is>
      </c>
      <c r="G37" t="n">
        <v>439000000</v>
      </c>
      <c r="H37" t="n">
        <v>1</v>
      </c>
      <c r="I37" s="28" t="n">
        <v>45292</v>
      </c>
      <c r="J37" s="28" t="n">
        <v>45332</v>
      </c>
      <c r="K37" t="n">
        <v>40</v>
      </c>
      <c r="L37" t="inlineStr">
        <is>
          <t>Promesa de compraventa firmada</t>
        </is>
      </c>
    </row>
    <row r="38" ht="18" customHeight="1" s="25">
      <c r="A38" t="inlineStr">
        <is>
          <t>NEG-0036</t>
        </is>
      </c>
      <c r="B38" t="inlineStr">
        <is>
          <t>Sofía Londoño Zapata</t>
        </is>
      </c>
      <c r="C38" t="inlineStr">
        <is>
          <t>PRY-004</t>
        </is>
      </c>
      <c r="D38" t="inlineStr">
        <is>
          <t>Casa 24</t>
        </is>
      </c>
      <c r="E38" t="inlineStr">
        <is>
          <t>Sofía Prada</t>
        </is>
      </c>
      <c r="F38" t="inlineStr">
        <is>
          <t>Ganado</t>
        </is>
      </c>
      <c r="G38" t="n">
        <v>439000000</v>
      </c>
      <c r="H38" t="n">
        <v>1</v>
      </c>
      <c r="I38" s="28" t="n">
        <v>45292</v>
      </c>
      <c r="J38" s="28" t="n">
        <v>45332</v>
      </c>
      <c r="K38" t="n">
        <v>40</v>
      </c>
      <c r="L38" t="inlineStr">
        <is>
          <t>Promesa de compraventa firmada</t>
        </is>
      </c>
    </row>
    <row r="39" ht="18" customHeight="1" s="25">
      <c r="A39" t="inlineStr">
        <is>
          <t>NEG-0037</t>
        </is>
      </c>
      <c r="B39" t="inlineStr">
        <is>
          <t>Paola Salazar Arango</t>
        </is>
      </c>
      <c r="C39" t="inlineStr">
        <is>
          <t>PRY-004</t>
        </is>
      </c>
      <c r="D39" t="inlineStr">
        <is>
          <t>Casa 18</t>
        </is>
      </c>
      <c r="E39" t="inlineStr">
        <is>
          <t>Miguel Salazar</t>
        </is>
      </c>
      <c r="F39" t="inlineStr">
        <is>
          <t>Ganado</t>
        </is>
      </c>
      <c r="G39" t="n">
        <v>473000000</v>
      </c>
      <c r="H39" t="n">
        <v>1</v>
      </c>
      <c r="I39" s="28" t="n">
        <v>45292</v>
      </c>
      <c r="J39" s="28" t="n">
        <v>45332</v>
      </c>
      <c r="K39" t="n">
        <v>40</v>
      </c>
      <c r="L39" t="inlineStr">
        <is>
          <t>Promesa de compraventa firmada</t>
        </is>
      </c>
    </row>
    <row r="40" ht="18" customHeight="1" s="25">
      <c r="A40" t="inlineStr">
        <is>
          <t>NEG-0038</t>
        </is>
      </c>
      <c r="B40" t="inlineStr">
        <is>
          <t>Felipe Pérez Vargas</t>
        </is>
      </c>
      <c r="C40" t="inlineStr">
        <is>
          <t>PRY-004</t>
        </is>
      </c>
      <c r="D40" t="inlineStr">
        <is>
          <t>Casa 73</t>
        </is>
      </c>
      <c r="E40" t="inlineStr">
        <is>
          <t>Sofía Prada</t>
        </is>
      </c>
      <c r="F40" t="inlineStr">
        <is>
          <t>Ganado</t>
        </is>
      </c>
      <c r="G40" t="n">
        <v>526000000</v>
      </c>
      <c r="H40" t="n">
        <v>1</v>
      </c>
      <c r="I40" s="28" t="n">
        <v>45292</v>
      </c>
      <c r="J40" s="28" t="n">
        <v>45332</v>
      </c>
      <c r="K40" t="n">
        <v>40</v>
      </c>
      <c r="L40" t="inlineStr">
        <is>
          <t>Promesa de compraventa firmada</t>
        </is>
      </c>
    </row>
    <row r="41" ht="18" customHeight="1" s="25">
      <c r="A41" t="inlineStr">
        <is>
          <t>NEG-0039</t>
        </is>
      </c>
      <c r="B41" t="inlineStr">
        <is>
          <t>Rodrigo Vélez Palacio</t>
        </is>
      </c>
      <c r="C41" t="inlineStr">
        <is>
          <t>PRY-004</t>
        </is>
      </c>
      <c r="D41" t="inlineStr">
        <is>
          <t>Casa 55</t>
        </is>
      </c>
      <c r="E41" t="inlineStr">
        <is>
          <t>Ana Quintero</t>
        </is>
      </c>
      <c r="F41" t="inlineStr">
        <is>
          <t>Ganado</t>
        </is>
      </c>
      <c r="G41" t="n">
        <v>492000000</v>
      </c>
      <c r="H41" t="n">
        <v>1</v>
      </c>
      <c r="I41" s="28" t="n">
        <v>45292</v>
      </c>
      <c r="J41" s="28" t="n">
        <v>45332</v>
      </c>
      <c r="K41" t="n">
        <v>40</v>
      </c>
      <c r="L41" t="inlineStr">
        <is>
          <t>Promesa de compraventa firmada</t>
        </is>
      </c>
    </row>
    <row r="42" ht="18" customHeight="1" s="25">
      <c r="A42" t="inlineStr">
        <is>
          <t>NEG-0040</t>
        </is>
      </c>
      <c r="B42" t="inlineStr">
        <is>
          <t>Felipe Ramírez Henao</t>
        </is>
      </c>
      <c r="C42" t="inlineStr">
        <is>
          <t>PRY-004</t>
        </is>
      </c>
      <c r="D42" t="inlineStr">
        <is>
          <t>Casa 37</t>
        </is>
      </c>
      <c r="E42" t="inlineStr">
        <is>
          <t>Miguel Salazar</t>
        </is>
      </c>
      <c r="F42" t="inlineStr">
        <is>
          <t>Ganado</t>
        </is>
      </c>
      <c r="G42" t="n">
        <v>526000000</v>
      </c>
      <c r="H42" t="n">
        <v>1</v>
      </c>
      <c r="I42" s="28" t="n">
        <v>45292</v>
      </c>
      <c r="J42" s="28" t="n">
        <v>45332</v>
      </c>
      <c r="K42" t="n">
        <v>40</v>
      </c>
      <c r="L42" t="inlineStr">
        <is>
          <t>Promesa de compraventa firmada</t>
        </is>
      </c>
    </row>
    <row r="43" ht="15.75" customHeight="1" s="25">
      <c r="A43" t="inlineStr">
        <is>
          <t>NEG-0041</t>
        </is>
      </c>
      <c r="B43" t="inlineStr">
        <is>
          <t>Mónica Agudelo Peláez</t>
        </is>
      </c>
      <c r="C43" t="inlineStr">
        <is>
          <t>PRY-004</t>
        </is>
      </c>
      <c r="D43" t="inlineStr">
        <is>
          <t>Casa 56</t>
        </is>
      </c>
      <c r="E43" t="inlineStr">
        <is>
          <t>Ana Quintero</t>
        </is>
      </c>
      <c r="F43" t="inlineStr">
        <is>
          <t>Ganado</t>
        </is>
      </c>
      <c r="G43" t="n">
        <v>497000000</v>
      </c>
      <c r="H43" t="n">
        <v>1</v>
      </c>
      <c r="I43" s="28" t="n">
        <v>45292</v>
      </c>
      <c r="J43" s="28" t="n">
        <v>45333</v>
      </c>
      <c r="K43" t="n">
        <v>41</v>
      </c>
      <c r="L43" t="inlineStr">
        <is>
          <t>Promesa de compraventa firmada</t>
        </is>
      </c>
    </row>
    <row r="44" ht="15.75" customHeight="1" s="25">
      <c r="A44" t="inlineStr">
        <is>
          <t>NEG-0042</t>
        </is>
      </c>
      <c r="B44" t="inlineStr">
        <is>
          <t>Alejandro Escobar Cifuentes</t>
        </is>
      </c>
      <c r="C44" t="inlineStr">
        <is>
          <t>PRY-004</t>
        </is>
      </c>
      <c r="D44" t="inlineStr">
        <is>
          <t>Casa 61</t>
        </is>
      </c>
      <c r="E44" t="inlineStr">
        <is>
          <t>Miguel Salazar</t>
        </is>
      </c>
      <c r="F44" t="inlineStr">
        <is>
          <t>Ganado</t>
        </is>
      </c>
      <c r="G44" t="n">
        <v>434000000</v>
      </c>
      <c r="H44" t="n">
        <v>1</v>
      </c>
      <c r="I44" s="28" t="n">
        <v>45292</v>
      </c>
      <c r="J44" s="28" t="n">
        <v>45341</v>
      </c>
      <c r="K44" t="n">
        <v>49</v>
      </c>
      <c r="L44" t="inlineStr">
        <is>
          <t>Promesa de compraventa firmada</t>
        </is>
      </c>
    </row>
    <row r="45" ht="15.75" customHeight="1" s="25">
      <c r="A45" t="inlineStr">
        <is>
          <t>NEG-0043</t>
        </is>
      </c>
      <c r="B45" t="inlineStr">
        <is>
          <t>Jhon Bedoya Rojas</t>
        </is>
      </c>
      <c r="C45" t="inlineStr">
        <is>
          <t>PRY-004</t>
        </is>
      </c>
      <c r="D45" t="inlineStr">
        <is>
          <t>Casa 6</t>
        </is>
      </c>
      <c r="E45" t="inlineStr">
        <is>
          <t>Ana Quintero</t>
        </is>
      </c>
      <c r="F45" t="inlineStr">
        <is>
          <t>Ganado</t>
        </is>
      </c>
      <c r="G45" t="n">
        <v>463000000</v>
      </c>
      <c r="H45" t="n">
        <v>1</v>
      </c>
      <c r="I45" s="28" t="n">
        <v>45292</v>
      </c>
      <c r="J45" s="28" t="n">
        <v>45346</v>
      </c>
      <c r="K45" t="n">
        <v>54</v>
      </c>
      <c r="L45" t="inlineStr">
        <is>
          <t>Promesa de compraventa firmada</t>
        </is>
      </c>
    </row>
    <row r="46" ht="15.75" customHeight="1" s="25">
      <c r="A46" t="inlineStr">
        <is>
          <t>NEG-0044</t>
        </is>
      </c>
      <c r="B46" t="inlineStr">
        <is>
          <t>Verónica Henao Bedoya</t>
        </is>
      </c>
      <c r="C46" t="inlineStr">
        <is>
          <t>PRY-004</t>
        </is>
      </c>
      <c r="D46" t="inlineStr">
        <is>
          <t>Casa 76</t>
        </is>
      </c>
      <c r="E46" t="inlineStr">
        <is>
          <t>Paula Arenas</t>
        </is>
      </c>
      <c r="F46" t="inlineStr">
        <is>
          <t>Ganado</t>
        </is>
      </c>
      <c r="G46" t="n">
        <v>486000000</v>
      </c>
      <c r="H46" t="n">
        <v>1</v>
      </c>
      <c r="I46" s="28" t="n">
        <v>45292</v>
      </c>
      <c r="J46" s="28" t="n">
        <v>45354</v>
      </c>
      <c r="K46" t="n">
        <v>62</v>
      </c>
      <c r="L46" t="inlineStr">
        <is>
          <t>Promesa de compraventa firmada</t>
        </is>
      </c>
    </row>
    <row r="47" ht="15.75" customHeight="1" s="25">
      <c r="A47" t="inlineStr">
        <is>
          <t>NEG-0045</t>
        </is>
      </c>
      <c r="B47" t="inlineStr">
        <is>
          <t>Manuela Echeverri Vásquez</t>
        </is>
      </c>
      <c r="C47" t="inlineStr">
        <is>
          <t>PRY-004</t>
        </is>
      </c>
      <c r="D47" t="inlineStr">
        <is>
          <t>Casa 78</t>
        </is>
      </c>
      <c r="E47" t="inlineStr">
        <is>
          <t>Juliana Vélez</t>
        </is>
      </c>
      <c r="F47" t="inlineStr">
        <is>
          <t>Ganado</t>
        </is>
      </c>
      <c r="G47" t="n">
        <v>525000000</v>
      </c>
      <c r="H47" t="n">
        <v>1</v>
      </c>
      <c r="I47" s="28" t="n">
        <v>45292</v>
      </c>
      <c r="J47" s="28" t="n">
        <v>45358</v>
      </c>
      <c r="K47" t="n">
        <v>66</v>
      </c>
      <c r="L47" t="inlineStr">
        <is>
          <t>Promesa de compraventa firmada</t>
        </is>
      </c>
    </row>
    <row r="48" ht="15.75" customHeight="1" s="25">
      <c r="A48" t="inlineStr">
        <is>
          <t>NEG-0046</t>
        </is>
      </c>
      <c r="B48" t="inlineStr">
        <is>
          <t>Emilio Vélez Cardona</t>
        </is>
      </c>
      <c r="C48" t="inlineStr">
        <is>
          <t>PRY-004</t>
        </is>
      </c>
      <c r="D48" t="inlineStr">
        <is>
          <t>Casa 51</t>
        </is>
      </c>
      <c r="E48" t="inlineStr">
        <is>
          <t>Sofía Prada</t>
        </is>
      </c>
      <c r="F48" t="inlineStr">
        <is>
          <t>Ganado</t>
        </is>
      </c>
      <c r="G48" t="n">
        <v>501000000</v>
      </c>
      <c r="H48" t="n">
        <v>1</v>
      </c>
      <c r="I48" s="28" t="n">
        <v>45292</v>
      </c>
      <c r="J48" s="28" t="n">
        <v>45361</v>
      </c>
      <c r="K48" t="n">
        <v>69</v>
      </c>
      <c r="L48" t="inlineStr">
        <is>
          <t>Promesa de compraventa firmada</t>
        </is>
      </c>
    </row>
    <row r="49" ht="15.75" customHeight="1" s="25">
      <c r="A49" t="inlineStr">
        <is>
          <t>NEG-0047</t>
        </is>
      </c>
      <c r="B49" t="inlineStr">
        <is>
          <t>David Hernández Echeverri</t>
        </is>
      </c>
      <c r="C49" t="inlineStr">
        <is>
          <t>PRY-004</t>
        </is>
      </c>
      <c r="D49" t="inlineStr">
        <is>
          <t>Casa 10</t>
        </is>
      </c>
      <c r="E49" t="inlineStr">
        <is>
          <t>Ana Quintero</t>
        </is>
      </c>
      <c r="F49" t="inlineStr">
        <is>
          <t>Ganado</t>
        </is>
      </c>
      <c r="G49" t="n">
        <v>413000000</v>
      </c>
      <c r="H49" t="n">
        <v>1</v>
      </c>
      <c r="I49" s="28" t="n">
        <v>45292</v>
      </c>
      <c r="J49" s="28" t="n">
        <v>45363</v>
      </c>
      <c r="K49" t="n">
        <v>71</v>
      </c>
      <c r="L49" t="inlineStr">
        <is>
          <t>Promesa de compraventa firmada</t>
        </is>
      </c>
    </row>
    <row r="50" ht="15.75" customHeight="1" s="25">
      <c r="A50" t="inlineStr">
        <is>
          <t>NEG-0048</t>
        </is>
      </c>
      <c r="B50" t="inlineStr">
        <is>
          <t>Valeria Pérez Osorio</t>
        </is>
      </c>
      <c r="C50" t="inlineStr">
        <is>
          <t>PRY-004</t>
        </is>
      </c>
      <c r="D50" t="inlineStr">
        <is>
          <t>Casa 38</t>
        </is>
      </c>
      <c r="E50" t="inlineStr">
        <is>
          <t>Andrés Torres</t>
        </is>
      </c>
      <c r="F50" t="inlineStr">
        <is>
          <t>Ganado</t>
        </is>
      </c>
      <c r="G50" t="n">
        <v>490000000</v>
      </c>
      <c r="H50" t="n">
        <v>1</v>
      </c>
      <c r="I50" s="28" t="n">
        <v>45292</v>
      </c>
      <c r="J50" s="28" t="n">
        <v>45389</v>
      </c>
      <c r="K50" t="n">
        <v>97</v>
      </c>
      <c r="L50" t="inlineStr">
        <is>
          <t>Promesa de compraventa firmada</t>
        </is>
      </c>
    </row>
    <row r="51" ht="15.75" customHeight="1" s="25">
      <c r="A51" t="inlineStr">
        <is>
          <t>NEG-0049</t>
        </is>
      </c>
      <c r="B51" t="inlineStr">
        <is>
          <t>Liliana Gómez Rojas</t>
        </is>
      </c>
      <c r="C51" t="inlineStr">
        <is>
          <t>PRY-004</t>
        </is>
      </c>
      <c r="D51" t="inlineStr">
        <is>
          <t>Casa 73</t>
        </is>
      </c>
      <c r="E51" t="inlineStr">
        <is>
          <t>Miguel Salazar</t>
        </is>
      </c>
      <c r="F51" t="inlineStr">
        <is>
          <t>Perdido</t>
        </is>
      </c>
      <c r="G51" t="n">
        <v>522000000</v>
      </c>
      <c r="H51" t="n">
        <v>0</v>
      </c>
      <c r="I51" s="28" t="n">
        <v>45292</v>
      </c>
      <c r="J51" s="28" t="n">
        <v>45332</v>
      </c>
      <c r="K51" t="n">
        <v>40</v>
      </c>
      <c r="L51" t="inlineStr">
        <is>
          <t>Desistió de la compra</t>
        </is>
      </c>
    </row>
    <row r="52" ht="15.75" customHeight="1" s="25">
      <c r="A52" t="inlineStr">
        <is>
          <t>NEG-0050</t>
        </is>
      </c>
      <c r="B52" t="inlineStr">
        <is>
          <t>Mónica Hernández Rojas</t>
        </is>
      </c>
      <c r="C52" t="inlineStr">
        <is>
          <t>PRY-004</t>
        </is>
      </c>
      <c r="D52" t="inlineStr">
        <is>
          <t>Casa 1</t>
        </is>
      </c>
      <c r="E52" t="inlineStr">
        <is>
          <t>Sofía Prada</t>
        </is>
      </c>
      <c r="F52" t="inlineStr">
        <is>
          <t>Perdido</t>
        </is>
      </c>
      <c r="G52" t="n">
        <v>508000000</v>
      </c>
      <c r="H52" t="n">
        <v>0</v>
      </c>
      <c r="I52" s="28" t="n">
        <v>45292</v>
      </c>
      <c r="J52" s="28" t="n">
        <v>45332</v>
      </c>
      <c r="K52" t="n">
        <v>40</v>
      </c>
      <c r="L52" t="inlineStr">
        <is>
          <t>Desistió de la compra</t>
        </is>
      </c>
    </row>
    <row r="53" ht="15.75" customHeight="1" s="25">
      <c r="A53" t="inlineStr">
        <is>
          <t>NEG-0051</t>
        </is>
      </c>
      <c r="B53" t="inlineStr">
        <is>
          <t>Felipe Pérez Cardona</t>
        </is>
      </c>
      <c r="C53" t="inlineStr">
        <is>
          <t>PRY-004</t>
        </is>
      </c>
      <c r="D53" t="inlineStr">
        <is>
          <t>Casa 36</t>
        </is>
      </c>
      <c r="E53" t="inlineStr">
        <is>
          <t>Luis Bedoya</t>
        </is>
      </c>
      <c r="F53" t="inlineStr">
        <is>
          <t>Perdido</t>
        </is>
      </c>
      <c r="G53" t="n">
        <v>484000000</v>
      </c>
      <c r="H53" t="n">
        <v>0</v>
      </c>
      <c r="I53" s="28" t="n">
        <v>45292</v>
      </c>
      <c r="J53" s="28" t="n">
        <v>45332</v>
      </c>
      <c r="K53" t="n">
        <v>40</v>
      </c>
      <c r="L53" t="inlineStr">
        <is>
          <t>Eligió otro proyecto</t>
        </is>
      </c>
    </row>
    <row r="54" ht="15.75" customHeight="1" s="25">
      <c r="A54" t="inlineStr">
        <is>
          <t>NEG-0052</t>
        </is>
      </c>
      <c r="B54" t="inlineStr">
        <is>
          <t>Rodrigo Rojas Escobar</t>
        </is>
      </c>
      <c r="C54" t="inlineStr">
        <is>
          <t>PRY-004</t>
        </is>
      </c>
      <c r="D54" t="inlineStr">
        <is>
          <t>Casa 47</t>
        </is>
      </c>
      <c r="E54" t="inlineStr">
        <is>
          <t>Miguel Salazar</t>
        </is>
      </c>
      <c r="F54" t="inlineStr">
        <is>
          <t>Perdido</t>
        </is>
      </c>
      <c r="G54" t="n">
        <v>479000000</v>
      </c>
      <c r="H54" t="n">
        <v>0</v>
      </c>
      <c r="I54" s="28" t="n">
        <v>45292</v>
      </c>
      <c r="J54" s="28" t="n">
        <v>45333</v>
      </c>
      <c r="K54" t="n">
        <v>41</v>
      </c>
      <c r="L54" t="inlineStr">
        <is>
          <t>Precio fuera de presupuesto</t>
        </is>
      </c>
    </row>
    <row r="55" ht="15.75" customHeight="1" s="25">
      <c r="A55" t="inlineStr">
        <is>
          <t>NEG-0053</t>
        </is>
      </c>
      <c r="B55" t="inlineStr">
        <is>
          <t>Esteban Sánchez Escobar</t>
        </is>
      </c>
      <c r="C55" t="inlineStr">
        <is>
          <t>PRY-004</t>
        </is>
      </c>
      <c r="D55" t="inlineStr">
        <is>
          <t>Casa 54</t>
        </is>
      </c>
      <c r="E55" t="inlineStr">
        <is>
          <t>Sofía Prada</t>
        </is>
      </c>
      <c r="F55" t="inlineStr">
        <is>
          <t>Perdido</t>
        </is>
      </c>
      <c r="G55" t="n">
        <v>417000000</v>
      </c>
      <c r="H55" t="n">
        <v>0</v>
      </c>
      <c r="I55" s="28" t="n">
        <v>45292</v>
      </c>
      <c r="J55" s="28" t="n">
        <v>45349</v>
      </c>
      <c r="K55" t="n">
        <v>57</v>
      </c>
      <c r="L55" t="inlineStr">
        <is>
          <t>Precio fuera de presupuesto</t>
        </is>
      </c>
    </row>
    <row r="56" ht="15.75" customHeight="1" s="25">
      <c r="A56" t="inlineStr">
        <is>
          <t>NEG-0054</t>
        </is>
      </c>
      <c r="B56" t="inlineStr">
        <is>
          <t>Camila Correa Jaramillo</t>
        </is>
      </c>
      <c r="C56" t="inlineStr">
        <is>
          <t>PRY-004</t>
        </is>
      </c>
      <c r="D56" t="inlineStr">
        <is>
          <t>Casa 56</t>
        </is>
      </c>
      <c r="E56" t="inlineStr">
        <is>
          <t>Paula Arenas</t>
        </is>
      </c>
      <c r="F56" t="inlineStr">
        <is>
          <t>Perdido</t>
        </is>
      </c>
      <c r="G56" t="n">
        <v>494000000</v>
      </c>
      <c r="H56" t="n">
        <v>0</v>
      </c>
      <c r="I56" s="28" t="n">
        <v>45292</v>
      </c>
      <c r="J56" s="28" t="n">
        <v>45352</v>
      </c>
      <c r="K56" t="n">
        <v>60</v>
      </c>
      <c r="L56" t="inlineStr">
        <is>
          <t>Eligió otro proyecto</t>
        </is>
      </c>
    </row>
    <row r="57" ht="15.75" customHeight="1" s="25">
      <c r="A57" t="inlineStr">
        <is>
          <t>NEG-0055</t>
        </is>
      </c>
      <c r="B57" t="inlineStr">
        <is>
          <t>Luisa Arango Quintero</t>
        </is>
      </c>
      <c r="C57" t="inlineStr">
        <is>
          <t>PRY-004</t>
        </is>
      </c>
      <c r="D57" t="inlineStr">
        <is>
          <t>Casa 69</t>
        </is>
      </c>
      <c r="E57" t="inlineStr">
        <is>
          <t>Miguel Salazar</t>
        </is>
      </c>
      <c r="F57" t="inlineStr">
        <is>
          <t>Perdido</t>
        </is>
      </c>
      <c r="G57" t="n">
        <v>455000000</v>
      </c>
      <c r="H57" t="n">
        <v>0</v>
      </c>
      <c r="I57" s="28" t="n">
        <v>45292</v>
      </c>
      <c r="J57" s="28" t="n">
        <v>45359</v>
      </c>
      <c r="K57" t="n">
        <v>67</v>
      </c>
      <c r="L57" t="inlineStr">
        <is>
          <t>Desistió de la compra</t>
        </is>
      </c>
    </row>
    <row r="58" ht="15.75" customHeight="1" s="25">
      <c r="A58" t="inlineStr">
        <is>
          <t>NEG-0056</t>
        </is>
      </c>
      <c r="B58" t="inlineStr">
        <is>
          <t>David Cifuentes Toro</t>
        </is>
      </c>
      <c r="C58" t="inlineStr">
        <is>
          <t>PRY-004</t>
        </is>
      </c>
      <c r="D58" t="inlineStr">
        <is>
          <t>Casa 13</t>
        </is>
      </c>
      <c r="E58" t="inlineStr">
        <is>
          <t>Sofía Prada</t>
        </is>
      </c>
      <c r="F58" t="inlineStr">
        <is>
          <t>Perdido</t>
        </is>
      </c>
      <c r="G58" t="n">
        <v>436000000</v>
      </c>
      <c r="H58" t="n">
        <v>0</v>
      </c>
      <c r="I58" s="28" t="n">
        <v>45292</v>
      </c>
      <c r="J58" s="28" t="n">
        <v>45376</v>
      </c>
      <c r="K58" t="n">
        <v>84</v>
      </c>
      <c r="L58" t="inlineStr">
        <is>
          <t>No volvió a responder</t>
        </is>
      </c>
    </row>
    <row r="59" ht="15.75" customHeight="1" s="25">
      <c r="A59" t="inlineStr">
        <is>
          <t>NEG-0057</t>
        </is>
      </c>
      <c r="B59" t="inlineStr">
        <is>
          <t>Natalia Cardona Uribe</t>
        </is>
      </c>
      <c r="C59" t="inlineStr">
        <is>
          <t>PRY-008</t>
        </is>
      </c>
      <c r="D59" t="inlineStr">
        <is>
          <t>Casa 105</t>
        </is>
      </c>
      <c r="E59" t="inlineStr">
        <is>
          <t>Miguel Salazar</t>
        </is>
      </c>
      <c r="F59" t="inlineStr">
        <is>
          <t>Ganado</t>
        </is>
      </c>
      <c r="G59" t="n">
        <v>165000000</v>
      </c>
      <c r="H59" t="n">
        <v>1</v>
      </c>
      <c r="I59" s="28" t="n">
        <v>45292</v>
      </c>
      <c r="J59" s="28" t="n">
        <v>45312</v>
      </c>
      <c r="K59" t="n">
        <v>20</v>
      </c>
      <c r="L59" t="inlineStr">
        <is>
          <t>Promesa de compraventa firmada</t>
        </is>
      </c>
    </row>
    <row r="60" ht="15.75" customHeight="1" s="25">
      <c r="A60" t="inlineStr">
        <is>
          <t>NEG-0058</t>
        </is>
      </c>
      <c r="B60" t="inlineStr">
        <is>
          <t>Juliana Ríos López</t>
        </is>
      </c>
      <c r="C60" t="inlineStr">
        <is>
          <t>PRY-008</t>
        </is>
      </c>
      <c r="D60" t="inlineStr">
        <is>
          <t>Casa 62</t>
        </is>
      </c>
      <c r="E60" t="inlineStr">
        <is>
          <t>Paula Arenas</t>
        </is>
      </c>
      <c r="F60" t="inlineStr">
        <is>
          <t>Ganado</t>
        </is>
      </c>
      <c r="G60" t="n">
        <v>131000000</v>
      </c>
      <c r="H60" t="n">
        <v>1</v>
      </c>
      <c r="I60" s="28" t="n">
        <v>45292</v>
      </c>
      <c r="J60" s="28" t="n">
        <v>45312</v>
      </c>
      <c r="K60" t="n">
        <v>20</v>
      </c>
      <c r="L60" t="inlineStr">
        <is>
          <t>Promesa de compraventa firmada</t>
        </is>
      </c>
    </row>
    <row r="61" ht="15.75" customHeight="1" s="25">
      <c r="A61" t="inlineStr">
        <is>
          <t>NEG-0059</t>
        </is>
      </c>
      <c r="B61" t="inlineStr">
        <is>
          <t>Fernando Giraldo Mejía</t>
        </is>
      </c>
      <c r="C61" t="inlineStr">
        <is>
          <t>PRY-008</t>
        </is>
      </c>
      <c r="D61" t="inlineStr">
        <is>
          <t>Casa 76</t>
        </is>
      </c>
      <c r="E61" t="inlineStr">
        <is>
          <t>Miguel Salazar</t>
        </is>
      </c>
      <c r="F61" t="inlineStr">
        <is>
          <t>Ganado</t>
        </is>
      </c>
      <c r="G61" t="n">
        <v>128000000</v>
      </c>
      <c r="H61" t="n">
        <v>1</v>
      </c>
      <c r="I61" s="28" t="n">
        <v>45292</v>
      </c>
      <c r="J61" s="28" t="n">
        <v>45312</v>
      </c>
      <c r="K61" t="n">
        <v>20</v>
      </c>
      <c r="L61" t="inlineStr">
        <is>
          <t>Promesa de compraventa firmada</t>
        </is>
      </c>
    </row>
    <row r="62" ht="15.75" customHeight="1" s="25">
      <c r="A62" t="inlineStr">
        <is>
          <t>NEG-0060</t>
        </is>
      </c>
      <c r="B62" t="inlineStr">
        <is>
          <t>Felipe Escobar Ríos</t>
        </is>
      </c>
      <c r="C62" t="inlineStr">
        <is>
          <t>PRY-008</t>
        </is>
      </c>
      <c r="D62" t="inlineStr">
        <is>
          <t>Casa 56</t>
        </is>
      </c>
      <c r="E62" t="inlineStr">
        <is>
          <t>Andrés Torres</t>
        </is>
      </c>
      <c r="F62" t="inlineStr">
        <is>
          <t>Ganado</t>
        </is>
      </c>
      <c r="G62" t="n">
        <v>166000000</v>
      </c>
      <c r="H62" t="n">
        <v>1</v>
      </c>
      <c r="I62" s="28" t="n">
        <v>45292</v>
      </c>
      <c r="J62" s="28" t="n">
        <v>45323</v>
      </c>
      <c r="K62" t="n">
        <v>31</v>
      </c>
      <c r="L62" t="inlineStr">
        <is>
          <t>Promesa de compraventa firmada</t>
        </is>
      </c>
    </row>
    <row r="63" ht="15.75" customHeight="1" s="25">
      <c r="A63" t="inlineStr">
        <is>
          <t>NEG-0061</t>
        </is>
      </c>
      <c r="B63" t="inlineStr">
        <is>
          <t>Paula Uribe Londoño</t>
        </is>
      </c>
      <c r="C63" t="inlineStr">
        <is>
          <t>PRY-008</t>
        </is>
      </c>
      <c r="D63" t="inlineStr">
        <is>
          <t>Casa 61</t>
        </is>
      </c>
      <c r="E63" t="inlineStr">
        <is>
          <t>Luis Bedoya</t>
        </is>
      </c>
      <c r="F63" t="inlineStr">
        <is>
          <t>Ganado</t>
        </is>
      </c>
      <c r="G63" t="n">
        <v>129000000</v>
      </c>
      <c r="H63" t="n">
        <v>1</v>
      </c>
      <c r="I63" s="28" t="n">
        <v>45292</v>
      </c>
      <c r="J63" s="28" t="n">
        <v>45326</v>
      </c>
      <c r="K63" t="n">
        <v>34</v>
      </c>
      <c r="L63" t="inlineStr">
        <is>
          <t>Promesa de compraventa firmada</t>
        </is>
      </c>
    </row>
    <row r="64" ht="15.75" customHeight="1" s="25">
      <c r="A64" t="inlineStr">
        <is>
          <t>NEG-0062</t>
        </is>
      </c>
      <c r="B64" t="inlineStr">
        <is>
          <t>Mónica Correa Hernández</t>
        </is>
      </c>
      <c r="C64" t="inlineStr">
        <is>
          <t>PRY-008</t>
        </is>
      </c>
      <c r="D64" t="inlineStr">
        <is>
          <t>Casa 12</t>
        </is>
      </c>
      <c r="E64" t="inlineStr">
        <is>
          <t>Sofía Prada</t>
        </is>
      </c>
      <c r="F64" t="inlineStr">
        <is>
          <t>Perdido</t>
        </is>
      </c>
      <c r="G64" t="n">
        <v>134000000</v>
      </c>
      <c r="H64" t="n">
        <v>0</v>
      </c>
      <c r="I64" s="28" t="n">
        <v>45292</v>
      </c>
      <c r="J64" s="28" t="n">
        <v>45312</v>
      </c>
      <c r="K64" t="n">
        <v>20</v>
      </c>
      <c r="L64" t="inlineStr">
        <is>
          <t>Eligió otro proyecto</t>
        </is>
      </c>
    </row>
    <row r="65" ht="15.75" customHeight="1" s="25">
      <c r="A65" t="inlineStr">
        <is>
          <t>NEG-0063</t>
        </is>
      </c>
      <c r="B65" t="inlineStr">
        <is>
          <t>Óscar Echeverri Toro</t>
        </is>
      </c>
      <c r="C65" t="inlineStr">
        <is>
          <t>PRY-008</t>
        </is>
      </c>
      <c r="D65" t="inlineStr">
        <is>
          <t>Casa 71</t>
        </is>
      </c>
      <c r="E65" t="inlineStr">
        <is>
          <t>Luis Bedoya</t>
        </is>
      </c>
      <c r="F65" t="inlineStr">
        <is>
          <t>Perdido</t>
        </is>
      </c>
      <c r="G65" t="n">
        <v>131000000</v>
      </c>
      <c r="H65" t="n">
        <v>0</v>
      </c>
      <c r="I65" s="28" t="n">
        <v>45292</v>
      </c>
      <c r="J65" s="28" t="n">
        <v>45312</v>
      </c>
      <c r="K65" t="n">
        <v>20</v>
      </c>
      <c r="L65" t="inlineStr">
        <is>
          <t>Precio fuera de presupuesto</t>
        </is>
      </c>
    </row>
    <row r="66" ht="15.75" customHeight="1" s="25">
      <c r="A66" t="inlineStr">
        <is>
          <t>NEG-0064</t>
        </is>
      </c>
      <c r="B66" t="inlineStr">
        <is>
          <t>Gloria Castaño Duque</t>
        </is>
      </c>
      <c r="C66" t="inlineStr">
        <is>
          <t>PRY-008</t>
        </is>
      </c>
      <c r="D66" t="inlineStr">
        <is>
          <t>Casa 75</t>
        </is>
      </c>
      <c r="E66" t="inlineStr">
        <is>
          <t>Miguel Salazar</t>
        </is>
      </c>
      <c r="F66" t="inlineStr">
        <is>
          <t>Perdido</t>
        </is>
      </c>
      <c r="G66" t="n">
        <v>151000000</v>
      </c>
      <c r="H66" t="n">
        <v>0</v>
      </c>
      <c r="I66" s="28" t="n">
        <v>45292</v>
      </c>
      <c r="J66" s="28" t="n">
        <v>45330</v>
      </c>
      <c r="K66" t="n">
        <v>38</v>
      </c>
      <c r="L66" t="inlineStr">
        <is>
          <t>No volvió a responder</t>
        </is>
      </c>
    </row>
    <row r="67" ht="15.75" customHeight="1" s="25">
      <c r="A67" t="inlineStr">
        <is>
          <t>NEG-0065</t>
        </is>
      </c>
      <c r="B67" t="inlineStr">
        <is>
          <t>Rodrigo Franco Montes</t>
        </is>
      </c>
      <c r="C67" t="inlineStr">
        <is>
          <t>PRY-008</t>
        </is>
      </c>
      <c r="D67" t="inlineStr">
        <is>
          <t>Casa 12</t>
        </is>
      </c>
      <c r="E67" t="inlineStr">
        <is>
          <t>Ana Quintero</t>
        </is>
      </c>
      <c r="F67" t="inlineStr">
        <is>
          <t>Ganado</t>
        </is>
      </c>
      <c r="G67" t="n">
        <v>134000000</v>
      </c>
      <c r="H67" t="n">
        <v>1</v>
      </c>
      <c r="I67" s="28" t="n">
        <v>45294</v>
      </c>
      <c r="J67" s="28" t="n">
        <v>45325</v>
      </c>
      <c r="K67" t="n">
        <v>31</v>
      </c>
      <c r="L67" t="inlineStr">
        <is>
          <t>Promesa de compraventa firmada</t>
        </is>
      </c>
    </row>
    <row r="68" ht="15.75" customHeight="1" s="25">
      <c r="A68" t="inlineStr">
        <is>
          <t>NEG-0066</t>
        </is>
      </c>
      <c r="B68" t="inlineStr">
        <is>
          <t>Esteban Escobar Pérez</t>
        </is>
      </c>
      <c r="C68" t="inlineStr">
        <is>
          <t>PRY-003</t>
        </is>
      </c>
      <c r="D68" t="inlineStr">
        <is>
          <t>Apto 1908</t>
        </is>
      </c>
      <c r="E68" t="inlineStr">
        <is>
          <t>Luis Bedoya</t>
        </is>
      </c>
      <c r="F68" t="inlineStr">
        <is>
          <t>Ganado</t>
        </is>
      </c>
      <c r="G68" t="n">
        <v>289000000</v>
      </c>
      <c r="H68" t="n">
        <v>1</v>
      </c>
      <c r="I68" s="28" t="n">
        <v>45295</v>
      </c>
      <c r="J68" s="28" t="n">
        <v>45330</v>
      </c>
      <c r="K68" t="n">
        <v>35</v>
      </c>
      <c r="L68" t="inlineStr">
        <is>
          <t>Promesa de compraventa firmada</t>
        </is>
      </c>
    </row>
    <row r="69" ht="15.75" customHeight="1" s="25">
      <c r="A69" t="inlineStr">
        <is>
          <t>NEG-0067</t>
        </is>
      </c>
      <c r="B69" t="inlineStr">
        <is>
          <t>Andrés Vásquez Montoya</t>
        </is>
      </c>
      <c r="C69" t="inlineStr">
        <is>
          <t>PRY-004</t>
        </is>
      </c>
      <c r="D69" t="inlineStr">
        <is>
          <t>Casa 7</t>
        </is>
      </c>
      <c r="E69" t="inlineStr">
        <is>
          <t>Andrés Torres</t>
        </is>
      </c>
      <c r="F69" t="inlineStr">
        <is>
          <t>Ganado</t>
        </is>
      </c>
      <c r="G69" t="n">
        <v>506000000</v>
      </c>
      <c r="H69" t="n">
        <v>1</v>
      </c>
      <c r="I69" s="28" t="n">
        <v>45296</v>
      </c>
      <c r="J69" s="28" t="n">
        <v>45357</v>
      </c>
      <c r="K69" t="n">
        <v>61</v>
      </c>
      <c r="L69" t="inlineStr">
        <is>
          <t>Promesa de compraventa firmada</t>
        </is>
      </c>
    </row>
    <row r="70" ht="15.75" customHeight="1" s="25">
      <c r="A70" t="inlineStr">
        <is>
          <t>NEG-0068</t>
        </is>
      </c>
      <c r="B70" t="inlineStr">
        <is>
          <t>Daniel Hernández Zapata</t>
        </is>
      </c>
      <c r="C70" t="inlineStr">
        <is>
          <t>PRY-008</t>
        </is>
      </c>
      <c r="D70" t="inlineStr">
        <is>
          <t>Casa 79</t>
        </is>
      </c>
      <c r="E70" t="inlineStr">
        <is>
          <t>Ana Quintero</t>
        </is>
      </c>
      <c r="F70" t="inlineStr">
        <is>
          <t>Ganado</t>
        </is>
      </c>
      <c r="G70" t="n">
        <v>147000000</v>
      </c>
      <c r="H70" t="n">
        <v>1</v>
      </c>
      <c r="I70" s="28" t="n">
        <v>45296</v>
      </c>
      <c r="J70" s="28" t="n">
        <v>45357</v>
      </c>
      <c r="K70" t="n">
        <v>61</v>
      </c>
      <c r="L70" t="inlineStr">
        <is>
          <t>Promesa de compraventa firmada</t>
        </is>
      </c>
    </row>
    <row r="71" ht="15.75" customHeight="1" s="25">
      <c r="A71" t="inlineStr">
        <is>
          <t>NEG-0069</t>
        </is>
      </c>
      <c r="B71" t="inlineStr">
        <is>
          <t>Mauricio Zuluaga Toro</t>
        </is>
      </c>
      <c r="C71" t="inlineStr">
        <is>
          <t>PRY-001</t>
        </is>
      </c>
      <c r="D71" t="inlineStr">
        <is>
          <t>Apto 2106</t>
        </is>
      </c>
      <c r="E71" t="inlineStr">
        <is>
          <t>Ana Quintero</t>
        </is>
      </c>
      <c r="F71" t="inlineStr">
        <is>
          <t>Ganado</t>
        </is>
      </c>
      <c r="G71" t="n">
        <v>675000000</v>
      </c>
      <c r="H71" t="n">
        <v>1</v>
      </c>
      <c r="I71" s="28" t="n">
        <v>45297</v>
      </c>
      <c r="J71" s="28" t="n">
        <v>45398</v>
      </c>
      <c r="K71" t="n">
        <v>101</v>
      </c>
      <c r="L71" t="inlineStr">
        <is>
          <t>Promesa de compraventa firmada</t>
        </is>
      </c>
    </row>
    <row r="72" ht="15.75" customHeight="1" s="25">
      <c r="A72" t="inlineStr">
        <is>
          <t>NEG-0070</t>
        </is>
      </c>
      <c r="B72" t="inlineStr">
        <is>
          <t>Jhon Vélez Jaramillo</t>
        </is>
      </c>
      <c r="C72" t="inlineStr">
        <is>
          <t>PRY-002</t>
        </is>
      </c>
      <c r="D72" t="inlineStr">
        <is>
          <t>Casa 58</t>
        </is>
      </c>
      <c r="E72" t="inlineStr">
        <is>
          <t>Sofía Prada</t>
        </is>
      </c>
      <c r="F72" t="inlineStr">
        <is>
          <t>Perdido</t>
        </is>
      </c>
      <c r="G72" t="n">
        <v>690000000</v>
      </c>
      <c r="H72" t="n">
        <v>0</v>
      </c>
      <c r="I72" s="28" t="n">
        <v>45297</v>
      </c>
      <c r="J72" s="28" t="n">
        <v>45438</v>
      </c>
      <c r="K72" t="n">
        <v>141</v>
      </c>
      <c r="L72" t="inlineStr">
        <is>
          <t>Crédito no aprobado</t>
        </is>
      </c>
    </row>
    <row r="73" ht="15.75" customHeight="1" s="25">
      <c r="A73" t="inlineStr">
        <is>
          <t>NEG-0071</t>
        </is>
      </c>
      <c r="B73" t="inlineStr">
        <is>
          <t>Marcela Duque Espinosa</t>
        </is>
      </c>
      <c r="C73" t="inlineStr">
        <is>
          <t>PRY-004</t>
        </is>
      </c>
      <c r="D73" t="inlineStr">
        <is>
          <t>Casa 60</t>
        </is>
      </c>
      <c r="E73" t="inlineStr">
        <is>
          <t>Luis Bedoya</t>
        </is>
      </c>
      <c r="F73" t="inlineStr">
        <is>
          <t>Ganado</t>
        </is>
      </c>
      <c r="G73" t="n">
        <v>467000000</v>
      </c>
      <c r="H73" t="n">
        <v>1</v>
      </c>
      <c r="I73" s="28" t="n">
        <v>45297</v>
      </c>
      <c r="J73" s="28" t="n">
        <v>45355</v>
      </c>
      <c r="K73" t="n">
        <v>58</v>
      </c>
      <c r="L73" t="inlineStr">
        <is>
          <t>Promesa de compraventa firmada</t>
        </is>
      </c>
    </row>
    <row r="74" ht="15.75" customHeight="1" s="25">
      <c r="A74" t="inlineStr">
        <is>
          <t>NEG-0072</t>
        </is>
      </c>
      <c r="B74" t="inlineStr">
        <is>
          <t>Gabriel Muñoz Montes</t>
        </is>
      </c>
      <c r="C74" t="inlineStr">
        <is>
          <t>PRY-003</t>
        </is>
      </c>
      <c r="D74" t="inlineStr">
        <is>
          <t>Apto 1107</t>
        </is>
      </c>
      <c r="E74" t="inlineStr">
        <is>
          <t>Miguel Salazar</t>
        </is>
      </c>
      <c r="F74" t="inlineStr">
        <is>
          <t>Ganado</t>
        </is>
      </c>
      <c r="G74" t="n">
        <v>278000000</v>
      </c>
      <c r="H74" t="n">
        <v>1</v>
      </c>
      <c r="I74" s="28" t="n">
        <v>45298</v>
      </c>
      <c r="J74" s="28" t="n">
        <v>45358</v>
      </c>
      <c r="K74" t="n">
        <v>60</v>
      </c>
      <c r="L74" t="inlineStr">
        <is>
          <t>Promesa de compraventa firmada</t>
        </is>
      </c>
    </row>
    <row r="75" ht="15.75" customHeight="1" s="25">
      <c r="A75" t="inlineStr">
        <is>
          <t>NEG-0073</t>
        </is>
      </c>
      <c r="B75" t="inlineStr">
        <is>
          <t>Paola Vásquez Sánchez</t>
        </is>
      </c>
      <c r="C75" t="inlineStr">
        <is>
          <t>PRY-001</t>
        </is>
      </c>
      <c r="D75" t="inlineStr">
        <is>
          <t>Apto 302</t>
        </is>
      </c>
      <c r="E75" t="inlineStr">
        <is>
          <t>Juliana Vélez</t>
        </is>
      </c>
      <c r="F75" t="inlineStr">
        <is>
          <t>Ganado</t>
        </is>
      </c>
      <c r="G75" t="n">
        <v>585000000</v>
      </c>
      <c r="H75" t="n">
        <v>1</v>
      </c>
      <c r="I75" s="28" t="n">
        <v>45299</v>
      </c>
      <c r="J75" s="28" t="n">
        <v>45351</v>
      </c>
      <c r="K75" t="n">
        <v>52</v>
      </c>
      <c r="L75" t="inlineStr">
        <is>
          <t>Promesa de compraventa firmada</t>
        </is>
      </c>
    </row>
    <row r="76" ht="15.75" customHeight="1" s="25">
      <c r="A76" t="inlineStr">
        <is>
          <t>NEG-0074</t>
        </is>
      </c>
      <c r="B76" t="inlineStr">
        <is>
          <t>Simón Ríos Bedoya</t>
        </is>
      </c>
      <c r="C76" t="inlineStr">
        <is>
          <t>PRY-003</t>
        </is>
      </c>
      <c r="D76" t="inlineStr">
        <is>
          <t>Apto 1206</t>
        </is>
      </c>
      <c r="E76" t="inlineStr">
        <is>
          <t>Miguel Salazar</t>
        </is>
      </c>
      <c r="F76" t="inlineStr">
        <is>
          <t>Perdido</t>
        </is>
      </c>
      <c r="G76" t="n">
        <v>320000000</v>
      </c>
      <c r="H76" t="n">
        <v>0</v>
      </c>
      <c r="I76" s="28" t="n">
        <v>45299</v>
      </c>
      <c r="J76" s="28" t="n">
        <v>45366</v>
      </c>
      <c r="K76" t="n">
        <v>67</v>
      </c>
      <c r="L76" t="inlineStr">
        <is>
          <t>No volvió a responder</t>
        </is>
      </c>
    </row>
    <row r="77" ht="15.75" customHeight="1" s="25">
      <c r="A77" t="inlineStr">
        <is>
          <t>NEG-0075</t>
        </is>
      </c>
      <c r="B77" t="inlineStr">
        <is>
          <t>Ximena López Salcedo</t>
        </is>
      </c>
      <c r="C77" t="inlineStr">
        <is>
          <t>PRY-001</t>
        </is>
      </c>
      <c r="D77" t="inlineStr">
        <is>
          <t>Apto 605</t>
        </is>
      </c>
      <c r="E77" t="inlineStr">
        <is>
          <t>Sofía Prada</t>
        </is>
      </c>
      <c r="F77" t="inlineStr">
        <is>
          <t>Ganado</t>
        </is>
      </c>
      <c r="G77" t="n">
        <v>523000000</v>
      </c>
      <c r="H77" t="n">
        <v>1</v>
      </c>
      <c r="I77" s="28" t="n">
        <v>45301</v>
      </c>
      <c r="J77" s="28" t="n">
        <v>45342</v>
      </c>
      <c r="K77" t="n">
        <v>41</v>
      </c>
      <c r="L77" t="inlineStr">
        <is>
          <t>Promesa de compraventa firmada</t>
        </is>
      </c>
    </row>
    <row r="78" ht="15.75" customHeight="1" s="25">
      <c r="A78" t="inlineStr">
        <is>
          <t>NEG-0076</t>
        </is>
      </c>
      <c r="B78" t="inlineStr">
        <is>
          <t>Mauricio Espinosa Jaramillo</t>
        </is>
      </c>
      <c r="C78" t="inlineStr">
        <is>
          <t>PRY-003</t>
        </is>
      </c>
      <c r="D78" t="inlineStr">
        <is>
          <t>Apto 401</t>
        </is>
      </c>
      <c r="E78" t="inlineStr">
        <is>
          <t>Andrés Torres</t>
        </is>
      </c>
      <c r="F78" t="inlineStr">
        <is>
          <t>Perdido</t>
        </is>
      </c>
      <c r="G78" t="n">
        <v>293000000</v>
      </c>
      <c r="H78" t="n">
        <v>0</v>
      </c>
      <c r="I78" s="28" t="n">
        <v>45301</v>
      </c>
      <c r="J78" s="28" t="n">
        <v>45372</v>
      </c>
      <c r="K78" t="n">
        <v>71</v>
      </c>
      <c r="L78" t="inlineStr">
        <is>
          <t>Desistió de la compra</t>
        </is>
      </c>
    </row>
    <row r="79" ht="15.75" customHeight="1" s="25">
      <c r="A79" t="inlineStr">
        <is>
          <t>NEG-0077</t>
        </is>
      </c>
      <c r="B79" t="inlineStr">
        <is>
          <t>Ximena Gaviria Pérez</t>
        </is>
      </c>
      <c r="C79" t="inlineStr">
        <is>
          <t>PRY-001</t>
        </is>
      </c>
      <c r="D79" t="inlineStr">
        <is>
          <t>Apto 803</t>
        </is>
      </c>
      <c r="E79" t="inlineStr">
        <is>
          <t>Paula Arenas</t>
        </is>
      </c>
      <c r="F79" t="inlineStr">
        <is>
          <t>Perdido</t>
        </is>
      </c>
      <c r="G79" t="n">
        <v>550000000</v>
      </c>
      <c r="H79" t="n">
        <v>0</v>
      </c>
      <c r="I79" s="28" t="n">
        <v>45304</v>
      </c>
      <c r="J79" s="28" t="n">
        <v>45349</v>
      </c>
      <c r="K79" t="n">
        <v>45</v>
      </c>
      <c r="L79" t="inlineStr">
        <is>
          <t>Crédito no aprobado</t>
        </is>
      </c>
    </row>
    <row r="80" ht="15.75" customHeight="1" s="25">
      <c r="A80" t="inlineStr">
        <is>
          <t>NEG-0078</t>
        </is>
      </c>
      <c r="B80" t="inlineStr">
        <is>
          <t>Paola Muñoz Londoño</t>
        </is>
      </c>
      <c r="C80" t="inlineStr">
        <is>
          <t>PRY-001</t>
        </is>
      </c>
      <c r="D80" t="inlineStr">
        <is>
          <t>Apto 904</t>
        </is>
      </c>
      <c r="E80" t="inlineStr">
        <is>
          <t>Sofía Prada</t>
        </is>
      </c>
      <c r="F80" t="inlineStr">
        <is>
          <t>Perdido</t>
        </is>
      </c>
      <c r="G80" t="n">
        <v>724000000</v>
      </c>
      <c r="H80" t="n">
        <v>0</v>
      </c>
      <c r="I80" s="28" t="n">
        <v>45304</v>
      </c>
      <c r="J80" s="28" t="n">
        <v>45382</v>
      </c>
      <c r="K80" t="n">
        <v>78</v>
      </c>
      <c r="L80" t="inlineStr">
        <is>
          <t>Eligió otro proyecto</t>
        </is>
      </c>
    </row>
    <row r="81" ht="15.75" customHeight="1" s="25">
      <c r="A81" t="inlineStr">
        <is>
          <t>NEG-0079</t>
        </is>
      </c>
      <c r="B81" t="inlineStr">
        <is>
          <t>Iván Salazar Montes</t>
        </is>
      </c>
      <c r="C81" t="inlineStr">
        <is>
          <t>PRY-001</t>
        </is>
      </c>
      <c r="D81" t="inlineStr">
        <is>
          <t>Apto 1401</t>
        </is>
      </c>
      <c r="E81" t="inlineStr">
        <is>
          <t>Ana Quintero</t>
        </is>
      </c>
      <c r="F81" t="inlineStr">
        <is>
          <t>Perdido</t>
        </is>
      </c>
      <c r="G81" t="n">
        <v>761000000</v>
      </c>
      <c r="H81" t="n">
        <v>0</v>
      </c>
      <c r="I81" s="28" t="n">
        <v>45305</v>
      </c>
      <c r="J81" s="28" t="n">
        <v>45351</v>
      </c>
      <c r="K81" t="n">
        <v>46</v>
      </c>
      <c r="L81" t="inlineStr">
        <is>
          <t>Desistió de la compra</t>
        </is>
      </c>
    </row>
    <row r="82" ht="15.75" customHeight="1" s="25">
      <c r="A82" t="inlineStr">
        <is>
          <t>NEG-0080</t>
        </is>
      </c>
      <c r="B82" t="inlineStr">
        <is>
          <t>Emilio Montes Bedoya</t>
        </is>
      </c>
      <c r="C82" t="inlineStr">
        <is>
          <t>PRY-002</t>
        </is>
      </c>
      <c r="D82" t="inlineStr">
        <is>
          <t>Casa 38</t>
        </is>
      </c>
      <c r="E82" t="inlineStr">
        <is>
          <t>Sofía Prada</t>
        </is>
      </c>
      <c r="F82" t="inlineStr">
        <is>
          <t>Perdido</t>
        </is>
      </c>
      <c r="G82" t="n">
        <v>663000000</v>
      </c>
      <c r="H82" t="n">
        <v>0</v>
      </c>
      <c r="I82" s="28" t="n">
        <v>45305</v>
      </c>
      <c r="J82" s="28" t="n">
        <v>45366</v>
      </c>
      <c r="K82" t="n">
        <v>61</v>
      </c>
      <c r="L82" t="inlineStr">
        <is>
          <t>Eligió otro proyecto</t>
        </is>
      </c>
    </row>
    <row r="83" ht="15.75" customHeight="1" s="25">
      <c r="A83" t="inlineStr">
        <is>
          <t>NEG-0081</t>
        </is>
      </c>
      <c r="B83" t="inlineStr">
        <is>
          <t>Felipe Correa Cifuentes</t>
        </is>
      </c>
      <c r="C83" t="inlineStr">
        <is>
          <t>PRY-004</t>
        </is>
      </c>
      <c r="D83" t="inlineStr">
        <is>
          <t>Casa 22</t>
        </is>
      </c>
      <c r="E83" t="inlineStr">
        <is>
          <t>Luis Bedoya</t>
        </is>
      </c>
      <c r="F83" t="inlineStr">
        <is>
          <t>Ganado</t>
        </is>
      </c>
      <c r="G83" t="n">
        <v>497000000</v>
      </c>
      <c r="H83" t="n">
        <v>1</v>
      </c>
      <c r="I83" s="28" t="n">
        <v>45305</v>
      </c>
      <c r="J83" s="28" t="n">
        <v>45349</v>
      </c>
      <c r="K83" t="n">
        <v>44</v>
      </c>
      <c r="L83" t="inlineStr">
        <is>
          <t>Promesa de compraventa firmada</t>
        </is>
      </c>
    </row>
    <row r="84" ht="15.75" customHeight="1" s="25">
      <c r="A84" t="inlineStr">
        <is>
          <t>NEG-0082</t>
        </is>
      </c>
      <c r="B84" t="inlineStr">
        <is>
          <t>Ximena Álvarez Duque</t>
        </is>
      </c>
      <c r="C84" t="inlineStr">
        <is>
          <t>PRY-001</t>
        </is>
      </c>
      <c r="D84" t="inlineStr">
        <is>
          <t>Apto 1001</t>
        </is>
      </c>
      <c r="E84" t="inlineStr">
        <is>
          <t>Paula Arenas</t>
        </is>
      </c>
      <c r="F84" t="inlineStr">
        <is>
          <t>Ganado</t>
        </is>
      </c>
      <c r="G84" t="n">
        <v>697000000</v>
      </c>
      <c r="H84" t="n">
        <v>1</v>
      </c>
      <c r="I84" s="28" t="n">
        <v>45306</v>
      </c>
      <c r="J84" s="28" t="n">
        <v>45352</v>
      </c>
      <c r="K84" t="n">
        <v>46</v>
      </c>
      <c r="L84" t="inlineStr">
        <is>
          <t>Promesa de compraventa firmada</t>
        </is>
      </c>
    </row>
    <row r="85" ht="15.75" customHeight="1" s="25">
      <c r="A85" t="inlineStr">
        <is>
          <t>NEG-0083</t>
        </is>
      </c>
      <c r="B85" t="inlineStr">
        <is>
          <t>Mauricio Gaviria Londoño</t>
        </is>
      </c>
      <c r="C85" t="inlineStr">
        <is>
          <t>PRY-004</t>
        </is>
      </c>
      <c r="D85" t="inlineStr">
        <is>
          <t>Casa 57</t>
        </is>
      </c>
      <c r="E85" t="inlineStr">
        <is>
          <t>Sofía Prada</t>
        </is>
      </c>
      <c r="F85" t="inlineStr">
        <is>
          <t>Ganado</t>
        </is>
      </c>
      <c r="G85" t="n">
        <v>472000000</v>
      </c>
      <c r="H85" t="n">
        <v>1</v>
      </c>
      <c r="I85" s="28" t="n">
        <v>45306</v>
      </c>
      <c r="J85" s="28" t="n">
        <v>45378</v>
      </c>
      <c r="K85" t="n">
        <v>72</v>
      </c>
      <c r="L85" t="inlineStr">
        <is>
          <t>Promesa de compraventa firmada</t>
        </is>
      </c>
    </row>
    <row r="86" ht="15.75" customHeight="1" s="25">
      <c r="A86" t="inlineStr">
        <is>
          <t>NEG-0084</t>
        </is>
      </c>
      <c r="B86" t="inlineStr">
        <is>
          <t>Juliana Londoño Gaviria</t>
        </is>
      </c>
      <c r="C86" t="inlineStr">
        <is>
          <t>PRY-002</t>
        </is>
      </c>
      <c r="D86" t="inlineStr">
        <is>
          <t>Casa 11</t>
        </is>
      </c>
      <c r="E86" t="inlineStr">
        <is>
          <t>Andrés Torres</t>
        </is>
      </c>
      <c r="F86" t="inlineStr">
        <is>
          <t>Ganado</t>
        </is>
      </c>
      <c r="G86" t="n">
        <v>700000000</v>
      </c>
      <c r="H86" t="n">
        <v>1</v>
      </c>
      <c r="I86" s="28" t="n">
        <v>45307</v>
      </c>
      <c r="J86" s="28" t="n">
        <v>45392</v>
      </c>
      <c r="K86" t="n">
        <v>85</v>
      </c>
      <c r="L86" t="inlineStr">
        <is>
          <t>Promesa de compraventa firmada</t>
        </is>
      </c>
    </row>
    <row r="87" ht="15.75" customHeight="1" s="25">
      <c r="A87" t="inlineStr">
        <is>
          <t>NEG-0085</t>
        </is>
      </c>
      <c r="B87" t="inlineStr">
        <is>
          <t>Daniel Ochoa Restrepo</t>
        </is>
      </c>
      <c r="C87" t="inlineStr">
        <is>
          <t>PRY-001</t>
        </is>
      </c>
      <c r="D87" t="inlineStr">
        <is>
          <t>Apto 303</t>
        </is>
      </c>
      <c r="E87" t="inlineStr">
        <is>
          <t>Miguel Salazar</t>
        </is>
      </c>
      <c r="F87" t="inlineStr">
        <is>
          <t>Perdido</t>
        </is>
      </c>
      <c r="G87" t="n">
        <v>660000000</v>
      </c>
      <c r="H87" t="n">
        <v>0</v>
      </c>
      <c r="I87" s="28" t="n">
        <v>45308</v>
      </c>
      <c r="J87" s="28" t="n">
        <v>45354</v>
      </c>
      <c r="K87" t="n">
        <v>46</v>
      </c>
      <c r="L87" t="inlineStr">
        <is>
          <t>Precio fuera de presupuesto</t>
        </is>
      </c>
    </row>
    <row r="88" ht="15.75" customHeight="1" s="25">
      <c r="A88" t="inlineStr">
        <is>
          <t>NEG-0086</t>
        </is>
      </c>
      <c r="B88" t="inlineStr">
        <is>
          <t>Luisa Sánchez Cifuentes</t>
        </is>
      </c>
      <c r="C88" t="inlineStr">
        <is>
          <t>PRY-003</t>
        </is>
      </c>
      <c r="D88" t="inlineStr">
        <is>
          <t>Apto 1102</t>
        </is>
      </c>
      <c r="E88" t="inlineStr">
        <is>
          <t>Andrés Torres</t>
        </is>
      </c>
      <c r="F88" t="inlineStr">
        <is>
          <t>Ganado</t>
        </is>
      </c>
      <c r="G88" t="n">
        <v>354000000</v>
      </c>
      <c r="H88" t="n">
        <v>1</v>
      </c>
      <c r="I88" s="28" t="n">
        <v>45309</v>
      </c>
      <c r="J88" s="28" t="n">
        <v>45369</v>
      </c>
      <c r="K88" t="n">
        <v>60</v>
      </c>
      <c r="L88" t="inlineStr">
        <is>
          <t>Promesa de compraventa firmada</t>
        </is>
      </c>
    </row>
    <row r="89" ht="15.75" customHeight="1" s="25">
      <c r="A89" t="inlineStr">
        <is>
          <t>NEG-0087</t>
        </is>
      </c>
      <c r="B89" t="inlineStr">
        <is>
          <t>David Peláez Henao</t>
        </is>
      </c>
      <c r="C89" t="inlineStr">
        <is>
          <t>PRY-004</t>
        </is>
      </c>
      <c r="D89" t="inlineStr">
        <is>
          <t>Casa 2</t>
        </is>
      </c>
      <c r="E89" t="inlineStr">
        <is>
          <t>Paula Arenas</t>
        </is>
      </c>
      <c r="F89" t="inlineStr">
        <is>
          <t>Ganado</t>
        </is>
      </c>
      <c r="G89" t="n">
        <v>416000000</v>
      </c>
      <c r="H89" t="n">
        <v>1</v>
      </c>
      <c r="I89" s="28" t="n">
        <v>45309</v>
      </c>
      <c r="J89" s="28" t="n">
        <v>45403</v>
      </c>
      <c r="K89" t="n">
        <v>94</v>
      </c>
      <c r="L89" t="inlineStr">
        <is>
          <t>Promesa de compraventa firmada</t>
        </is>
      </c>
    </row>
    <row r="90" ht="15.75" customHeight="1" s="25">
      <c r="A90" t="inlineStr">
        <is>
          <t>NEG-0088</t>
        </is>
      </c>
      <c r="B90" t="inlineStr">
        <is>
          <t>Fernando Hernández Montes</t>
        </is>
      </c>
      <c r="C90" t="inlineStr">
        <is>
          <t>PRY-003</t>
        </is>
      </c>
      <c r="D90" t="inlineStr">
        <is>
          <t>Apto 1204</t>
        </is>
      </c>
      <c r="E90" t="inlineStr">
        <is>
          <t>Sofía Prada</t>
        </is>
      </c>
      <c r="F90" t="inlineStr">
        <is>
          <t>Ganado</t>
        </is>
      </c>
      <c r="G90" t="n">
        <v>278000000</v>
      </c>
      <c r="H90" t="n">
        <v>1</v>
      </c>
      <c r="I90" s="28" t="n">
        <v>45313</v>
      </c>
      <c r="J90" s="28" t="n">
        <v>45341</v>
      </c>
      <c r="K90" t="n">
        <v>28</v>
      </c>
      <c r="L90" t="inlineStr">
        <is>
          <t>Promesa de compraventa firmada</t>
        </is>
      </c>
    </row>
    <row r="91" ht="15.75" customHeight="1" s="25">
      <c r="A91" t="inlineStr">
        <is>
          <t>NEG-0089</t>
        </is>
      </c>
      <c r="B91" t="inlineStr">
        <is>
          <t>Daniela Vargas Vélez</t>
        </is>
      </c>
      <c r="C91" t="inlineStr">
        <is>
          <t>PRY-008</t>
        </is>
      </c>
      <c r="D91" t="inlineStr">
        <is>
          <t>Casa 52</t>
        </is>
      </c>
      <c r="E91" t="inlineStr">
        <is>
          <t>Andrés Torres</t>
        </is>
      </c>
      <c r="F91" t="inlineStr">
        <is>
          <t>Ganado</t>
        </is>
      </c>
      <c r="G91" t="n">
        <v>132000000</v>
      </c>
      <c r="H91" t="n">
        <v>1</v>
      </c>
      <c r="I91" s="28" t="n">
        <v>45313</v>
      </c>
      <c r="J91" s="28" t="n">
        <v>45342</v>
      </c>
      <c r="K91" t="n">
        <v>29</v>
      </c>
      <c r="L91" t="inlineStr">
        <is>
          <t>Promesa de compraventa firmada</t>
        </is>
      </c>
    </row>
    <row r="92" ht="15.75" customHeight="1" s="25">
      <c r="A92" t="inlineStr">
        <is>
          <t>NEG-0090</t>
        </is>
      </c>
      <c r="B92" t="inlineStr">
        <is>
          <t>Diana Agudelo Palacio</t>
        </is>
      </c>
      <c r="C92" t="inlineStr">
        <is>
          <t>PRY-003</t>
        </is>
      </c>
      <c r="D92" t="inlineStr">
        <is>
          <t>Apto 1402</t>
        </is>
      </c>
      <c r="E92" t="inlineStr">
        <is>
          <t>Luis Bedoya</t>
        </is>
      </c>
      <c r="F92" t="inlineStr">
        <is>
          <t>Ganado</t>
        </is>
      </c>
      <c r="G92" t="n">
        <v>289000000</v>
      </c>
      <c r="H92" t="n">
        <v>1</v>
      </c>
      <c r="I92" s="28" t="n">
        <v>45318</v>
      </c>
      <c r="J92" s="28" t="n">
        <v>45352</v>
      </c>
      <c r="K92" t="n">
        <v>34</v>
      </c>
      <c r="L92" t="inlineStr">
        <is>
          <t>Promesa de compraventa firmada</t>
        </is>
      </c>
    </row>
    <row r="93" ht="15.75" customHeight="1" s="25">
      <c r="A93" t="inlineStr">
        <is>
          <t>NEG-0091</t>
        </is>
      </c>
      <c r="B93" t="inlineStr">
        <is>
          <t>Verónica Correa Montes</t>
        </is>
      </c>
      <c r="C93" t="inlineStr">
        <is>
          <t>PRY-008</t>
        </is>
      </c>
      <c r="D93" t="inlineStr">
        <is>
          <t>Casa 75</t>
        </is>
      </c>
      <c r="E93" t="inlineStr">
        <is>
          <t>Luis Bedoya</t>
        </is>
      </c>
      <c r="F93" t="inlineStr">
        <is>
          <t>Ganado</t>
        </is>
      </c>
      <c r="G93" t="n">
        <v>153000000</v>
      </c>
      <c r="H93" t="n">
        <v>1</v>
      </c>
      <c r="I93" s="28" t="n">
        <v>45322</v>
      </c>
      <c r="J93" s="28" t="n">
        <v>45386</v>
      </c>
      <c r="K93" t="n">
        <v>64</v>
      </c>
      <c r="L93" t="inlineStr">
        <is>
          <t>Promesa de compraventa firmada</t>
        </is>
      </c>
    </row>
    <row r="94" ht="15.75" customHeight="1" s="25">
      <c r="A94" t="inlineStr">
        <is>
          <t>NEG-0092</t>
        </is>
      </c>
      <c r="B94" t="inlineStr">
        <is>
          <t>Hernán Quintero Ochoa</t>
        </is>
      </c>
      <c r="C94" t="inlineStr">
        <is>
          <t>PRY-008</t>
        </is>
      </c>
      <c r="D94" t="inlineStr">
        <is>
          <t>Casa 20</t>
        </is>
      </c>
      <c r="E94" t="inlineStr">
        <is>
          <t>Ana Quintero</t>
        </is>
      </c>
      <c r="F94" t="inlineStr">
        <is>
          <t>Perdido</t>
        </is>
      </c>
      <c r="G94" t="n">
        <v>157000000</v>
      </c>
      <c r="H94" t="n">
        <v>0</v>
      </c>
      <c r="I94" s="28" t="n">
        <v>45322</v>
      </c>
      <c r="J94" s="28" t="n">
        <v>45350</v>
      </c>
      <c r="K94" t="n">
        <v>28</v>
      </c>
      <c r="L94" t="inlineStr">
        <is>
          <t>Precio fuera de presupuesto</t>
        </is>
      </c>
    </row>
    <row r="95" ht="15.75" customHeight="1" s="25">
      <c r="A95" t="inlineStr">
        <is>
          <t>NEG-0093</t>
        </is>
      </c>
      <c r="B95" t="inlineStr">
        <is>
          <t>Alejandra Betancur Henao</t>
        </is>
      </c>
      <c r="C95" t="inlineStr">
        <is>
          <t>PRY-003</t>
        </is>
      </c>
      <c r="D95" t="inlineStr">
        <is>
          <t>Apto 703</t>
        </is>
      </c>
      <c r="E95" t="inlineStr">
        <is>
          <t>Sofía Prada</t>
        </is>
      </c>
      <c r="F95" t="inlineStr">
        <is>
          <t>Ganado</t>
        </is>
      </c>
      <c r="G95" t="n">
        <v>359000000</v>
      </c>
      <c r="H95" t="n">
        <v>1</v>
      </c>
      <c r="I95" s="28" t="n">
        <v>45324</v>
      </c>
      <c r="J95" s="28" t="n">
        <v>45356</v>
      </c>
      <c r="K95" t="n">
        <v>32</v>
      </c>
      <c r="L95" t="inlineStr">
        <is>
          <t>Promesa de compraventa firmada</t>
        </is>
      </c>
    </row>
    <row r="96" ht="15.75" customHeight="1" s="25">
      <c r="A96" t="inlineStr">
        <is>
          <t>NEG-0094</t>
        </is>
      </c>
      <c r="B96" t="inlineStr">
        <is>
          <t>Carolina Peláez Echeverri</t>
        </is>
      </c>
      <c r="C96" t="inlineStr">
        <is>
          <t>PRY-003</t>
        </is>
      </c>
      <c r="D96" t="inlineStr">
        <is>
          <t>Apto 908</t>
        </is>
      </c>
      <c r="E96" t="inlineStr">
        <is>
          <t>Miguel Salazar</t>
        </is>
      </c>
      <c r="F96" t="inlineStr">
        <is>
          <t>Ganado</t>
        </is>
      </c>
      <c r="G96" t="n">
        <v>288000000</v>
      </c>
      <c r="H96" t="n">
        <v>1</v>
      </c>
      <c r="I96" s="28" t="n">
        <v>45324</v>
      </c>
      <c r="J96" s="28" t="n">
        <v>45357</v>
      </c>
      <c r="K96" t="n">
        <v>33</v>
      </c>
      <c r="L96" t="inlineStr">
        <is>
          <t>Promesa de compraventa firmada</t>
        </is>
      </c>
    </row>
    <row r="97" ht="15.75" customHeight="1" s="25">
      <c r="A97" t="inlineStr">
        <is>
          <t>NEG-0095</t>
        </is>
      </c>
      <c r="B97" t="inlineStr">
        <is>
          <t>Diego Jaramillo Osorio</t>
        </is>
      </c>
      <c r="C97" t="inlineStr">
        <is>
          <t>PRY-008</t>
        </is>
      </c>
      <c r="D97" t="inlineStr">
        <is>
          <t>Casa 91</t>
        </is>
      </c>
      <c r="E97" t="inlineStr">
        <is>
          <t>Ana Quintero</t>
        </is>
      </c>
      <c r="F97" t="inlineStr">
        <is>
          <t>Ganado</t>
        </is>
      </c>
      <c r="G97" t="n">
        <v>135000000</v>
      </c>
      <c r="H97" t="n">
        <v>1</v>
      </c>
      <c r="I97" s="28" t="n">
        <v>45326</v>
      </c>
      <c r="J97" s="28" t="n">
        <v>45360</v>
      </c>
      <c r="K97" t="n">
        <v>34</v>
      </c>
      <c r="L97" t="inlineStr">
        <is>
          <t>Promesa de compraventa firmada</t>
        </is>
      </c>
    </row>
    <row r="98" ht="15.75" customHeight="1" s="25">
      <c r="A98" t="inlineStr">
        <is>
          <t>NEG-0096</t>
        </is>
      </c>
      <c r="B98" t="inlineStr">
        <is>
          <t>Sofía Pérez Vélez</t>
        </is>
      </c>
      <c r="C98" t="inlineStr">
        <is>
          <t>PRY-002</t>
        </is>
      </c>
      <c r="D98" t="inlineStr">
        <is>
          <t>Casa 17</t>
        </is>
      </c>
      <c r="E98" t="inlineStr">
        <is>
          <t>Paula Arenas</t>
        </is>
      </c>
      <c r="F98" t="inlineStr">
        <is>
          <t>Perdido</t>
        </is>
      </c>
      <c r="G98" t="n">
        <v>673000000</v>
      </c>
      <c r="H98" t="n">
        <v>0</v>
      </c>
      <c r="I98" s="28" t="n">
        <v>45327</v>
      </c>
      <c r="J98" s="28" t="n">
        <v>45457</v>
      </c>
      <c r="K98" t="n">
        <v>130</v>
      </c>
      <c r="L98" t="inlineStr">
        <is>
          <t>Crédito no aprobado</t>
        </is>
      </c>
    </row>
    <row r="99" ht="15.75" customHeight="1" s="25">
      <c r="A99" t="inlineStr">
        <is>
          <t>NEG-0097</t>
        </is>
      </c>
      <c r="B99" t="inlineStr">
        <is>
          <t>Valeria Cardona Pérez</t>
        </is>
      </c>
      <c r="C99" t="inlineStr">
        <is>
          <t>PRY-003</t>
        </is>
      </c>
      <c r="D99" t="inlineStr">
        <is>
          <t>Apto 2005</t>
        </is>
      </c>
      <c r="E99" t="inlineStr">
        <is>
          <t>Sofía Prada</t>
        </is>
      </c>
      <c r="F99" t="inlineStr">
        <is>
          <t>Perdido</t>
        </is>
      </c>
      <c r="G99" t="n">
        <v>330000000</v>
      </c>
      <c r="H99" t="n">
        <v>0</v>
      </c>
      <c r="I99" s="28" t="n">
        <v>45327</v>
      </c>
      <c r="J99" s="28" t="n">
        <v>45382</v>
      </c>
      <c r="K99" t="n">
        <v>55</v>
      </c>
      <c r="L99" t="inlineStr">
        <is>
          <t>Eligió otro proyecto</t>
        </is>
      </c>
    </row>
    <row r="100" ht="15.75" customHeight="1" s="25">
      <c r="A100" t="inlineStr">
        <is>
          <t>NEG-0098</t>
        </is>
      </c>
      <c r="B100" t="inlineStr">
        <is>
          <t>José Muñoz López</t>
        </is>
      </c>
      <c r="C100" t="inlineStr">
        <is>
          <t>PRY-008</t>
        </is>
      </c>
      <c r="D100" t="inlineStr">
        <is>
          <t>Casa 55</t>
        </is>
      </c>
      <c r="E100" t="inlineStr">
        <is>
          <t>Luis Bedoya</t>
        </is>
      </c>
      <c r="F100" t="inlineStr">
        <is>
          <t>Ganado</t>
        </is>
      </c>
      <c r="G100" t="n">
        <v>135000000</v>
      </c>
      <c r="H100" t="n">
        <v>1</v>
      </c>
      <c r="I100" s="28" t="n">
        <v>45328</v>
      </c>
      <c r="J100" s="28" t="n">
        <v>45353</v>
      </c>
      <c r="K100" t="n">
        <v>25</v>
      </c>
      <c r="L100" t="inlineStr">
        <is>
          <t>Promesa de compraventa firmada</t>
        </is>
      </c>
    </row>
    <row r="101" ht="15.75" customHeight="1" s="25">
      <c r="A101" t="inlineStr">
        <is>
          <t>NEG-0099</t>
        </is>
      </c>
      <c r="B101" t="inlineStr">
        <is>
          <t>Mariana Vásquez Echeverri</t>
        </is>
      </c>
      <c r="C101" t="inlineStr">
        <is>
          <t>PRY-008</t>
        </is>
      </c>
      <c r="D101" t="inlineStr">
        <is>
          <t>Casa 4</t>
        </is>
      </c>
      <c r="E101" t="inlineStr">
        <is>
          <t>Andrés Torres</t>
        </is>
      </c>
      <c r="F101" t="inlineStr">
        <is>
          <t>Perdido</t>
        </is>
      </c>
      <c r="G101" t="n">
        <v>146000000</v>
      </c>
      <c r="H101" t="n">
        <v>0</v>
      </c>
      <c r="I101" s="28" t="n">
        <v>45328</v>
      </c>
      <c r="J101" s="28" t="n">
        <v>45370</v>
      </c>
      <c r="K101" t="n">
        <v>42</v>
      </c>
      <c r="L101" t="inlineStr">
        <is>
          <t>Crédito no aprobado</t>
        </is>
      </c>
    </row>
    <row r="102" ht="15.75" customHeight="1" s="25">
      <c r="A102" t="inlineStr">
        <is>
          <t>NEG-0100</t>
        </is>
      </c>
      <c r="B102" t="inlineStr">
        <is>
          <t>Gabriel Echeverri Rojas</t>
        </is>
      </c>
      <c r="C102" t="inlineStr">
        <is>
          <t>PRY-004</t>
        </is>
      </c>
      <c r="D102" t="inlineStr">
        <is>
          <t>Casa 15</t>
        </is>
      </c>
      <c r="E102" t="inlineStr">
        <is>
          <t>Sofía Prada</t>
        </is>
      </c>
      <c r="F102" t="inlineStr">
        <is>
          <t>Ganado</t>
        </is>
      </c>
      <c r="G102" t="n">
        <v>533000000</v>
      </c>
      <c r="H102" t="n">
        <v>1</v>
      </c>
      <c r="I102" s="28" t="n">
        <v>45330</v>
      </c>
      <c r="J102" s="28" t="n">
        <v>45439</v>
      </c>
      <c r="K102" t="n">
        <v>109</v>
      </c>
      <c r="L102" t="inlineStr">
        <is>
          <t>Promesa de compraventa firmada</t>
        </is>
      </c>
    </row>
    <row r="103" ht="15.75" customHeight="1" s="25">
      <c r="A103" t="inlineStr">
        <is>
          <t>NEG-0101</t>
        </is>
      </c>
      <c r="B103" t="inlineStr">
        <is>
          <t>Mónica Henao Hernández</t>
        </is>
      </c>
      <c r="C103" t="inlineStr">
        <is>
          <t>PRY-003</t>
        </is>
      </c>
      <c r="D103" t="inlineStr">
        <is>
          <t>Apto 1807</t>
        </is>
      </c>
      <c r="E103" t="inlineStr">
        <is>
          <t>Ana Quintero</t>
        </is>
      </c>
      <c r="F103" t="inlineStr">
        <is>
          <t>Ganado</t>
        </is>
      </c>
      <c r="G103" t="n">
        <v>291000000</v>
      </c>
      <c r="H103" t="n">
        <v>1</v>
      </c>
      <c r="I103" s="28" t="n">
        <v>45331</v>
      </c>
      <c r="J103" s="28" t="n">
        <v>45404</v>
      </c>
      <c r="K103" t="n">
        <v>73</v>
      </c>
      <c r="L103" t="inlineStr">
        <is>
          <t>Promesa de compraventa firmada</t>
        </is>
      </c>
    </row>
    <row r="104" ht="15.75" customHeight="1" s="25">
      <c r="A104" t="inlineStr">
        <is>
          <t>NEG-0102</t>
        </is>
      </c>
      <c r="B104" t="inlineStr">
        <is>
          <t>Camila Salcedo Peláez</t>
        </is>
      </c>
      <c r="C104" t="inlineStr">
        <is>
          <t>PRY-002</t>
        </is>
      </c>
      <c r="D104" t="inlineStr">
        <is>
          <t>Casa 40</t>
        </is>
      </c>
      <c r="E104" t="inlineStr">
        <is>
          <t>Luis Bedoya</t>
        </is>
      </c>
      <c r="F104" t="inlineStr">
        <is>
          <t>Ganado</t>
        </is>
      </c>
      <c r="G104" t="n">
        <v>654000000</v>
      </c>
      <c r="H104" t="n">
        <v>1</v>
      </c>
      <c r="I104" s="28" t="n">
        <v>45332</v>
      </c>
      <c r="J104" s="28" t="n">
        <v>45437</v>
      </c>
      <c r="K104" t="n">
        <v>105</v>
      </c>
      <c r="L104" t="inlineStr">
        <is>
          <t>Promesa de compraventa firmada</t>
        </is>
      </c>
    </row>
    <row r="105" ht="15.75" customHeight="1" s="25">
      <c r="A105" t="inlineStr">
        <is>
          <t>NEG-0103</t>
        </is>
      </c>
      <c r="B105" t="inlineStr">
        <is>
          <t>Simón Peláez Duque</t>
        </is>
      </c>
      <c r="C105" t="inlineStr">
        <is>
          <t>PRY-008</t>
        </is>
      </c>
      <c r="D105" t="inlineStr">
        <is>
          <t>Casa 15</t>
        </is>
      </c>
      <c r="E105" t="inlineStr">
        <is>
          <t>Andrés Torres</t>
        </is>
      </c>
      <c r="F105" t="inlineStr">
        <is>
          <t>Ganado</t>
        </is>
      </c>
      <c r="G105" t="n">
        <v>144000000</v>
      </c>
      <c r="H105" t="n">
        <v>1</v>
      </c>
      <c r="I105" s="28" t="n">
        <v>45332</v>
      </c>
      <c r="J105" s="28" t="n">
        <v>45373</v>
      </c>
      <c r="K105" t="n">
        <v>41</v>
      </c>
      <c r="L105" t="inlineStr">
        <is>
          <t>Promesa de compraventa firmada</t>
        </is>
      </c>
    </row>
    <row r="106" ht="15.75" customHeight="1" s="25">
      <c r="A106" t="inlineStr">
        <is>
          <t>NEG-0104</t>
        </is>
      </c>
      <c r="B106" t="inlineStr">
        <is>
          <t>Mateo Zuluaga Correa</t>
        </is>
      </c>
      <c r="C106" t="inlineStr">
        <is>
          <t>PRY-008</t>
        </is>
      </c>
      <c r="D106" t="inlineStr">
        <is>
          <t>Casa 38</t>
        </is>
      </c>
      <c r="E106" t="inlineStr">
        <is>
          <t>Sofía Prada</t>
        </is>
      </c>
      <c r="F106" t="inlineStr">
        <is>
          <t>Perdido</t>
        </is>
      </c>
      <c r="G106" t="n">
        <v>155000000</v>
      </c>
      <c r="H106" t="n">
        <v>0</v>
      </c>
      <c r="I106" s="28" t="n">
        <v>45333</v>
      </c>
      <c r="J106" s="28" t="n">
        <v>45359</v>
      </c>
      <c r="K106" t="n">
        <v>26</v>
      </c>
      <c r="L106" t="inlineStr">
        <is>
          <t>No volvió a responder</t>
        </is>
      </c>
    </row>
    <row r="107" ht="15.75" customHeight="1" s="25">
      <c r="A107" t="inlineStr">
        <is>
          <t>NEG-0105</t>
        </is>
      </c>
      <c r="B107" t="inlineStr">
        <is>
          <t>Valentina Pérez Peláez</t>
        </is>
      </c>
      <c r="C107" t="inlineStr">
        <is>
          <t>PRY-004</t>
        </is>
      </c>
      <c r="D107" t="inlineStr">
        <is>
          <t>Casa 5</t>
        </is>
      </c>
      <c r="E107" t="inlineStr">
        <is>
          <t>Paula Arenas</t>
        </is>
      </c>
      <c r="F107" t="inlineStr">
        <is>
          <t>Perdido</t>
        </is>
      </c>
      <c r="G107" t="n">
        <v>439000000</v>
      </c>
      <c r="H107" t="n">
        <v>0</v>
      </c>
      <c r="I107" s="28" t="n">
        <v>45334</v>
      </c>
      <c r="J107" s="28" t="n">
        <v>45410</v>
      </c>
      <c r="K107" t="n">
        <v>76</v>
      </c>
      <c r="L107" t="inlineStr">
        <is>
          <t>Desistió de la compra</t>
        </is>
      </c>
    </row>
    <row r="108" ht="15.75" customHeight="1" s="25">
      <c r="A108" t="inlineStr">
        <is>
          <t>NEG-0106</t>
        </is>
      </c>
      <c r="B108" t="inlineStr">
        <is>
          <t>Esteban Vélez Franco</t>
        </is>
      </c>
      <c r="C108" t="inlineStr">
        <is>
          <t>PRY-003</t>
        </is>
      </c>
      <c r="D108" t="inlineStr">
        <is>
          <t>Apto 2306</t>
        </is>
      </c>
      <c r="E108" t="inlineStr">
        <is>
          <t>Juliana Vélez</t>
        </is>
      </c>
      <c r="F108" t="inlineStr">
        <is>
          <t>Ganado</t>
        </is>
      </c>
      <c r="G108" t="n">
        <v>354000000</v>
      </c>
      <c r="H108" t="n">
        <v>1</v>
      </c>
      <c r="I108" s="28" t="n">
        <v>45335</v>
      </c>
      <c r="J108" s="28" t="n">
        <v>45410</v>
      </c>
      <c r="K108" t="n">
        <v>75</v>
      </c>
      <c r="L108" t="inlineStr">
        <is>
          <t>Promesa de compraventa firmada</t>
        </is>
      </c>
    </row>
    <row r="109" ht="15.75" customHeight="1" s="25">
      <c r="A109" t="inlineStr">
        <is>
          <t>NEG-0107</t>
        </is>
      </c>
      <c r="B109" t="inlineStr">
        <is>
          <t>Óscar Betancur Correa</t>
        </is>
      </c>
      <c r="C109" t="inlineStr">
        <is>
          <t>PRY-004</t>
        </is>
      </c>
      <c r="D109" t="inlineStr">
        <is>
          <t>Casa 14</t>
        </is>
      </c>
      <c r="E109" t="inlineStr">
        <is>
          <t>Ana Quintero</t>
        </is>
      </c>
      <c r="F109" t="inlineStr">
        <is>
          <t>Ganado</t>
        </is>
      </c>
      <c r="G109" t="n">
        <v>416000000</v>
      </c>
      <c r="H109" t="n">
        <v>1</v>
      </c>
      <c r="I109" s="28" t="n">
        <v>45335</v>
      </c>
      <c r="J109" s="28" t="n">
        <v>45407</v>
      </c>
      <c r="K109" t="n">
        <v>72</v>
      </c>
      <c r="L109" t="inlineStr">
        <is>
          <t>Promesa de compraventa firmada</t>
        </is>
      </c>
    </row>
    <row r="110" ht="15.75" customHeight="1" s="25">
      <c r="A110" t="inlineStr">
        <is>
          <t>NEG-0108</t>
        </is>
      </c>
      <c r="B110" t="inlineStr">
        <is>
          <t>Simón Duque Franco</t>
        </is>
      </c>
      <c r="C110" t="inlineStr">
        <is>
          <t>PRY-004</t>
        </is>
      </c>
      <c r="D110" t="inlineStr">
        <is>
          <t>Casa 4</t>
        </is>
      </c>
      <c r="E110" t="inlineStr">
        <is>
          <t>Andrés Torres</t>
        </is>
      </c>
      <c r="F110" t="inlineStr">
        <is>
          <t>Ganado</t>
        </is>
      </c>
      <c r="G110" t="n">
        <v>449000000</v>
      </c>
      <c r="H110" t="n">
        <v>1</v>
      </c>
      <c r="I110" s="28" t="n">
        <v>45337</v>
      </c>
      <c r="J110" s="28" t="n">
        <v>45433</v>
      </c>
      <c r="K110" t="n">
        <v>96</v>
      </c>
      <c r="L110" t="inlineStr">
        <is>
          <t>Promesa de compraventa firmada</t>
        </is>
      </c>
    </row>
    <row r="111" ht="15.75" customHeight="1" s="25">
      <c r="A111" t="inlineStr">
        <is>
          <t>NEG-0109</t>
        </is>
      </c>
      <c r="B111" t="inlineStr">
        <is>
          <t>Jorge Gaviria Pérez</t>
        </is>
      </c>
      <c r="C111" t="inlineStr">
        <is>
          <t>PRY-001</t>
        </is>
      </c>
      <c r="D111" t="inlineStr">
        <is>
          <t>Apto 1604</t>
        </is>
      </c>
      <c r="E111" t="inlineStr">
        <is>
          <t>Andrés Torres</t>
        </is>
      </c>
      <c r="F111" t="inlineStr">
        <is>
          <t>Ganado</t>
        </is>
      </c>
      <c r="G111" t="n">
        <v>661000000</v>
      </c>
      <c r="H111" t="n">
        <v>1</v>
      </c>
      <c r="I111" s="28" t="n">
        <v>45338</v>
      </c>
      <c r="J111" s="28" t="n">
        <v>45427</v>
      </c>
      <c r="K111" t="n">
        <v>89</v>
      </c>
      <c r="L111" t="inlineStr">
        <is>
          <t>Promesa de compraventa firmada</t>
        </is>
      </c>
    </row>
    <row r="112" ht="15.75" customHeight="1" s="25">
      <c r="A112" t="inlineStr">
        <is>
          <t>NEG-0110</t>
        </is>
      </c>
      <c r="B112" t="inlineStr">
        <is>
          <t>Carolina Espinosa Arango</t>
        </is>
      </c>
      <c r="C112" t="inlineStr">
        <is>
          <t>PRY-001</t>
        </is>
      </c>
      <c r="D112" t="inlineStr">
        <is>
          <t>Apto 506</t>
        </is>
      </c>
      <c r="E112" t="inlineStr">
        <is>
          <t>Sofía Prada</t>
        </is>
      </c>
      <c r="F112" t="inlineStr">
        <is>
          <t>Perdido</t>
        </is>
      </c>
      <c r="G112" t="n">
        <v>560000000</v>
      </c>
      <c r="H112" t="n">
        <v>0</v>
      </c>
      <c r="I112" s="28" t="n">
        <v>45338</v>
      </c>
      <c r="J112" s="28" t="n">
        <v>45426</v>
      </c>
      <c r="K112" t="n">
        <v>88</v>
      </c>
      <c r="L112" t="inlineStr">
        <is>
          <t>No volvió a responder</t>
        </is>
      </c>
    </row>
    <row r="113" ht="15.75" customHeight="1" s="25">
      <c r="A113" t="inlineStr">
        <is>
          <t>NEG-0111</t>
        </is>
      </c>
      <c r="B113" t="inlineStr">
        <is>
          <t>Sofía Osorio Zuluaga</t>
        </is>
      </c>
      <c r="C113" t="inlineStr">
        <is>
          <t>PRY-003</t>
        </is>
      </c>
      <c r="D113" t="inlineStr">
        <is>
          <t>Apto 2407</t>
        </is>
      </c>
      <c r="E113" t="inlineStr">
        <is>
          <t>Andrés Torres</t>
        </is>
      </c>
      <c r="F113" t="inlineStr">
        <is>
          <t>Perdido</t>
        </is>
      </c>
      <c r="G113" t="n">
        <v>404000000</v>
      </c>
      <c r="H113" t="n">
        <v>0</v>
      </c>
      <c r="I113" s="28" t="n">
        <v>45339</v>
      </c>
      <c r="J113" s="28" t="n">
        <v>45394</v>
      </c>
      <c r="K113" t="n">
        <v>55</v>
      </c>
      <c r="L113" t="inlineStr">
        <is>
          <t>Desistió de la compra</t>
        </is>
      </c>
    </row>
    <row r="114" ht="15.75" customHeight="1" s="25">
      <c r="A114" t="inlineStr">
        <is>
          <t>NEG-0112</t>
        </is>
      </c>
      <c r="B114" t="inlineStr">
        <is>
          <t>Jhon Muñoz Zuluaga</t>
        </is>
      </c>
      <c r="C114" t="inlineStr">
        <is>
          <t>PRY-001</t>
        </is>
      </c>
      <c r="D114" t="inlineStr">
        <is>
          <t>Apto 1906</t>
        </is>
      </c>
      <c r="E114" t="inlineStr">
        <is>
          <t>Miguel Salazar</t>
        </is>
      </c>
      <c r="F114" t="inlineStr">
        <is>
          <t>Ganado</t>
        </is>
      </c>
      <c r="G114" t="n">
        <v>606000000</v>
      </c>
      <c r="H114" t="n">
        <v>1</v>
      </c>
      <c r="I114" s="28" t="n">
        <v>45340</v>
      </c>
      <c r="J114" s="28" t="n">
        <v>45457</v>
      </c>
      <c r="K114" t="n">
        <v>117</v>
      </c>
      <c r="L114" t="inlineStr">
        <is>
          <t>Promesa de compraventa firmada</t>
        </is>
      </c>
    </row>
    <row r="115" ht="15.75" customHeight="1" s="25">
      <c r="A115" t="inlineStr">
        <is>
          <t>NEG-0113</t>
        </is>
      </c>
      <c r="B115" t="inlineStr">
        <is>
          <t>Marcela Zuluaga Franco</t>
        </is>
      </c>
      <c r="C115" t="inlineStr">
        <is>
          <t>PRY-003</t>
        </is>
      </c>
      <c r="D115" t="inlineStr">
        <is>
          <t>Apto 2503</t>
        </is>
      </c>
      <c r="E115" t="inlineStr">
        <is>
          <t>Luis Bedoya</t>
        </is>
      </c>
      <c r="F115" t="inlineStr">
        <is>
          <t>Ganado</t>
        </is>
      </c>
      <c r="G115" t="n">
        <v>323000000</v>
      </c>
      <c r="H115" t="n">
        <v>1</v>
      </c>
      <c r="I115" s="28" t="n">
        <v>45341</v>
      </c>
      <c r="J115" s="28" t="n">
        <v>45406</v>
      </c>
      <c r="K115" t="n">
        <v>65</v>
      </c>
      <c r="L115" t="inlineStr">
        <is>
          <t>Promesa de compraventa firmada</t>
        </is>
      </c>
    </row>
    <row r="116" ht="15.75" customHeight="1" s="25">
      <c r="A116" t="inlineStr">
        <is>
          <t>NEG-0114</t>
        </is>
      </c>
      <c r="B116" t="inlineStr">
        <is>
          <t>Julián Osorio Higuita</t>
        </is>
      </c>
      <c r="C116" t="inlineStr">
        <is>
          <t>PRY-004</t>
        </is>
      </c>
      <c r="D116" t="inlineStr">
        <is>
          <t>Casa 46</t>
        </is>
      </c>
      <c r="E116" t="inlineStr">
        <is>
          <t>Andrés Torres</t>
        </is>
      </c>
      <c r="F116" t="inlineStr">
        <is>
          <t>Ganado</t>
        </is>
      </c>
      <c r="G116" t="n">
        <v>512000000</v>
      </c>
      <c r="H116" t="n">
        <v>1</v>
      </c>
      <c r="I116" s="28" t="n">
        <v>45341</v>
      </c>
      <c r="J116" s="28" t="n">
        <v>45451</v>
      </c>
      <c r="K116" t="n">
        <v>110</v>
      </c>
      <c r="L116" t="inlineStr">
        <is>
          <t>Promesa de compraventa firmada</t>
        </is>
      </c>
    </row>
    <row r="117" ht="15.75" customHeight="1" s="25">
      <c r="A117" t="inlineStr">
        <is>
          <t>NEG-0115</t>
        </is>
      </c>
      <c r="B117" t="inlineStr">
        <is>
          <t>Simón Zapata Toro</t>
        </is>
      </c>
      <c r="C117" t="inlineStr">
        <is>
          <t>PRY-005</t>
        </is>
      </c>
      <c r="D117" t="inlineStr">
        <is>
          <t>Apto 305</t>
        </is>
      </c>
      <c r="E117" t="inlineStr">
        <is>
          <t>Ana Quintero</t>
        </is>
      </c>
      <c r="F117" t="inlineStr">
        <is>
          <t>Perdido</t>
        </is>
      </c>
      <c r="G117" t="n">
        <v>356000000</v>
      </c>
      <c r="H117" t="n">
        <v>0</v>
      </c>
      <c r="I117" s="28" t="n">
        <v>45341</v>
      </c>
      <c r="J117" s="28" t="n">
        <v>45451</v>
      </c>
      <c r="K117" t="n">
        <v>110</v>
      </c>
      <c r="L117" t="inlineStr">
        <is>
          <t>Crédito no aprobado</t>
        </is>
      </c>
    </row>
    <row r="118" ht="15.75" customHeight="1" s="25">
      <c r="A118" t="inlineStr">
        <is>
          <t>NEG-0116</t>
        </is>
      </c>
      <c r="B118" t="inlineStr">
        <is>
          <t>Sebastián Peláez Vélez</t>
        </is>
      </c>
      <c r="C118" t="inlineStr">
        <is>
          <t>PRY-003</t>
        </is>
      </c>
      <c r="D118" t="inlineStr">
        <is>
          <t>Apto 2201</t>
        </is>
      </c>
      <c r="E118" t="inlineStr">
        <is>
          <t>Luis Bedoya</t>
        </is>
      </c>
      <c r="F118" t="inlineStr">
        <is>
          <t>Ganado</t>
        </is>
      </c>
      <c r="G118" t="n">
        <v>349000000</v>
      </c>
      <c r="H118" t="n">
        <v>1</v>
      </c>
      <c r="I118" s="28" t="n">
        <v>45342</v>
      </c>
      <c r="J118" s="28" t="n">
        <v>45380</v>
      </c>
      <c r="K118" t="n">
        <v>38</v>
      </c>
      <c r="L118" t="inlineStr">
        <is>
          <t>Promesa de compraventa firmada</t>
        </is>
      </c>
    </row>
    <row r="119" ht="15.75" customHeight="1" s="25">
      <c r="A119" t="inlineStr">
        <is>
          <t>NEG-0117</t>
        </is>
      </c>
      <c r="B119" t="inlineStr">
        <is>
          <t>Emilio Quintero Ríos</t>
        </is>
      </c>
      <c r="C119" t="inlineStr">
        <is>
          <t>PRY-003</t>
        </is>
      </c>
      <c r="D119" t="inlineStr">
        <is>
          <t>Apto 1706</t>
        </is>
      </c>
      <c r="E119" t="inlineStr">
        <is>
          <t>Miguel Salazar</t>
        </is>
      </c>
      <c r="F119" t="inlineStr">
        <is>
          <t>Ganado</t>
        </is>
      </c>
      <c r="G119" t="n">
        <v>318000000</v>
      </c>
      <c r="H119" t="n">
        <v>1</v>
      </c>
      <c r="I119" s="28" t="n">
        <v>45345</v>
      </c>
      <c r="J119" s="28" t="n">
        <v>45431</v>
      </c>
      <c r="K119" t="n">
        <v>86</v>
      </c>
      <c r="L119" t="inlineStr">
        <is>
          <t>Promesa de compraventa firmada</t>
        </is>
      </c>
    </row>
    <row r="120" ht="15.75" customHeight="1" s="25">
      <c r="A120" t="inlineStr">
        <is>
          <t>NEG-0118</t>
        </is>
      </c>
      <c r="B120" t="inlineStr">
        <is>
          <t>Juan Pablo Salcedo Rojas</t>
        </is>
      </c>
      <c r="C120" t="inlineStr">
        <is>
          <t>PRY-002</t>
        </is>
      </c>
      <c r="D120" t="inlineStr">
        <is>
          <t>Casa 18</t>
        </is>
      </c>
      <c r="E120" t="inlineStr">
        <is>
          <t>Luis Bedoya</t>
        </is>
      </c>
      <c r="F120" t="inlineStr">
        <is>
          <t>Ganado</t>
        </is>
      </c>
      <c r="G120" t="n">
        <v>648000000</v>
      </c>
      <c r="H120" t="n">
        <v>1</v>
      </c>
      <c r="I120" s="28" t="n">
        <v>45346</v>
      </c>
      <c r="J120" s="28" t="n">
        <v>45431</v>
      </c>
      <c r="K120" t="n">
        <v>85</v>
      </c>
      <c r="L120" t="inlineStr">
        <is>
          <t>Promesa de compraventa firmada</t>
        </is>
      </c>
    </row>
    <row r="121" ht="15.75" customHeight="1" s="25">
      <c r="A121" t="inlineStr">
        <is>
          <t>NEG-0119</t>
        </is>
      </c>
      <c r="B121" t="inlineStr">
        <is>
          <t>Carlos Giraldo Echeverri</t>
        </is>
      </c>
      <c r="C121" t="inlineStr">
        <is>
          <t>PRY-003</t>
        </is>
      </c>
      <c r="D121" t="inlineStr">
        <is>
          <t>Apto 1101</t>
        </is>
      </c>
      <c r="E121" t="inlineStr">
        <is>
          <t>Luis Bedoya</t>
        </is>
      </c>
      <c r="F121" t="inlineStr">
        <is>
          <t>Perdido</t>
        </is>
      </c>
      <c r="G121" t="n">
        <v>264000000</v>
      </c>
      <c r="H121" t="n">
        <v>0</v>
      </c>
      <c r="I121" s="28" t="n">
        <v>45348</v>
      </c>
      <c r="J121" s="28" t="n">
        <v>45383</v>
      </c>
      <c r="K121" t="n">
        <v>35</v>
      </c>
      <c r="L121" t="inlineStr">
        <is>
          <t>Cambió de ciudad</t>
        </is>
      </c>
    </row>
    <row r="122" ht="15.75" customHeight="1" s="25">
      <c r="A122" t="inlineStr">
        <is>
          <t>NEG-0120</t>
        </is>
      </c>
      <c r="B122" t="inlineStr">
        <is>
          <t>Valentina Pérez Agudelo</t>
        </is>
      </c>
      <c r="C122" t="inlineStr">
        <is>
          <t>PRY-001</t>
        </is>
      </c>
      <c r="D122" t="inlineStr">
        <is>
          <t>Apto 805</t>
        </is>
      </c>
      <c r="E122" t="inlineStr">
        <is>
          <t>Sofía Prada</t>
        </is>
      </c>
      <c r="F122" t="inlineStr">
        <is>
          <t>Ganado</t>
        </is>
      </c>
      <c r="G122" t="n">
        <v>716000000</v>
      </c>
      <c r="H122" t="n">
        <v>1</v>
      </c>
      <c r="I122" s="28" t="n">
        <v>45349</v>
      </c>
      <c r="J122" s="28" t="n">
        <v>45440</v>
      </c>
      <c r="K122" t="n">
        <v>91</v>
      </c>
      <c r="L122" t="inlineStr">
        <is>
          <t>Promesa de compraventa firmada</t>
        </is>
      </c>
    </row>
    <row r="123" ht="15.75" customHeight="1" s="25">
      <c r="A123" t="inlineStr">
        <is>
          <t>NEG-0121</t>
        </is>
      </c>
      <c r="B123" t="inlineStr">
        <is>
          <t>Tomás Peláez Cano</t>
        </is>
      </c>
      <c r="C123" t="inlineStr">
        <is>
          <t>PRY-001</t>
        </is>
      </c>
      <c r="D123" t="inlineStr">
        <is>
          <t>Apto 404</t>
        </is>
      </c>
      <c r="E123" t="inlineStr">
        <is>
          <t>Miguel Salazar</t>
        </is>
      </c>
      <c r="F123" t="inlineStr">
        <is>
          <t>Ganado</t>
        </is>
      </c>
      <c r="G123" t="n">
        <v>667000000</v>
      </c>
      <c r="H123" t="n">
        <v>1</v>
      </c>
      <c r="I123" s="28" t="n">
        <v>45350</v>
      </c>
      <c r="J123" s="28" t="n">
        <v>45429</v>
      </c>
      <c r="K123" t="n">
        <v>79</v>
      </c>
      <c r="L123" t="inlineStr">
        <is>
          <t>Promesa de compraventa firmada</t>
        </is>
      </c>
    </row>
    <row r="124" ht="15.75" customHeight="1" s="25">
      <c r="A124" t="inlineStr">
        <is>
          <t>NEG-0122</t>
        </is>
      </c>
      <c r="B124" t="inlineStr">
        <is>
          <t>Lorena Gaviria Agudelo</t>
        </is>
      </c>
      <c r="C124" t="inlineStr">
        <is>
          <t>PRY-004</t>
        </is>
      </c>
      <c r="D124" t="inlineStr">
        <is>
          <t>Casa 53</t>
        </is>
      </c>
      <c r="E124" t="inlineStr">
        <is>
          <t>Andrés Torres</t>
        </is>
      </c>
      <c r="F124" t="inlineStr">
        <is>
          <t>Ganado</t>
        </is>
      </c>
      <c r="G124" t="n">
        <v>470000000</v>
      </c>
      <c r="H124" t="n">
        <v>1</v>
      </c>
      <c r="I124" s="28" t="n">
        <v>45350</v>
      </c>
      <c r="J124" s="28" t="n">
        <v>45406</v>
      </c>
      <c r="K124" t="n">
        <v>56</v>
      </c>
      <c r="L124" t="inlineStr">
        <is>
          <t>Promesa de compraventa firmada</t>
        </is>
      </c>
    </row>
    <row r="125" ht="15.75" customHeight="1" s="25">
      <c r="A125" t="inlineStr">
        <is>
          <t>NEG-0123</t>
        </is>
      </c>
      <c r="B125" t="inlineStr">
        <is>
          <t>Andrés Osorio Betancur</t>
        </is>
      </c>
      <c r="C125" t="inlineStr">
        <is>
          <t>PRY-004</t>
        </is>
      </c>
      <c r="D125" t="inlineStr">
        <is>
          <t>Casa 73</t>
        </is>
      </c>
      <c r="E125" t="inlineStr">
        <is>
          <t>Juliana Vélez</t>
        </is>
      </c>
      <c r="F125" t="inlineStr">
        <is>
          <t>Perdido</t>
        </is>
      </c>
      <c r="G125" t="n">
        <v>526000000</v>
      </c>
      <c r="H125" t="n">
        <v>0</v>
      </c>
      <c r="I125" s="28" t="n">
        <v>45350</v>
      </c>
      <c r="J125" s="28" t="n">
        <v>45457</v>
      </c>
      <c r="K125" t="n">
        <v>107</v>
      </c>
      <c r="L125" t="inlineStr">
        <is>
          <t>Precio fuera de presupuesto</t>
        </is>
      </c>
    </row>
    <row r="126" ht="15.75" customHeight="1" s="25">
      <c r="A126" t="inlineStr">
        <is>
          <t>NEG-0124</t>
        </is>
      </c>
      <c r="B126" t="inlineStr">
        <is>
          <t>Daniel Restrepo Ríos</t>
        </is>
      </c>
      <c r="C126" t="inlineStr">
        <is>
          <t>PRY-005</t>
        </is>
      </c>
      <c r="D126" t="inlineStr">
        <is>
          <t>Casa 50</t>
        </is>
      </c>
      <c r="E126" t="inlineStr">
        <is>
          <t>Miguel Salazar</t>
        </is>
      </c>
      <c r="F126" t="inlineStr">
        <is>
          <t>Perdido</t>
        </is>
      </c>
      <c r="G126" t="n">
        <v>369000000</v>
      </c>
      <c r="H126" t="n">
        <v>0</v>
      </c>
      <c r="I126" s="28" t="n">
        <v>45350</v>
      </c>
      <c r="J126" s="28" t="n">
        <v>45450</v>
      </c>
      <c r="K126" t="n">
        <v>100</v>
      </c>
      <c r="L126" t="inlineStr">
        <is>
          <t>Desistió de la compra</t>
        </is>
      </c>
    </row>
    <row r="127" ht="15.75" customHeight="1" s="25">
      <c r="A127" t="inlineStr">
        <is>
          <t>NEG-0125</t>
        </is>
      </c>
      <c r="B127" t="inlineStr">
        <is>
          <t>Mauricio Bedoya Álvarez</t>
        </is>
      </c>
      <c r="C127" t="inlineStr">
        <is>
          <t>PRY-004</t>
        </is>
      </c>
      <c r="D127" t="inlineStr">
        <is>
          <t>Casa 8</t>
        </is>
      </c>
      <c r="E127" t="inlineStr">
        <is>
          <t>Juliana Vélez</t>
        </is>
      </c>
      <c r="F127" t="inlineStr">
        <is>
          <t>Ganado</t>
        </is>
      </c>
      <c r="G127" t="n">
        <v>439000000</v>
      </c>
      <c r="H127" t="n">
        <v>1</v>
      </c>
      <c r="I127" s="28" t="n">
        <v>45354</v>
      </c>
      <c r="J127" s="28" t="n">
        <v>45420</v>
      </c>
      <c r="K127" t="n">
        <v>66</v>
      </c>
      <c r="L127" t="inlineStr">
        <is>
          <t>Promesa de compraventa firmada</t>
        </is>
      </c>
    </row>
    <row r="128" ht="15.75" customHeight="1" s="25">
      <c r="A128" t="inlineStr">
        <is>
          <t>NEG-0126</t>
        </is>
      </c>
      <c r="B128" t="inlineStr">
        <is>
          <t>Esteban Vásquez Duque</t>
        </is>
      </c>
      <c r="C128" t="inlineStr">
        <is>
          <t>PRY-003</t>
        </is>
      </c>
      <c r="D128" t="inlineStr">
        <is>
          <t>Apto 1404</t>
        </is>
      </c>
      <c r="E128" t="inlineStr">
        <is>
          <t>Luis Bedoya</t>
        </is>
      </c>
      <c r="F128" t="inlineStr">
        <is>
          <t>Perdido</t>
        </is>
      </c>
      <c r="G128" t="n">
        <v>315000000</v>
      </c>
      <c r="H128" t="n">
        <v>0</v>
      </c>
      <c r="I128" s="28" t="n">
        <v>45355</v>
      </c>
      <c r="J128" s="28" t="n">
        <v>45419</v>
      </c>
      <c r="K128" t="n">
        <v>64</v>
      </c>
      <c r="L128" t="inlineStr">
        <is>
          <t>Desistió de la compra</t>
        </is>
      </c>
    </row>
    <row r="129" ht="15.75" customHeight="1" s="25">
      <c r="A129" t="inlineStr">
        <is>
          <t>NEG-0127</t>
        </is>
      </c>
      <c r="B129" t="inlineStr">
        <is>
          <t>Juliana Cifuentes Salazar</t>
        </is>
      </c>
      <c r="C129" t="inlineStr">
        <is>
          <t>PRY-003</t>
        </is>
      </c>
      <c r="D129" t="inlineStr">
        <is>
          <t>Apto 1505</t>
        </is>
      </c>
      <c r="E129" t="inlineStr">
        <is>
          <t>Luis Bedoya</t>
        </is>
      </c>
      <c r="F129" t="inlineStr">
        <is>
          <t>Ganado</t>
        </is>
      </c>
      <c r="G129" t="n">
        <v>300000000</v>
      </c>
      <c r="H129" t="n">
        <v>1</v>
      </c>
      <c r="I129" s="28" t="n">
        <v>45357</v>
      </c>
      <c r="J129" s="28" t="n">
        <v>45409</v>
      </c>
      <c r="K129" t="n">
        <v>52</v>
      </c>
      <c r="L129" t="inlineStr">
        <is>
          <t>Promesa de compraventa firmada</t>
        </is>
      </c>
    </row>
    <row r="130" ht="15.75" customHeight="1" s="25">
      <c r="A130" t="inlineStr">
        <is>
          <t>NEG-0128</t>
        </is>
      </c>
      <c r="B130" t="inlineStr">
        <is>
          <t>Mateo Cardona Salazar</t>
        </is>
      </c>
      <c r="C130" t="inlineStr">
        <is>
          <t>PRY-008</t>
        </is>
      </c>
      <c r="D130" t="inlineStr">
        <is>
          <t>Casa 103</t>
        </is>
      </c>
      <c r="E130" t="inlineStr">
        <is>
          <t>Ana Quintero</t>
        </is>
      </c>
      <c r="F130" t="inlineStr">
        <is>
          <t>Perdido</t>
        </is>
      </c>
      <c r="G130" t="n">
        <v>129000000</v>
      </c>
      <c r="H130" t="n">
        <v>0</v>
      </c>
      <c r="I130" s="28" t="n">
        <v>45357</v>
      </c>
      <c r="J130" s="28" t="n">
        <v>45410</v>
      </c>
      <c r="K130" t="n">
        <v>53</v>
      </c>
      <c r="L130" t="inlineStr">
        <is>
          <t>No volvió a responder</t>
        </is>
      </c>
    </row>
    <row r="131" ht="15.75" customHeight="1" s="25">
      <c r="A131" t="inlineStr">
        <is>
          <t>NEG-0129</t>
        </is>
      </c>
      <c r="B131" t="inlineStr">
        <is>
          <t>Emilio Zapata Salazar</t>
        </is>
      </c>
      <c r="C131" t="inlineStr">
        <is>
          <t>PRY-004</t>
        </is>
      </c>
      <c r="D131" t="inlineStr">
        <is>
          <t>Casa 62</t>
        </is>
      </c>
      <c r="E131" t="inlineStr">
        <is>
          <t>Paula Arenas</t>
        </is>
      </c>
      <c r="F131" t="inlineStr">
        <is>
          <t>Ganado</t>
        </is>
      </c>
      <c r="G131" t="n">
        <v>526000000</v>
      </c>
      <c r="H131" t="n">
        <v>1</v>
      </c>
      <c r="I131" s="28" t="n">
        <v>45358</v>
      </c>
      <c r="J131" s="28" t="n">
        <v>45445</v>
      </c>
      <c r="K131" t="n">
        <v>87</v>
      </c>
      <c r="L131" t="inlineStr">
        <is>
          <t>Promesa de compraventa firmada</t>
        </is>
      </c>
    </row>
    <row r="132" ht="15.75" customHeight="1" s="25">
      <c r="A132" t="inlineStr">
        <is>
          <t>NEG-0130</t>
        </is>
      </c>
      <c r="B132" t="inlineStr">
        <is>
          <t>Sara Álvarez Mejía</t>
        </is>
      </c>
      <c r="C132" t="inlineStr">
        <is>
          <t>PRY-004</t>
        </is>
      </c>
      <c r="D132" t="inlineStr">
        <is>
          <t>Casa 18</t>
        </is>
      </c>
      <c r="E132" t="inlineStr">
        <is>
          <t>Miguel Salazar</t>
        </is>
      </c>
      <c r="F132" t="inlineStr">
        <is>
          <t>Perdido</t>
        </is>
      </c>
      <c r="G132" t="n">
        <v>476000000</v>
      </c>
      <c r="H132" t="n">
        <v>0</v>
      </c>
      <c r="I132" s="28" t="n">
        <v>45358</v>
      </c>
      <c r="J132" s="28" t="n">
        <v>45434</v>
      </c>
      <c r="K132" t="n">
        <v>76</v>
      </c>
      <c r="L132" t="inlineStr">
        <is>
          <t>Eligió otro proyecto</t>
        </is>
      </c>
    </row>
    <row r="133" ht="15.75" customHeight="1" s="25">
      <c r="A133" t="inlineStr">
        <is>
          <t>NEG-0131</t>
        </is>
      </c>
      <c r="B133" t="inlineStr">
        <is>
          <t>Lorena Betancur Jaramillo</t>
        </is>
      </c>
      <c r="C133" t="inlineStr">
        <is>
          <t>PRY-005</t>
        </is>
      </c>
      <c r="D133" t="inlineStr">
        <is>
          <t>Apto 1207</t>
        </is>
      </c>
      <c r="E133" t="inlineStr">
        <is>
          <t>Sofía Prada</t>
        </is>
      </c>
      <c r="F133" t="inlineStr">
        <is>
          <t>Ganado</t>
        </is>
      </c>
      <c r="G133" t="n">
        <v>425000000</v>
      </c>
      <c r="H133" t="n">
        <v>1</v>
      </c>
      <c r="I133" s="28" t="n">
        <v>45363</v>
      </c>
      <c r="J133" s="28" t="n">
        <v>45459</v>
      </c>
      <c r="K133" t="n">
        <v>96</v>
      </c>
      <c r="L133" t="inlineStr">
        <is>
          <t>Promesa de compraventa firmada</t>
        </is>
      </c>
    </row>
    <row r="134" ht="15.75" customHeight="1" s="25">
      <c r="A134" t="inlineStr">
        <is>
          <t>NEG-0132</t>
        </is>
      </c>
      <c r="B134" t="inlineStr">
        <is>
          <t>Emilio Duque Uribe</t>
        </is>
      </c>
      <c r="C134" t="inlineStr">
        <is>
          <t>PRY-003</t>
        </is>
      </c>
      <c r="D134" t="inlineStr">
        <is>
          <t>Apto 2202</t>
        </is>
      </c>
      <c r="E134" t="inlineStr">
        <is>
          <t>Ana Quintero</t>
        </is>
      </c>
      <c r="F134" t="inlineStr">
        <is>
          <t>Ganado</t>
        </is>
      </c>
      <c r="G134" t="n">
        <v>307000000</v>
      </c>
      <c r="H134" t="n">
        <v>1</v>
      </c>
      <c r="I134" s="28" t="n">
        <v>45364</v>
      </c>
      <c r="J134" s="28" t="n">
        <v>45425</v>
      </c>
      <c r="K134" t="n">
        <v>61</v>
      </c>
      <c r="L134" t="inlineStr">
        <is>
          <t>Promesa de compraventa firmada</t>
        </is>
      </c>
    </row>
    <row r="135" ht="15.75" customHeight="1" s="25">
      <c r="A135" t="inlineStr">
        <is>
          <t>NEG-0133</t>
        </is>
      </c>
      <c r="B135" t="inlineStr">
        <is>
          <t>Carolina Osorio Zuluaga</t>
        </is>
      </c>
      <c r="C135" t="inlineStr">
        <is>
          <t>PRY-001</t>
        </is>
      </c>
      <c r="D135" t="inlineStr">
        <is>
          <t>Apto 1302</t>
        </is>
      </c>
      <c r="E135" t="inlineStr">
        <is>
          <t>Paula Arenas</t>
        </is>
      </c>
      <c r="F135" t="inlineStr">
        <is>
          <t>Ganado</t>
        </is>
      </c>
      <c r="G135" t="n">
        <v>764000000</v>
      </c>
      <c r="H135" t="n">
        <v>1</v>
      </c>
      <c r="I135" s="28" t="n">
        <v>45367</v>
      </c>
      <c r="J135" s="28" t="n">
        <v>45476</v>
      </c>
      <c r="K135" t="n">
        <v>109</v>
      </c>
      <c r="L135" t="inlineStr">
        <is>
          <t>Promesa de compraventa firmada</t>
        </is>
      </c>
    </row>
    <row r="136" ht="15.75" customHeight="1" s="25">
      <c r="A136" t="inlineStr">
        <is>
          <t>NEG-0134</t>
        </is>
      </c>
      <c r="B136" t="inlineStr">
        <is>
          <t>María Ramírez Correa</t>
        </is>
      </c>
      <c r="C136" t="inlineStr">
        <is>
          <t>PRY-001</t>
        </is>
      </c>
      <c r="D136" t="inlineStr">
        <is>
          <t>Apto 1201</t>
        </is>
      </c>
      <c r="E136" t="inlineStr">
        <is>
          <t>Ana Quintero</t>
        </is>
      </c>
      <c r="F136" t="inlineStr">
        <is>
          <t>Ganado</t>
        </is>
      </c>
      <c r="G136" t="n">
        <v>703000000</v>
      </c>
      <c r="H136" t="n">
        <v>1</v>
      </c>
      <c r="I136" s="28" t="n">
        <v>45370</v>
      </c>
      <c r="J136" s="28" t="n">
        <v>45472</v>
      </c>
      <c r="K136" t="n">
        <v>102</v>
      </c>
      <c r="L136" t="inlineStr">
        <is>
          <t>Promesa de compraventa firmada</t>
        </is>
      </c>
    </row>
    <row r="137" ht="15.75" customHeight="1" s="25">
      <c r="A137" t="inlineStr">
        <is>
          <t>NEG-0135</t>
        </is>
      </c>
      <c r="B137" t="inlineStr">
        <is>
          <t>Mónica Bedoya Franco</t>
        </is>
      </c>
      <c r="C137" t="inlineStr">
        <is>
          <t>PRY-003</t>
        </is>
      </c>
      <c r="D137" t="inlineStr">
        <is>
          <t>Apto 1804</t>
        </is>
      </c>
      <c r="E137" t="inlineStr">
        <is>
          <t>Andrés Torres</t>
        </is>
      </c>
      <c r="F137" t="inlineStr">
        <is>
          <t>Ganado</t>
        </is>
      </c>
      <c r="G137" t="n">
        <v>356000000</v>
      </c>
      <c r="H137" t="n">
        <v>1</v>
      </c>
      <c r="I137" s="28" t="n">
        <v>45370</v>
      </c>
      <c r="J137" s="28" t="n">
        <v>45445</v>
      </c>
      <c r="K137" t="n">
        <v>75</v>
      </c>
      <c r="L137" t="inlineStr">
        <is>
          <t>Promesa de compraventa firmada</t>
        </is>
      </c>
    </row>
    <row r="138" ht="15.75" customHeight="1" s="25">
      <c r="A138" t="inlineStr">
        <is>
          <t>NEG-0136</t>
        </is>
      </c>
      <c r="B138" t="inlineStr">
        <is>
          <t>Andrés Castaño Espinosa</t>
        </is>
      </c>
      <c r="C138" t="inlineStr">
        <is>
          <t>PRY-002</t>
        </is>
      </c>
      <c r="D138" t="inlineStr">
        <is>
          <t>Casa 22</t>
        </is>
      </c>
      <c r="E138" t="inlineStr">
        <is>
          <t>Andrés Torres</t>
        </is>
      </c>
      <c r="F138" t="inlineStr">
        <is>
          <t>Ganado</t>
        </is>
      </c>
      <c r="G138" t="n">
        <v>715000000</v>
      </c>
      <c r="H138" t="n">
        <v>1</v>
      </c>
      <c r="I138" s="28" t="n">
        <v>45373</v>
      </c>
      <c r="J138" s="28" t="n">
        <v>45503</v>
      </c>
      <c r="K138" t="n">
        <v>130</v>
      </c>
      <c r="L138" t="inlineStr">
        <is>
          <t>Promesa de compraventa firmada</t>
        </is>
      </c>
    </row>
    <row r="139" ht="15.75" customHeight="1" s="25">
      <c r="A139" t="inlineStr">
        <is>
          <t>NEG-0137</t>
        </is>
      </c>
      <c r="B139" t="inlineStr">
        <is>
          <t>Daniela Escobar Espinosa</t>
        </is>
      </c>
      <c r="C139" t="inlineStr">
        <is>
          <t>PRY-003</t>
        </is>
      </c>
      <c r="D139" t="inlineStr">
        <is>
          <t>Apto 2601</t>
        </is>
      </c>
      <c r="E139" t="inlineStr">
        <is>
          <t>Miguel Salazar</t>
        </is>
      </c>
      <c r="F139" t="inlineStr">
        <is>
          <t>Ganado</t>
        </is>
      </c>
      <c r="G139" t="n">
        <v>403000000</v>
      </c>
      <c r="H139" t="n">
        <v>1</v>
      </c>
      <c r="I139" s="28" t="n">
        <v>45373</v>
      </c>
      <c r="J139" s="28" t="n">
        <v>45434</v>
      </c>
      <c r="K139" t="n">
        <v>61</v>
      </c>
      <c r="L139" t="inlineStr">
        <is>
          <t>Promesa de compraventa firmada</t>
        </is>
      </c>
    </row>
    <row r="140" ht="15.75" customHeight="1" s="25">
      <c r="A140" t="inlineStr">
        <is>
          <t>NEG-0138</t>
        </is>
      </c>
      <c r="B140" t="inlineStr">
        <is>
          <t>Tomás Agudelo Sánchez</t>
        </is>
      </c>
      <c r="C140" t="inlineStr">
        <is>
          <t>PRY-001</t>
        </is>
      </c>
      <c r="D140" t="inlineStr">
        <is>
          <t>Apto 2103</t>
        </is>
      </c>
      <c r="E140" t="inlineStr">
        <is>
          <t>Ana Quintero</t>
        </is>
      </c>
      <c r="F140" t="inlineStr">
        <is>
          <t>Ganado</t>
        </is>
      </c>
      <c r="G140" t="n">
        <v>719000000</v>
      </c>
      <c r="H140" t="n">
        <v>1</v>
      </c>
      <c r="I140" s="28" t="n">
        <v>45374</v>
      </c>
      <c r="J140" s="28" t="n">
        <v>45412</v>
      </c>
      <c r="K140" t="n">
        <v>38</v>
      </c>
      <c r="L140" t="inlineStr">
        <is>
          <t>Promesa de compraventa firmada</t>
        </is>
      </c>
    </row>
    <row r="141" ht="15.75" customHeight="1" s="25">
      <c r="A141" t="inlineStr">
        <is>
          <t>NEG-0139</t>
        </is>
      </c>
      <c r="B141" t="inlineStr">
        <is>
          <t>Jhon Marín López</t>
        </is>
      </c>
      <c r="C141" t="inlineStr">
        <is>
          <t>PRY-002</t>
        </is>
      </c>
      <c r="D141" t="inlineStr">
        <is>
          <t>Casa 48</t>
        </is>
      </c>
      <c r="E141" t="inlineStr">
        <is>
          <t>Andrés Torres</t>
        </is>
      </c>
      <c r="F141" t="inlineStr">
        <is>
          <t>Ganado</t>
        </is>
      </c>
      <c r="G141" t="n">
        <v>653000000</v>
      </c>
      <c r="H141" t="n">
        <v>1</v>
      </c>
      <c r="I141" s="28" t="n">
        <v>45375</v>
      </c>
      <c r="J141" s="28" t="n">
        <v>45453</v>
      </c>
      <c r="K141" t="n">
        <v>78</v>
      </c>
      <c r="L141" t="inlineStr">
        <is>
          <t>Promesa de compraventa firmada</t>
        </is>
      </c>
    </row>
    <row r="142" ht="15.75" customHeight="1" s="25">
      <c r="A142" t="inlineStr">
        <is>
          <t>NEG-0140</t>
        </is>
      </c>
      <c r="B142" t="inlineStr">
        <is>
          <t>Alejandro Duque Restrepo</t>
        </is>
      </c>
      <c r="C142" t="inlineStr">
        <is>
          <t>PRY-003</t>
        </is>
      </c>
      <c r="D142" t="inlineStr">
        <is>
          <t>Apto 902</t>
        </is>
      </c>
      <c r="E142" t="inlineStr">
        <is>
          <t>Sofía Prada</t>
        </is>
      </c>
      <c r="F142" t="inlineStr">
        <is>
          <t>Ganado</t>
        </is>
      </c>
      <c r="G142" t="n">
        <v>332000000</v>
      </c>
      <c r="H142" t="n">
        <v>1</v>
      </c>
      <c r="I142" s="28" t="n">
        <v>45375</v>
      </c>
      <c r="J142" s="28" t="n">
        <v>45447</v>
      </c>
      <c r="K142" t="n">
        <v>72</v>
      </c>
      <c r="L142" t="inlineStr">
        <is>
          <t>Promesa de compraventa firmada</t>
        </is>
      </c>
    </row>
    <row r="143" ht="15.75" customHeight="1" s="25">
      <c r="A143" t="inlineStr">
        <is>
          <t>NEG-0141</t>
        </is>
      </c>
      <c r="B143" t="inlineStr">
        <is>
          <t>Iván Uribe Rojas</t>
        </is>
      </c>
      <c r="C143" t="inlineStr">
        <is>
          <t>PRY-008</t>
        </is>
      </c>
      <c r="D143" t="inlineStr">
        <is>
          <t>Casa 26</t>
        </is>
      </c>
      <c r="E143" t="inlineStr">
        <is>
          <t>Luis Bedoya</t>
        </is>
      </c>
      <c r="F143" t="inlineStr">
        <is>
          <t>Perdido</t>
        </is>
      </c>
      <c r="G143" t="n">
        <v>147000000</v>
      </c>
      <c r="H143" t="n">
        <v>0</v>
      </c>
      <c r="I143" s="28" t="n">
        <v>45375</v>
      </c>
      <c r="J143" s="28" t="n">
        <v>45425</v>
      </c>
      <c r="K143" t="n">
        <v>50</v>
      </c>
      <c r="L143" t="inlineStr">
        <is>
          <t>Crédito no aprobado</t>
        </is>
      </c>
    </row>
    <row r="144" ht="15.75" customHeight="1" s="25">
      <c r="A144" t="inlineStr">
        <is>
          <t>NEG-0142</t>
        </is>
      </c>
      <c r="B144" t="inlineStr">
        <is>
          <t>Carolina Cano Toro</t>
        </is>
      </c>
      <c r="C144" t="inlineStr">
        <is>
          <t>PRY-004</t>
        </is>
      </c>
      <c r="D144" t="inlineStr">
        <is>
          <t>Casa 74</t>
        </is>
      </c>
      <c r="E144" t="inlineStr">
        <is>
          <t>Miguel Salazar</t>
        </is>
      </c>
      <c r="F144" t="inlineStr">
        <is>
          <t>Perdido</t>
        </is>
      </c>
      <c r="G144" t="n">
        <v>520000000</v>
      </c>
      <c r="H144" t="n">
        <v>0</v>
      </c>
      <c r="I144" s="28" t="n">
        <v>45376</v>
      </c>
      <c r="J144" s="28" t="n">
        <v>45480</v>
      </c>
      <c r="K144" t="n">
        <v>104</v>
      </c>
      <c r="L144" t="inlineStr">
        <is>
          <t>Crédito no aprobado</t>
        </is>
      </c>
    </row>
    <row r="145" ht="15.75" customHeight="1" s="25">
      <c r="A145" t="inlineStr">
        <is>
          <t>NEG-0143</t>
        </is>
      </c>
      <c r="B145" t="inlineStr">
        <is>
          <t>Jorge Bedoya Quintero</t>
        </is>
      </c>
      <c r="C145" t="inlineStr">
        <is>
          <t>PRY-005</t>
        </is>
      </c>
      <c r="D145" t="inlineStr">
        <is>
          <t>Apto 1106</t>
        </is>
      </c>
      <c r="E145" t="inlineStr">
        <is>
          <t>Paula Arenas</t>
        </is>
      </c>
      <c r="F145" t="inlineStr">
        <is>
          <t>Perdido</t>
        </is>
      </c>
      <c r="G145" t="n">
        <v>384000000</v>
      </c>
      <c r="H145" t="n">
        <v>0</v>
      </c>
      <c r="I145" s="28" t="n">
        <v>45376</v>
      </c>
      <c r="J145" s="28" t="n">
        <v>45488</v>
      </c>
      <c r="K145" t="n">
        <v>112</v>
      </c>
      <c r="L145" t="inlineStr">
        <is>
          <t>Crédito no aprobado</t>
        </is>
      </c>
    </row>
    <row r="146" ht="15.75" customHeight="1" s="25">
      <c r="A146" t="inlineStr">
        <is>
          <t>NEG-0144</t>
        </is>
      </c>
      <c r="B146" t="inlineStr">
        <is>
          <t>Cristian Ríos Marín</t>
        </is>
      </c>
      <c r="C146" t="inlineStr">
        <is>
          <t>PRY-008</t>
        </is>
      </c>
      <c r="D146" t="inlineStr">
        <is>
          <t>Casa 67</t>
        </is>
      </c>
      <c r="E146" t="inlineStr">
        <is>
          <t>Sofía Prada</t>
        </is>
      </c>
      <c r="F146" t="inlineStr">
        <is>
          <t>Ganado</t>
        </is>
      </c>
      <c r="G146" t="n">
        <v>147000000</v>
      </c>
      <c r="H146" t="n">
        <v>1</v>
      </c>
      <c r="I146" s="28" t="n">
        <v>45379</v>
      </c>
      <c r="J146" s="28" t="n">
        <v>45409</v>
      </c>
      <c r="K146" t="n">
        <v>30</v>
      </c>
      <c r="L146" t="inlineStr">
        <is>
          <t>Promesa de compraventa firmada</t>
        </is>
      </c>
    </row>
    <row r="147" ht="15.75" customHeight="1" s="25">
      <c r="A147" t="inlineStr">
        <is>
          <t>NEG-0145</t>
        </is>
      </c>
      <c r="B147" t="inlineStr">
        <is>
          <t>Esteban Castaño Salcedo</t>
        </is>
      </c>
      <c r="C147" t="inlineStr">
        <is>
          <t>PRY-004</t>
        </is>
      </c>
      <c r="D147" t="inlineStr">
        <is>
          <t>Casa 65</t>
        </is>
      </c>
      <c r="E147" t="inlineStr">
        <is>
          <t>Miguel Salazar</t>
        </is>
      </c>
      <c r="F147" t="inlineStr">
        <is>
          <t>Perdido</t>
        </is>
      </c>
      <c r="G147" t="n">
        <v>529000000</v>
      </c>
      <c r="H147" t="n">
        <v>0</v>
      </c>
      <c r="I147" s="28" t="n">
        <v>45384</v>
      </c>
      <c r="J147" s="28" t="n">
        <v>45480</v>
      </c>
      <c r="K147" t="n">
        <v>96</v>
      </c>
      <c r="L147" t="inlineStr">
        <is>
          <t>Crédito no aprobado</t>
        </is>
      </c>
    </row>
    <row r="148" ht="15.75" customHeight="1" s="25">
      <c r="A148" t="inlineStr">
        <is>
          <t>NEG-0146</t>
        </is>
      </c>
      <c r="B148" t="inlineStr">
        <is>
          <t>Tomás Restrepo Ramírez</t>
        </is>
      </c>
      <c r="C148" t="inlineStr">
        <is>
          <t>PRY-005</t>
        </is>
      </c>
      <c r="D148" t="inlineStr">
        <is>
          <t>Apto 1304</t>
        </is>
      </c>
      <c r="E148" t="inlineStr">
        <is>
          <t>Ana Quintero</t>
        </is>
      </c>
      <c r="F148" t="inlineStr">
        <is>
          <t>Ganado</t>
        </is>
      </c>
      <c r="G148" t="n">
        <v>457000000</v>
      </c>
      <c r="H148" t="n">
        <v>1</v>
      </c>
      <c r="I148" s="28" t="n">
        <v>45384</v>
      </c>
      <c r="J148" s="28" t="n">
        <v>45465</v>
      </c>
      <c r="K148" t="n">
        <v>81</v>
      </c>
      <c r="L148" t="inlineStr">
        <is>
          <t>Promesa de compraventa firmada</t>
        </is>
      </c>
    </row>
    <row r="149" ht="15.75" customHeight="1" s="25">
      <c r="A149" t="inlineStr">
        <is>
          <t>NEG-0147</t>
        </is>
      </c>
      <c r="B149" t="inlineStr">
        <is>
          <t>Verónica Higuita Montoya</t>
        </is>
      </c>
      <c r="C149" t="inlineStr">
        <is>
          <t>PRY-003</t>
        </is>
      </c>
      <c r="D149" t="inlineStr">
        <is>
          <t>Apto 2508</t>
        </is>
      </c>
      <c r="E149" t="inlineStr">
        <is>
          <t>Sofía Prada</t>
        </is>
      </c>
      <c r="F149" t="inlineStr">
        <is>
          <t>Perdido</t>
        </is>
      </c>
      <c r="G149" t="n">
        <v>316000000</v>
      </c>
      <c r="H149" t="n">
        <v>0</v>
      </c>
      <c r="I149" s="28" t="n">
        <v>45386</v>
      </c>
      <c r="J149" s="28" t="n">
        <v>45424</v>
      </c>
      <c r="K149" t="n">
        <v>38</v>
      </c>
      <c r="L149" t="inlineStr">
        <is>
          <t>Eligió otro proyecto</t>
        </is>
      </c>
    </row>
    <row r="150" ht="15.75" customHeight="1" s="25">
      <c r="A150" t="inlineStr">
        <is>
          <t>NEG-0148</t>
        </is>
      </c>
      <c r="B150" t="inlineStr">
        <is>
          <t>Laura Álvarez Toro</t>
        </is>
      </c>
      <c r="C150" t="inlineStr">
        <is>
          <t>PRY-004</t>
        </is>
      </c>
      <c r="D150" t="inlineStr">
        <is>
          <t>Casa 36</t>
        </is>
      </c>
      <c r="E150" t="inlineStr">
        <is>
          <t>Miguel Salazar</t>
        </is>
      </c>
      <c r="F150" t="inlineStr">
        <is>
          <t>Ganado</t>
        </is>
      </c>
      <c r="G150" t="n">
        <v>502000000</v>
      </c>
      <c r="H150" t="n">
        <v>1</v>
      </c>
      <c r="I150" s="28" t="n">
        <v>45386</v>
      </c>
      <c r="J150" s="28" t="n">
        <v>45466</v>
      </c>
      <c r="K150" t="n">
        <v>80</v>
      </c>
      <c r="L150" t="inlineStr">
        <is>
          <t>Promesa de compraventa firmada</t>
        </is>
      </c>
    </row>
    <row r="151" ht="15.75" customHeight="1" s="25">
      <c r="A151" t="inlineStr">
        <is>
          <t>NEG-0149</t>
        </is>
      </c>
      <c r="B151" t="inlineStr">
        <is>
          <t>Sandra Giraldo Henao</t>
        </is>
      </c>
      <c r="C151" t="inlineStr">
        <is>
          <t>PRY-005</t>
        </is>
      </c>
      <c r="D151" t="inlineStr">
        <is>
          <t>Apto 602</t>
        </is>
      </c>
      <c r="E151" t="inlineStr">
        <is>
          <t>Andrés Torres</t>
        </is>
      </c>
      <c r="F151" t="inlineStr">
        <is>
          <t>Ganado</t>
        </is>
      </c>
      <c r="G151" t="n">
        <v>368000000</v>
      </c>
      <c r="H151" t="n">
        <v>1</v>
      </c>
      <c r="I151" s="28" t="n">
        <v>45386</v>
      </c>
      <c r="J151" s="28" t="n">
        <v>45444</v>
      </c>
      <c r="K151" t="n">
        <v>58</v>
      </c>
      <c r="L151" t="inlineStr">
        <is>
          <t>Promesa de compraventa firmada</t>
        </is>
      </c>
    </row>
    <row r="152" ht="15.75" customHeight="1" s="25">
      <c r="A152" t="inlineStr">
        <is>
          <t>NEG-0150</t>
        </is>
      </c>
      <c r="B152" t="inlineStr">
        <is>
          <t>Liliana Henao Salazar</t>
        </is>
      </c>
      <c r="C152" t="inlineStr">
        <is>
          <t>PRY-001</t>
        </is>
      </c>
      <c r="D152" t="inlineStr">
        <is>
          <t>Apto 2004</t>
        </is>
      </c>
      <c r="E152" t="inlineStr">
        <is>
          <t>Paula Arenas</t>
        </is>
      </c>
      <c r="F152" t="inlineStr">
        <is>
          <t>Perdido</t>
        </is>
      </c>
      <c r="G152" t="n">
        <v>627000000</v>
      </c>
      <c r="H152" t="n">
        <v>0</v>
      </c>
      <c r="I152" s="28" t="n">
        <v>45387</v>
      </c>
      <c r="J152" s="28" t="n">
        <v>45460</v>
      </c>
      <c r="K152" t="n">
        <v>73</v>
      </c>
      <c r="L152" t="inlineStr">
        <is>
          <t>No volvió a responder</t>
        </is>
      </c>
    </row>
    <row r="153" ht="15.75" customHeight="1" s="25">
      <c r="A153" t="inlineStr">
        <is>
          <t>NEG-0151</t>
        </is>
      </c>
      <c r="B153" t="inlineStr">
        <is>
          <t>Paola Gaviria Hernández</t>
        </is>
      </c>
      <c r="C153" t="inlineStr">
        <is>
          <t>PRY-004</t>
        </is>
      </c>
      <c r="D153" t="inlineStr">
        <is>
          <t>Casa 34</t>
        </is>
      </c>
      <c r="E153" t="inlineStr">
        <is>
          <t>Juliana Vélez</t>
        </is>
      </c>
      <c r="F153" t="inlineStr">
        <is>
          <t>Ganado</t>
        </is>
      </c>
      <c r="G153" t="n">
        <v>422000000</v>
      </c>
      <c r="H153" t="n">
        <v>1</v>
      </c>
      <c r="I153" s="28" t="n">
        <v>45388</v>
      </c>
      <c r="J153" s="28" t="n">
        <v>45448</v>
      </c>
      <c r="K153" t="n">
        <v>60</v>
      </c>
      <c r="L153" t="inlineStr">
        <is>
          <t>Promesa de compraventa firmada</t>
        </is>
      </c>
    </row>
    <row r="154" ht="15.75" customHeight="1" s="25">
      <c r="A154" t="inlineStr">
        <is>
          <t>NEG-0152</t>
        </is>
      </c>
      <c r="B154" t="inlineStr">
        <is>
          <t>María Uribe Echeverri</t>
        </is>
      </c>
      <c r="C154" t="inlineStr">
        <is>
          <t>PRY-005</t>
        </is>
      </c>
      <c r="D154" t="inlineStr">
        <is>
          <t>Casa 33</t>
        </is>
      </c>
      <c r="E154" t="inlineStr">
        <is>
          <t>Ana Quintero</t>
        </is>
      </c>
      <c r="F154" t="inlineStr">
        <is>
          <t>Ganado</t>
        </is>
      </c>
      <c r="G154" t="n">
        <v>412000000</v>
      </c>
      <c r="H154" t="n">
        <v>1</v>
      </c>
      <c r="I154" s="28" t="n">
        <v>45388</v>
      </c>
      <c r="J154" s="28" t="n">
        <v>45473</v>
      </c>
      <c r="K154" t="n">
        <v>85</v>
      </c>
      <c r="L154" t="inlineStr">
        <is>
          <t>Promesa de compraventa firmada</t>
        </is>
      </c>
    </row>
    <row r="155" ht="15.75" customHeight="1" s="25">
      <c r="A155" t="inlineStr">
        <is>
          <t>NEG-0153</t>
        </is>
      </c>
      <c r="B155" t="inlineStr">
        <is>
          <t>Cristian Franco Arango</t>
        </is>
      </c>
      <c r="C155" t="inlineStr">
        <is>
          <t>PRY-004</t>
        </is>
      </c>
      <c r="D155" t="inlineStr">
        <is>
          <t>Casa 53</t>
        </is>
      </c>
      <c r="E155" t="inlineStr">
        <is>
          <t>Luis Bedoya</t>
        </is>
      </c>
      <c r="F155" t="inlineStr">
        <is>
          <t>Perdido</t>
        </is>
      </c>
      <c r="G155" t="n">
        <v>470000000</v>
      </c>
      <c r="H155" t="n">
        <v>0</v>
      </c>
      <c r="I155" s="28" t="n">
        <v>45393</v>
      </c>
      <c r="J155" s="28" t="n">
        <v>45435</v>
      </c>
      <c r="K155" t="n">
        <v>42</v>
      </c>
      <c r="L155" t="inlineStr">
        <is>
          <t>Precio fuera de presupuesto</t>
        </is>
      </c>
    </row>
    <row r="156" ht="15.75" customHeight="1" s="25">
      <c r="A156" t="inlineStr">
        <is>
          <t>NEG-0154</t>
        </is>
      </c>
      <c r="B156" t="inlineStr">
        <is>
          <t>Manuela Ramírez Jaramillo</t>
        </is>
      </c>
      <c r="C156" t="inlineStr">
        <is>
          <t>PRY-008</t>
        </is>
      </c>
      <c r="D156" t="inlineStr">
        <is>
          <t>Casa 81</t>
        </is>
      </c>
      <c r="E156" t="inlineStr">
        <is>
          <t>Juliana Vélez</t>
        </is>
      </c>
      <c r="F156" t="inlineStr">
        <is>
          <t>Ganado</t>
        </is>
      </c>
      <c r="G156" t="n">
        <v>165000000</v>
      </c>
      <c r="H156" t="n">
        <v>1</v>
      </c>
      <c r="I156" s="28" t="n">
        <v>45393</v>
      </c>
      <c r="J156" s="28" t="n">
        <v>45422</v>
      </c>
      <c r="K156" t="n">
        <v>29</v>
      </c>
      <c r="L156" t="inlineStr">
        <is>
          <t>Promesa de compraventa firmada</t>
        </is>
      </c>
    </row>
    <row r="157" ht="15.75" customHeight="1" s="25">
      <c r="A157" t="inlineStr">
        <is>
          <t>NEG-0155</t>
        </is>
      </c>
      <c r="B157" t="inlineStr">
        <is>
          <t>Isabel Montes Montes</t>
        </is>
      </c>
      <c r="C157" t="inlineStr">
        <is>
          <t>PRY-004</t>
        </is>
      </c>
      <c r="D157" t="inlineStr">
        <is>
          <t>Casa 31</t>
        </is>
      </c>
      <c r="E157" t="inlineStr">
        <is>
          <t>Luis Bedoya</t>
        </is>
      </c>
      <c r="F157" t="inlineStr">
        <is>
          <t>Ganado</t>
        </is>
      </c>
      <c r="G157" t="n">
        <v>454000000</v>
      </c>
      <c r="H157" t="n">
        <v>1</v>
      </c>
      <c r="I157" s="28" t="n">
        <v>45394</v>
      </c>
      <c r="J157" s="28" t="n">
        <v>45439</v>
      </c>
      <c r="K157" t="n">
        <v>45</v>
      </c>
      <c r="L157" t="inlineStr">
        <is>
          <t>Promesa de compraventa firmada</t>
        </is>
      </c>
    </row>
    <row r="158" ht="15.75" customHeight="1" s="25">
      <c r="A158" t="inlineStr">
        <is>
          <t>NEG-0156</t>
        </is>
      </c>
      <c r="B158" t="inlineStr">
        <is>
          <t>Julián López Ochoa</t>
        </is>
      </c>
      <c r="C158" t="inlineStr">
        <is>
          <t>PRY-003</t>
        </is>
      </c>
      <c r="D158" t="inlineStr">
        <is>
          <t>Apto 1503</t>
        </is>
      </c>
      <c r="E158" t="inlineStr">
        <is>
          <t>Santiago Muñoz</t>
        </is>
      </c>
      <c r="F158" t="inlineStr">
        <is>
          <t>Perdido</t>
        </is>
      </c>
      <c r="G158" t="n">
        <v>371000000</v>
      </c>
      <c r="H158" t="n">
        <v>0</v>
      </c>
      <c r="I158" s="28" t="n">
        <v>45395</v>
      </c>
      <c r="J158" s="28" t="n">
        <v>45479</v>
      </c>
      <c r="K158" t="n">
        <v>84</v>
      </c>
      <c r="L158" t="inlineStr">
        <is>
          <t>Cambió de ciudad</t>
        </is>
      </c>
    </row>
    <row r="159" ht="15.75" customHeight="1" s="25">
      <c r="A159" t="inlineStr">
        <is>
          <t>NEG-0157</t>
        </is>
      </c>
      <c r="B159" t="inlineStr">
        <is>
          <t>Camila Zuluaga Zuluaga</t>
        </is>
      </c>
      <c r="C159" t="inlineStr">
        <is>
          <t>PRY-003</t>
        </is>
      </c>
      <c r="D159" t="inlineStr">
        <is>
          <t>Apto 1905</t>
        </is>
      </c>
      <c r="E159" t="inlineStr">
        <is>
          <t>Santiago Muñoz</t>
        </is>
      </c>
      <c r="F159" t="inlineStr">
        <is>
          <t>Ganado</t>
        </is>
      </c>
      <c r="G159" t="n">
        <v>288000000</v>
      </c>
      <c r="H159" t="n">
        <v>1</v>
      </c>
      <c r="I159" s="28" t="n">
        <v>45396</v>
      </c>
      <c r="J159" s="28" t="n">
        <v>45442</v>
      </c>
      <c r="K159" t="n">
        <v>46</v>
      </c>
      <c r="L159" t="inlineStr">
        <is>
          <t>Promesa de compraventa firmada</t>
        </is>
      </c>
    </row>
    <row r="160" ht="15.75" customHeight="1" s="25">
      <c r="A160" t="inlineStr">
        <is>
          <t>NEG-0158</t>
        </is>
      </c>
      <c r="B160" t="inlineStr">
        <is>
          <t>Camila Ramírez Vásquez</t>
        </is>
      </c>
      <c r="C160" t="inlineStr">
        <is>
          <t>PRY-004</t>
        </is>
      </c>
      <c r="D160" t="inlineStr">
        <is>
          <t>Casa 12</t>
        </is>
      </c>
      <c r="E160" t="inlineStr">
        <is>
          <t>Andrés Torres</t>
        </is>
      </c>
      <c r="F160" t="inlineStr">
        <is>
          <t>Ganado</t>
        </is>
      </c>
      <c r="G160" t="n">
        <v>482000000</v>
      </c>
      <c r="H160" t="n">
        <v>1</v>
      </c>
      <c r="I160" s="28" t="n">
        <v>45397</v>
      </c>
      <c r="J160" s="28" t="n">
        <v>45461</v>
      </c>
      <c r="K160" t="n">
        <v>64</v>
      </c>
      <c r="L160" t="inlineStr">
        <is>
          <t>Promesa de compraventa firmada</t>
        </is>
      </c>
    </row>
    <row r="161" ht="15.75" customHeight="1" s="25">
      <c r="A161" t="inlineStr">
        <is>
          <t>NEG-0159</t>
        </is>
      </c>
      <c r="B161" t="inlineStr">
        <is>
          <t>David Vélez Osorio</t>
        </is>
      </c>
      <c r="C161" t="inlineStr">
        <is>
          <t>PRY-002</t>
        </is>
      </c>
      <c r="D161" t="inlineStr">
        <is>
          <t>Casa 4</t>
        </is>
      </c>
      <c r="E161" t="inlineStr">
        <is>
          <t>Andrés Torres</t>
        </is>
      </c>
      <c r="F161" t="inlineStr">
        <is>
          <t>Ganado</t>
        </is>
      </c>
      <c r="G161" t="n">
        <v>703000000</v>
      </c>
      <c r="H161" t="n">
        <v>1</v>
      </c>
      <c r="I161" s="28" t="n">
        <v>45398</v>
      </c>
      <c r="J161" s="28" t="n">
        <v>45532</v>
      </c>
      <c r="K161" t="n">
        <v>134</v>
      </c>
      <c r="L161" t="inlineStr">
        <is>
          <t>Promesa de compraventa firmada</t>
        </is>
      </c>
    </row>
    <row r="162" ht="15.75" customHeight="1" s="25">
      <c r="A162" t="inlineStr">
        <is>
          <t>NEG-0160</t>
        </is>
      </c>
      <c r="B162" t="inlineStr">
        <is>
          <t>Nicolás Valencia Giraldo</t>
        </is>
      </c>
      <c r="C162" t="inlineStr">
        <is>
          <t>PRY-005</t>
        </is>
      </c>
      <c r="D162" t="inlineStr">
        <is>
          <t>Casa 48</t>
        </is>
      </c>
      <c r="E162" t="inlineStr">
        <is>
          <t>Miguel Salazar</t>
        </is>
      </c>
      <c r="F162" t="inlineStr">
        <is>
          <t>Ganado</t>
        </is>
      </c>
      <c r="G162" t="n">
        <v>384000000</v>
      </c>
      <c r="H162" t="n">
        <v>1</v>
      </c>
      <c r="I162" s="28" t="n">
        <v>45400</v>
      </c>
      <c r="J162" s="28" t="n">
        <v>45473</v>
      </c>
      <c r="K162" t="n">
        <v>73</v>
      </c>
      <c r="L162" t="inlineStr">
        <is>
          <t>Promesa de compraventa firmada</t>
        </is>
      </c>
    </row>
    <row r="163" ht="15.75" customHeight="1" s="25">
      <c r="A163" t="inlineStr">
        <is>
          <t>NEG-0161</t>
        </is>
      </c>
      <c r="B163" t="inlineStr">
        <is>
          <t>Cristian Gómez Gaviria</t>
        </is>
      </c>
      <c r="C163" t="inlineStr">
        <is>
          <t>PRY-008</t>
        </is>
      </c>
      <c r="D163" t="inlineStr">
        <is>
          <t>Casa 31</t>
        </is>
      </c>
      <c r="E163" t="inlineStr">
        <is>
          <t>Paula Arenas</t>
        </is>
      </c>
      <c r="F163" t="inlineStr">
        <is>
          <t>Ganado</t>
        </is>
      </c>
      <c r="G163" t="n">
        <v>174000000</v>
      </c>
      <c r="H163" t="n">
        <v>1</v>
      </c>
      <c r="I163" s="28" t="n">
        <v>45400</v>
      </c>
      <c r="J163" s="28" t="n">
        <v>45423</v>
      </c>
      <c r="K163" t="n">
        <v>23</v>
      </c>
      <c r="L163" t="inlineStr">
        <is>
          <t>Promesa de compraventa firmada</t>
        </is>
      </c>
    </row>
    <row r="164" ht="15.75" customHeight="1" s="25">
      <c r="A164" t="inlineStr">
        <is>
          <t>NEG-0162</t>
        </is>
      </c>
      <c r="B164" t="inlineStr">
        <is>
          <t>Iván Peláez Betancur</t>
        </is>
      </c>
      <c r="C164" t="inlineStr">
        <is>
          <t>PRY-008</t>
        </is>
      </c>
      <c r="D164" t="inlineStr">
        <is>
          <t>Casa 60</t>
        </is>
      </c>
      <c r="E164" t="inlineStr">
        <is>
          <t>Luis Bedoya</t>
        </is>
      </c>
      <c r="F164" t="inlineStr">
        <is>
          <t>Ganado</t>
        </is>
      </c>
      <c r="G164" t="n">
        <v>148000000</v>
      </c>
      <c r="H164" t="n">
        <v>1</v>
      </c>
      <c r="I164" s="28" t="n">
        <v>45400</v>
      </c>
      <c r="J164" s="28" t="n">
        <v>45432</v>
      </c>
      <c r="K164" t="n">
        <v>32</v>
      </c>
      <c r="L164" t="inlineStr">
        <is>
          <t>Promesa de compraventa firmada</t>
        </is>
      </c>
    </row>
    <row r="165" ht="15.75" customHeight="1" s="25">
      <c r="A165" t="inlineStr">
        <is>
          <t>NEG-0163</t>
        </is>
      </c>
      <c r="B165" t="inlineStr">
        <is>
          <t>Juan Pablo Zapata Salazar</t>
        </is>
      </c>
      <c r="C165" t="inlineStr">
        <is>
          <t>PRY-001</t>
        </is>
      </c>
      <c r="D165" t="inlineStr">
        <is>
          <t>Apto 903</t>
        </is>
      </c>
      <c r="E165" t="inlineStr">
        <is>
          <t>Sofía Prada</t>
        </is>
      </c>
      <c r="F165" t="inlineStr">
        <is>
          <t>Ganado</t>
        </is>
      </c>
      <c r="G165" t="n">
        <v>607000000</v>
      </c>
      <c r="H165" t="n">
        <v>1</v>
      </c>
      <c r="I165" s="28" t="n">
        <v>45402</v>
      </c>
      <c r="J165" s="28" t="n">
        <v>45471</v>
      </c>
      <c r="K165" t="n">
        <v>69</v>
      </c>
      <c r="L165" t="inlineStr">
        <is>
          <t>Promesa de compraventa firmada</t>
        </is>
      </c>
    </row>
    <row r="166" ht="15.75" customHeight="1" s="25">
      <c r="A166" t="inlineStr">
        <is>
          <t>NEG-0164</t>
        </is>
      </c>
      <c r="B166" t="inlineStr">
        <is>
          <t>Diana Restrepo Zapata</t>
        </is>
      </c>
      <c r="C166" t="inlineStr">
        <is>
          <t>PRY-005</t>
        </is>
      </c>
      <c r="D166" t="inlineStr">
        <is>
          <t>Apto 907</t>
        </is>
      </c>
      <c r="E166" t="inlineStr">
        <is>
          <t>Sofía Prada</t>
        </is>
      </c>
      <c r="F166" t="inlineStr">
        <is>
          <t>Perdido</t>
        </is>
      </c>
      <c r="G166" t="n">
        <v>395000000</v>
      </c>
      <c r="H166" t="n">
        <v>0</v>
      </c>
      <c r="I166" s="28" t="n">
        <v>45404</v>
      </c>
      <c r="J166" s="28" t="n">
        <v>45493</v>
      </c>
      <c r="K166" t="n">
        <v>89</v>
      </c>
      <c r="L166" t="inlineStr">
        <is>
          <t>Crédito no aprobado</t>
        </is>
      </c>
    </row>
    <row r="167" ht="15.75" customHeight="1" s="25">
      <c r="A167" t="inlineStr">
        <is>
          <t>NEG-0165</t>
        </is>
      </c>
      <c r="B167" t="inlineStr">
        <is>
          <t>Verónica Giraldo Vélez</t>
        </is>
      </c>
      <c r="C167" t="inlineStr">
        <is>
          <t>PRY-003</t>
        </is>
      </c>
      <c r="D167" t="inlineStr">
        <is>
          <t>Apto 1807</t>
        </is>
      </c>
      <c r="E167" t="inlineStr">
        <is>
          <t>Juliana Vélez</t>
        </is>
      </c>
      <c r="F167" t="inlineStr">
        <is>
          <t>Perdido</t>
        </is>
      </c>
      <c r="G167" t="n">
        <v>291000000</v>
      </c>
      <c r="H167" t="n">
        <v>0</v>
      </c>
      <c r="I167" s="28" t="n">
        <v>45406</v>
      </c>
      <c r="J167" s="28" t="n">
        <v>45461</v>
      </c>
      <c r="K167" t="n">
        <v>55</v>
      </c>
      <c r="L167" t="inlineStr">
        <is>
          <t>Crédito no aprobado</t>
        </is>
      </c>
    </row>
    <row r="168" ht="15.75" customHeight="1" s="25">
      <c r="A168" t="inlineStr">
        <is>
          <t>NEG-0166</t>
        </is>
      </c>
      <c r="B168" t="inlineStr">
        <is>
          <t>Camila Montes Agudelo</t>
        </is>
      </c>
      <c r="C168" t="inlineStr">
        <is>
          <t>PRY-004</t>
        </is>
      </c>
      <c r="D168" t="inlineStr">
        <is>
          <t>Casa 33</t>
        </is>
      </c>
      <c r="E168" t="inlineStr">
        <is>
          <t>Ana Quintero</t>
        </is>
      </c>
      <c r="F168" t="inlineStr">
        <is>
          <t>Ganado</t>
        </is>
      </c>
      <c r="G168" t="n">
        <v>525000000</v>
      </c>
      <c r="H168" t="n">
        <v>1</v>
      </c>
      <c r="I168" s="28" t="n">
        <v>45406</v>
      </c>
      <c r="J168" s="28" t="n">
        <v>45487</v>
      </c>
      <c r="K168" t="n">
        <v>81</v>
      </c>
      <c r="L168" t="inlineStr">
        <is>
          <t>Promesa de compraventa firmada</t>
        </is>
      </c>
    </row>
    <row r="169" ht="15.75" customHeight="1" s="25">
      <c r="A169" t="inlineStr">
        <is>
          <t>NEG-0167</t>
        </is>
      </c>
      <c r="B169" t="inlineStr">
        <is>
          <t>Andrés Zuluaga Zuluaga</t>
        </is>
      </c>
      <c r="C169" t="inlineStr">
        <is>
          <t>PRY-008</t>
        </is>
      </c>
      <c r="D169" t="inlineStr">
        <is>
          <t>Casa 11</t>
        </is>
      </c>
      <c r="E169" t="inlineStr">
        <is>
          <t>Sofía Prada</t>
        </is>
      </c>
      <c r="F169" t="inlineStr">
        <is>
          <t>Perdido</t>
        </is>
      </c>
      <c r="G169" t="n">
        <v>150000000</v>
      </c>
      <c r="H169" t="n">
        <v>0</v>
      </c>
      <c r="I169" s="28" t="n">
        <v>45406</v>
      </c>
      <c r="J169" s="28" t="n">
        <v>45465</v>
      </c>
      <c r="K169" t="n">
        <v>59</v>
      </c>
      <c r="L169" t="inlineStr">
        <is>
          <t>No volvió a responder</t>
        </is>
      </c>
    </row>
    <row r="170" ht="15.75" customHeight="1" s="25">
      <c r="A170" t="inlineStr">
        <is>
          <t>NEG-0168</t>
        </is>
      </c>
      <c r="B170" t="inlineStr">
        <is>
          <t>Mónica Muñoz Gaviria</t>
        </is>
      </c>
      <c r="C170" t="inlineStr">
        <is>
          <t>PRY-001</t>
        </is>
      </c>
      <c r="D170" t="inlineStr">
        <is>
          <t>Apto 1803</t>
        </is>
      </c>
      <c r="E170" t="inlineStr">
        <is>
          <t>Miguel Salazar</t>
        </is>
      </c>
      <c r="F170" t="inlineStr">
        <is>
          <t>Perdido</t>
        </is>
      </c>
      <c r="G170" t="n">
        <v>760000000</v>
      </c>
      <c r="H170" t="n">
        <v>0</v>
      </c>
      <c r="I170" s="28" t="n">
        <v>45407</v>
      </c>
      <c r="J170" s="28" t="n">
        <v>45527</v>
      </c>
      <c r="K170" t="n">
        <v>120</v>
      </c>
      <c r="L170" t="inlineStr">
        <is>
          <t>Precio fuera de presupuesto</t>
        </is>
      </c>
    </row>
    <row r="171" ht="15.75" customHeight="1" s="25">
      <c r="A171" t="inlineStr">
        <is>
          <t>NEG-0169</t>
        </is>
      </c>
      <c r="B171" t="inlineStr">
        <is>
          <t>Hernán Ramírez Vásquez</t>
        </is>
      </c>
      <c r="C171" t="inlineStr">
        <is>
          <t>PRY-004</t>
        </is>
      </c>
      <c r="D171" t="inlineStr">
        <is>
          <t>Casa 47</t>
        </is>
      </c>
      <c r="E171" t="inlineStr">
        <is>
          <t>Ana Quintero</t>
        </is>
      </c>
      <c r="F171" t="inlineStr">
        <is>
          <t>Ganado</t>
        </is>
      </c>
      <c r="G171" t="n">
        <v>500000000</v>
      </c>
      <c r="H171" t="n">
        <v>1</v>
      </c>
      <c r="I171" s="28" t="n">
        <v>45407</v>
      </c>
      <c r="J171" s="28" t="n">
        <v>45490</v>
      </c>
      <c r="K171" t="n">
        <v>83</v>
      </c>
      <c r="L171" t="inlineStr">
        <is>
          <t>Promesa de compraventa firmada</t>
        </is>
      </c>
    </row>
    <row r="172" ht="15.75" customHeight="1" s="25">
      <c r="A172" t="inlineStr">
        <is>
          <t>NEG-0170</t>
        </is>
      </c>
      <c r="B172" t="inlineStr">
        <is>
          <t>Manuela Arango Montes</t>
        </is>
      </c>
      <c r="C172" t="inlineStr">
        <is>
          <t>PRY-001</t>
        </is>
      </c>
      <c r="D172" t="inlineStr">
        <is>
          <t>Apto 1403</t>
        </is>
      </c>
      <c r="E172" t="inlineStr">
        <is>
          <t>Luis Bedoya</t>
        </is>
      </c>
      <c r="F172" t="inlineStr">
        <is>
          <t>Ganado</t>
        </is>
      </c>
      <c r="G172" t="n">
        <v>655000000</v>
      </c>
      <c r="H172" t="n">
        <v>1</v>
      </c>
      <c r="I172" s="28" t="n">
        <v>45408</v>
      </c>
      <c r="J172" s="28" t="n">
        <v>45493</v>
      </c>
      <c r="K172" t="n">
        <v>85</v>
      </c>
      <c r="L172" t="inlineStr">
        <is>
          <t>Promesa de compraventa firmada</t>
        </is>
      </c>
    </row>
    <row r="173" ht="15.75" customHeight="1" s="25">
      <c r="A173" t="inlineStr">
        <is>
          <t>NEG-0171</t>
        </is>
      </c>
      <c r="B173" t="inlineStr">
        <is>
          <t>Ximena Valencia Ramírez</t>
        </is>
      </c>
      <c r="C173" t="inlineStr">
        <is>
          <t>PRY-008</t>
        </is>
      </c>
      <c r="D173" t="inlineStr">
        <is>
          <t>Casa 71</t>
        </is>
      </c>
      <c r="E173" t="inlineStr">
        <is>
          <t>Luis Bedoya</t>
        </is>
      </c>
      <c r="F173" t="inlineStr">
        <is>
          <t>Ganado</t>
        </is>
      </c>
      <c r="G173" t="n">
        <v>134000000</v>
      </c>
      <c r="H173" t="n">
        <v>1</v>
      </c>
      <c r="I173" s="28" t="n">
        <v>45408</v>
      </c>
      <c r="J173" s="28" t="n">
        <v>45474</v>
      </c>
      <c r="K173" t="n">
        <v>66</v>
      </c>
      <c r="L173" t="inlineStr">
        <is>
          <t>Promesa de compraventa firmada</t>
        </is>
      </c>
    </row>
    <row r="174" ht="15.75" customHeight="1" s="25">
      <c r="A174" t="inlineStr">
        <is>
          <t>NEG-0172</t>
        </is>
      </c>
      <c r="B174" t="inlineStr">
        <is>
          <t>Ricardo Bedoya Peláez</t>
        </is>
      </c>
      <c r="C174" t="inlineStr">
        <is>
          <t>PRY-005</t>
        </is>
      </c>
      <c r="D174" t="inlineStr">
        <is>
          <t>Casa 8</t>
        </is>
      </c>
      <c r="E174" t="inlineStr">
        <is>
          <t>Sofía Prada</t>
        </is>
      </c>
      <c r="F174" t="inlineStr">
        <is>
          <t>Ganado</t>
        </is>
      </c>
      <c r="G174" t="n">
        <v>404000000</v>
      </c>
      <c r="H174" t="n">
        <v>1</v>
      </c>
      <c r="I174" s="28" t="n">
        <v>45411</v>
      </c>
      <c r="J174" s="28" t="n">
        <v>45467</v>
      </c>
      <c r="K174" t="n">
        <v>56</v>
      </c>
      <c r="L174" t="inlineStr">
        <is>
          <t>Promesa de compraventa firmada</t>
        </is>
      </c>
    </row>
    <row r="175" ht="15.75" customHeight="1" s="25">
      <c r="A175" t="inlineStr">
        <is>
          <t>NEG-0173</t>
        </is>
      </c>
      <c r="B175" t="inlineStr">
        <is>
          <t>Diego Salcedo Castaño</t>
        </is>
      </c>
      <c r="C175" t="inlineStr">
        <is>
          <t>PRY-005</t>
        </is>
      </c>
      <c r="D175" t="inlineStr">
        <is>
          <t>Apto 206</t>
        </is>
      </c>
      <c r="E175" t="inlineStr">
        <is>
          <t>Sofía Prada</t>
        </is>
      </c>
      <c r="F175" t="inlineStr">
        <is>
          <t>Ganado</t>
        </is>
      </c>
      <c r="G175" t="n">
        <v>371000000</v>
      </c>
      <c r="H175" t="n">
        <v>1</v>
      </c>
      <c r="I175" s="28" t="n">
        <v>45411</v>
      </c>
      <c r="J175" s="28" t="n">
        <v>45483</v>
      </c>
      <c r="K175" t="n">
        <v>72</v>
      </c>
      <c r="L175" t="inlineStr">
        <is>
          <t>Promesa de compraventa firmada</t>
        </is>
      </c>
    </row>
    <row r="176" ht="15.75" customHeight="1" s="25">
      <c r="A176" t="inlineStr">
        <is>
          <t>NEG-0174</t>
        </is>
      </c>
      <c r="B176" t="inlineStr">
        <is>
          <t>María Correa Zapata</t>
        </is>
      </c>
      <c r="C176" t="inlineStr">
        <is>
          <t>PRY-003</t>
        </is>
      </c>
      <c r="D176" t="inlineStr">
        <is>
          <t>Apto 2008</t>
        </is>
      </c>
      <c r="E176" t="inlineStr">
        <is>
          <t>Andrés Torres</t>
        </is>
      </c>
      <c r="F176" t="inlineStr">
        <is>
          <t>Ganado</t>
        </is>
      </c>
      <c r="G176" t="n">
        <v>333000000</v>
      </c>
      <c r="H176" t="n">
        <v>1</v>
      </c>
      <c r="I176" s="28" t="n">
        <v>45412</v>
      </c>
      <c r="J176" s="28" t="n">
        <v>45463</v>
      </c>
      <c r="K176" t="n">
        <v>51</v>
      </c>
      <c r="L176" t="inlineStr">
        <is>
          <t>Promesa de compraventa firmada</t>
        </is>
      </c>
    </row>
    <row r="177" ht="15.75" customHeight="1" s="25">
      <c r="A177" t="inlineStr">
        <is>
          <t>NEG-0175</t>
        </is>
      </c>
      <c r="B177" t="inlineStr">
        <is>
          <t>José Vásquez Álvarez</t>
        </is>
      </c>
      <c r="C177" t="inlineStr">
        <is>
          <t>PRY-004</t>
        </is>
      </c>
      <c r="D177" t="inlineStr">
        <is>
          <t>Casa 27</t>
        </is>
      </c>
      <c r="E177" t="inlineStr">
        <is>
          <t>Ana Quintero</t>
        </is>
      </c>
      <c r="F177" t="inlineStr">
        <is>
          <t>Ganado</t>
        </is>
      </c>
      <c r="G177" t="n">
        <v>535000000</v>
      </c>
      <c r="H177" t="n">
        <v>1</v>
      </c>
      <c r="I177" s="28" t="n">
        <v>45413</v>
      </c>
      <c r="J177" s="28" t="n">
        <v>45481</v>
      </c>
      <c r="K177" t="n">
        <v>68</v>
      </c>
      <c r="L177" t="inlineStr">
        <is>
          <t>Promesa de compraventa firmada</t>
        </is>
      </c>
    </row>
    <row r="178" ht="15.75" customHeight="1" s="25">
      <c r="A178" t="inlineStr">
        <is>
          <t>NEG-0176</t>
        </is>
      </c>
      <c r="B178" t="inlineStr">
        <is>
          <t>Andrés Jaramillo Echeverri</t>
        </is>
      </c>
      <c r="C178" t="inlineStr">
        <is>
          <t>PRY-004</t>
        </is>
      </c>
      <c r="D178" t="inlineStr">
        <is>
          <t>Casa 70</t>
        </is>
      </c>
      <c r="E178" t="inlineStr">
        <is>
          <t>Miguel Salazar</t>
        </is>
      </c>
      <c r="F178" t="inlineStr">
        <is>
          <t>Ganado</t>
        </is>
      </c>
      <c r="G178" t="n">
        <v>464000000</v>
      </c>
      <c r="H178" t="n">
        <v>1</v>
      </c>
      <c r="I178" s="28" t="n">
        <v>45414</v>
      </c>
      <c r="J178" s="28" t="n">
        <v>45510</v>
      </c>
      <c r="K178" t="n">
        <v>96</v>
      </c>
      <c r="L178" t="inlineStr">
        <is>
          <t>Promesa de compraventa firmada</t>
        </is>
      </c>
    </row>
    <row r="179" ht="15.75" customHeight="1" s="25">
      <c r="A179" t="inlineStr">
        <is>
          <t>NEG-0177</t>
        </is>
      </c>
      <c r="B179" t="inlineStr">
        <is>
          <t>Rodrigo Cifuentes Vargas</t>
        </is>
      </c>
      <c r="C179" t="inlineStr">
        <is>
          <t>PRY-001</t>
        </is>
      </c>
      <c r="D179" t="inlineStr">
        <is>
          <t>Apto 1603</t>
        </is>
      </c>
      <c r="E179" t="inlineStr">
        <is>
          <t>Andrés Torres</t>
        </is>
      </c>
      <c r="F179" t="inlineStr">
        <is>
          <t>Ganado</t>
        </is>
      </c>
      <c r="G179" t="n">
        <v>596000000</v>
      </c>
      <c r="H179" t="n">
        <v>1</v>
      </c>
      <c r="I179" s="28" t="n">
        <v>45417</v>
      </c>
      <c r="J179" s="28" t="n">
        <v>45526</v>
      </c>
      <c r="K179" t="n">
        <v>109</v>
      </c>
      <c r="L179" t="inlineStr">
        <is>
          <t>Promesa de compraventa firmada</t>
        </is>
      </c>
    </row>
    <row r="180" ht="15.75" customHeight="1" s="25">
      <c r="A180" t="inlineStr">
        <is>
          <t>NEG-0178</t>
        </is>
      </c>
      <c r="B180" t="inlineStr">
        <is>
          <t>Marcela Cardona Valencia</t>
        </is>
      </c>
      <c r="C180" t="inlineStr">
        <is>
          <t>PRY-005</t>
        </is>
      </c>
      <c r="D180" t="inlineStr">
        <is>
          <t>Apto 403</t>
        </is>
      </c>
      <c r="E180" t="inlineStr">
        <is>
          <t>Luis Bedoya</t>
        </is>
      </c>
      <c r="F180" t="inlineStr">
        <is>
          <t>Ganado</t>
        </is>
      </c>
      <c r="G180" t="n">
        <v>404000000</v>
      </c>
      <c r="H180" t="n">
        <v>1</v>
      </c>
      <c r="I180" s="28" t="n">
        <v>45417</v>
      </c>
      <c r="J180" s="28" t="n">
        <v>45498</v>
      </c>
      <c r="K180" t="n">
        <v>81</v>
      </c>
      <c r="L180" t="inlineStr">
        <is>
          <t>Promesa de compraventa firmada</t>
        </is>
      </c>
    </row>
    <row r="181" ht="15.75" customHeight="1" s="25">
      <c r="A181" t="inlineStr">
        <is>
          <t>NEG-0179</t>
        </is>
      </c>
      <c r="B181" t="inlineStr">
        <is>
          <t>Carlos Restrepo Toro</t>
        </is>
      </c>
      <c r="C181" t="inlineStr">
        <is>
          <t>PRY-003</t>
        </is>
      </c>
      <c r="D181" t="inlineStr">
        <is>
          <t>Apto 1907</t>
        </is>
      </c>
      <c r="E181" t="inlineStr">
        <is>
          <t>Luis Bedoya</t>
        </is>
      </c>
      <c r="F181" t="inlineStr">
        <is>
          <t>Ganado</t>
        </is>
      </c>
      <c r="G181" t="n">
        <v>408000000</v>
      </c>
      <c r="H181" t="n">
        <v>1</v>
      </c>
      <c r="I181" s="28" t="n">
        <v>45418</v>
      </c>
      <c r="J181" s="28" t="n">
        <v>45483</v>
      </c>
      <c r="K181" t="n">
        <v>65</v>
      </c>
      <c r="L181" t="inlineStr">
        <is>
          <t>Promesa de compraventa firmada</t>
        </is>
      </c>
    </row>
    <row r="182" ht="15.75" customHeight="1" s="25">
      <c r="A182" t="inlineStr">
        <is>
          <t>NEG-0180</t>
        </is>
      </c>
      <c r="B182" t="inlineStr">
        <is>
          <t>Fernando Echeverri Salazar</t>
        </is>
      </c>
      <c r="C182" t="inlineStr">
        <is>
          <t>PRY-003</t>
        </is>
      </c>
      <c r="D182" t="inlineStr">
        <is>
          <t>Apto 1106</t>
        </is>
      </c>
      <c r="E182" t="inlineStr">
        <is>
          <t>Santiago Muñoz</t>
        </is>
      </c>
      <c r="F182" t="inlineStr">
        <is>
          <t>Ganado</t>
        </is>
      </c>
      <c r="G182" t="n">
        <v>390000000</v>
      </c>
      <c r="H182" t="n">
        <v>1</v>
      </c>
      <c r="I182" s="28" t="n">
        <v>45418</v>
      </c>
      <c r="J182" s="28" t="n">
        <v>45493</v>
      </c>
      <c r="K182" t="n">
        <v>75</v>
      </c>
      <c r="L182" t="inlineStr">
        <is>
          <t>Promesa de compraventa firmada</t>
        </is>
      </c>
    </row>
    <row r="183" ht="15.75" customHeight="1" s="25">
      <c r="A183" t="inlineStr">
        <is>
          <t>NEG-0181</t>
        </is>
      </c>
      <c r="B183" t="inlineStr">
        <is>
          <t>Diana Vargas Ochoa</t>
        </is>
      </c>
      <c r="C183" t="inlineStr">
        <is>
          <t>PRY-005</t>
        </is>
      </c>
      <c r="D183" t="inlineStr">
        <is>
          <t>Casa 35</t>
        </is>
      </c>
      <c r="E183" t="inlineStr">
        <is>
          <t>Luis Bedoya</t>
        </is>
      </c>
      <c r="F183" t="inlineStr">
        <is>
          <t>Ganado</t>
        </is>
      </c>
      <c r="G183" t="n">
        <v>340000000</v>
      </c>
      <c r="H183" t="n">
        <v>1</v>
      </c>
      <c r="I183" s="28" t="n">
        <v>45418</v>
      </c>
      <c r="J183" s="28" t="n">
        <v>45535</v>
      </c>
      <c r="K183" t="n">
        <v>117</v>
      </c>
      <c r="L183" t="inlineStr">
        <is>
          <t>Promesa de compraventa firmada</t>
        </is>
      </c>
    </row>
    <row r="184" ht="15.75" customHeight="1" s="25">
      <c r="A184" t="inlineStr">
        <is>
          <t>NEG-0182</t>
        </is>
      </c>
      <c r="B184" t="inlineStr">
        <is>
          <t>Nicolás Marín Franco</t>
        </is>
      </c>
      <c r="C184" t="inlineStr">
        <is>
          <t>PRY-008</t>
        </is>
      </c>
      <c r="D184" t="inlineStr">
        <is>
          <t>Casa 28</t>
        </is>
      </c>
      <c r="E184" t="inlineStr">
        <is>
          <t>Santiago Muñoz</t>
        </is>
      </c>
      <c r="F184" t="inlineStr">
        <is>
          <t>Ganado</t>
        </is>
      </c>
      <c r="G184" t="n">
        <v>157000000</v>
      </c>
      <c r="H184" t="n">
        <v>1</v>
      </c>
      <c r="I184" s="28" t="n">
        <v>45418</v>
      </c>
      <c r="J184" s="28" t="n">
        <v>45457</v>
      </c>
      <c r="K184" t="n">
        <v>39</v>
      </c>
      <c r="L184" t="inlineStr">
        <is>
          <t>Promesa de compraventa firmada</t>
        </is>
      </c>
    </row>
    <row r="185" ht="15.75" customHeight="1" s="25">
      <c r="A185" t="inlineStr">
        <is>
          <t>NEG-0183</t>
        </is>
      </c>
      <c r="B185" t="inlineStr">
        <is>
          <t>Mateo Valencia Salcedo</t>
        </is>
      </c>
      <c r="C185" t="inlineStr">
        <is>
          <t>PRY-005</t>
        </is>
      </c>
      <c r="D185" t="inlineStr">
        <is>
          <t>Apto 1008</t>
        </is>
      </c>
      <c r="E185" t="inlineStr">
        <is>
          <t>Ana Quintero</t>
        </is>
      </c>
      <c r="F185" t="inlineStr">
        <is>
          <t>Ganado</t>
        </is>
      </c>
      <c r="G185" t="n">
        <v>444000000</v>
      </c>
      <c r="H185" t="n">
        <v>1</v>
      </c>
      <c r="I185" s="28" t="n">
        <v>45419</v>
      </c>
      <c r="J185" s="28" t="n">
        <v>45483</v>
      </c>
      <c r="K185" t="n">
        <v>64</v>
      </c>
      <c r="L185" t="inlineStr">
        <is>
          <t>Promesa de compraventa firmada</t>
        </is>
      </c>
    </row>
    <row r="186" ht="15.75" customHeight="1" s="25">
      <c r="A186" t="inlineStr">
        <is>
          <t>NEG-0184</t>
        </is>
      </c>
      <c r="B186" t="inlineStr">
        <is>
          <t>Natalia Álvarez Cano</t>
        </is>
      </c>
      <c r="C186" t="inlineStr">
        <is>
          <t>PRY-004</t>
        </is>
      </c>
      <c r="D186" t="inlineStr">
        <is>
          <t>Casa 20</t>
        </is>
      </c>
      <c r="E186" t="inlineStr">
        <is>
          <t>Ana Quintero</t>
        </is>
      </c>
      <c r="F186" t="inlineStr">
        <is>
          <t>Perdido</t>
        </is>
      </c>
      <c r="G186" t="n">
        <v>538000000</v>
      </c>
      <c r="H186" t="n">
        <v>0</v>
      </c>
      <c r="I186" s="28" t="n">
        <v>45420</v>
      </c>
      <c r="J186" s="28" t="n">
        <v>45462</v>
      </c>
      <c r="K186" t="n">
        <v>42</v>
      </c>
      <c r="L186" t="inlineStr">
        <is>
          <t>Crédito no aprobado</t>
        </is>
      </c>
    </row>
    <row r="187" ht="15.75" customHeight="1" s="25">
      <c r="A187" t="inlineStr">
        <is>
          <t>NEG-0185</t>
        </is>
      </c>
      <c r="B187" t="inlineStr">
        <is>
          <t>Mauricio Vásquez Escobar</t>
        </is>
      </c>
      <c r="C187" t="inlineStr">
        <is>
          <t>PRY-004</t>
        </is>
      </c>
      <c r="D187" t="inlineStr">
        <is>
          <t>Casa 19</t>
        </is>
      </c>
      <c r="E187" t="inlineStr">
        <is>
          <t>Paula Arenas</t>
        </is>
      </c>
      <c r="F187" t="inlineStr">
        <is>
          <t>Ganado</t>
        </is>
      </c>
      <c r="G187" t="n">
        <v>494000000</v>
      </c>
      <c r="H187" t="n">
        <v>1</v>
      </c>
      <c r="I187" s="28" t="n">
        <v>45421</v>
      </c>
      <c r="J187" s="28" t="n">
        <v>45508</v>
      </c>
      <c r="K187" t="n">
        <v>87</v>
      </c>
      <c r="L187" t="inlineStr">
        <is>
          <t>Promesa de compraventa firmada</t>
        </is>
      </c>
    </row>
    <row r="188" ht="15.75" customHeight="1" s="25">
      <c r="A188" t="inlineStr">
        <is>
          <t>NEG-0186</t>
        </is>
      </c>
      <c r="B188" t="inlineStr">
        <is>
          <t>José Correa Giraldo</t>
        </is>
      </c>
      <c r="C188" t="inlineStr">
        <is>
          <t>PRY-001</t>
        </is>
      </c>
      <c r="D188" t="inlineStr">
        <is>
          <t>Apto 803</t>
        </is>
      </c>
      <c r="E188" t="inlineStr">
        <is>
          <t>Paula Arenas</t>
        </is>
      </c>
      <c r="F188" t="inlineStr">
        <is>
          <t>Ganado</t>
        </is>
      </c>
      <c r="G188" t="n">
        <v>574000000</v>
      </c>
      <c r="H188" t="n">
        <v>1</v>
      </c>
      <c r="I188" s="28" t="n">
        <v>45423</v>
      </c>
      <c r="J188" s="28" t="n">
        <v>45487</v>
      </c>
      <c r="K188" t="n">
        <v>64</v>
      </c>
      <c r="L188" t="inlineStr">
        <is>
          <t>Promesa de compraventa firmada</t>
        </is>
      </c>
    </row>
    <row r="189" ht="15.75" customHeight="1" s="25">
      <c r="A189" t="inlineStr">
        <is>
          <t>NEG-0187</t>
        </is>
      </c>
      <c r="B189" t="inlineStr">
        <is>
          <t>Diana Jaramillo Marín</t>
        </is>
      </c>
      <c r="C189" t="inlineStr">
        <is>
          <t>PRY-008</t>
        </is>
      </c>
      <c r="D189" t="inlineStr">
        <is>
          <t>Casa 88</t>
        </is>
      </c>
      <c r="E189" t="inlineStr">
        <is>
          <t>Juliana Vélez</t>
        </is>
      </c>
      <c r="F189" t="inlineStr">
        <is>
          <t>Ganado</t>
        </is>
      </c>
      <c r="G189" t="n">
        <v>137000000</v>
      </c>
      <c r="H189" t="n">
        <v>1</v>
      </c>
      <c r="I189" s="28" t="n">
        <v>45423</v>
      </c>
      <c r="J189" s="28" t="n">
        <v>45457</v>
      </c>
      <c r="K189" t="n">
        <v>34</v>
      </c>
      <c r="L189" t="inlineStr">
        <is>
          <t>Promesa de compraventa firmada</t>
        </is>
      </c>
    </row>
    <row r="190" ht="15.75" customHeight="1" s="25">
      <c r="A190" t="inlineStr">
        <is>
          <t>NEG-0188</t>
        </is>
      </c>
      <c r="B190" t="inlineStr">
        <is>
          <t>Verónica Gaviria Pérez</t>
        </is>
      </c>
      <c r="C190" t="inlineStr">
        <is>
          <t>PRY-008</t>
        </is>
      </c>
      <c r="D190" t="inlineStr">
        <is>
          <t>Casa 85</t>
        </is>
      </c>
      <c r="E190" t="inlineStr">
        <is>
          <t>Sofía Prada</t>
        </is>
      </c>
      <c r="F190" t="inlineStr">
        <is>
          <t>Ganado</t>
        </is>
      </c>
      <c r="G190" t="n">
        <v>137000000</v>
      </c>
      <c r="H190" t="n">
        <v>1</v>
      </c>
      <c r="I190" s="28" t="n">
        <v>45423</v>
      </c>
      <c r="J190" s="28" t="n">
        <v>45476</v>
      </c>
      <c r="K190" t="n">
        <v>53</v>
      </c>
      <c r="L190" t="inlineStr">
        <is>
          <t>Promesa de compraventa firmada</t>
        </is>
      </c>
    </row>
    <row r="191" ht="15.75" customHeight="1" s="25">
      <c r="A191" t="inlineStr">
        <is>
          <t>NEG-0189</t>
        </is>
      </c>
      <c r="B191" t="inlineStr">
        <is>
          <t>Felipe Ramírez Escobar</t>
        </is>
      </c>
      <c r="C191" t="inlineStr">
        <is>
          <t>PRY-003</t>
        </is>
      </c>
      <c r="D191" t="inlineStr">
        <is>
          <t>Apto 2102</t>
        </is>
      </c>
      <c r="E191" t="inlineStr">
        <is>
          <t>Santiago Muñoz</t>
        </is>
      </c>
      <c r="F191" t="inlineStr">
        <is>
          <t>Ganado</t>
        </is>
      </c>
      <c r="G191" t="n">
        <v>334000000</v>
      </c>
      <c r="H191" t="n">
        <v>1</v>
      </c>
      <c r="I191" s="28" t="n">
        <v>45424</v>
      </c>
      <c r="J191" s="28" t="n">
        <v>45469</v>
      </c>
      <c r="K191" t="n">
        <v>45</v>
      </c>
      <c r="L191" t="inlineStr">
        <is>
          <t>Promesa de compraventa firmada</t>
        </is>
      </c>
    </row>
    <row r="192" ht="15.75" customHeight="1" s="25">
      <c r="A192" t="inlineStr">
        <is>
          <t>NEG-0190</t>
        </is>
      </c>
      <c r="B192" t="inlineStr">
        <is>
          <t>Valeria Bedoya Zapata</t>
        </is>
      </c>
      <c r="C192" t="inlineStr">
        <is>
          <t>PRY-003</t>
        </is>
      </c>
      <c r="D192" t="inlineStr">
        <is>
          <t>Apto 602</t>
        </is>
      </c>
      <c r="E192" t="inlineStr">
        <is>
          <t>Juliana Vélez</t>
        </is>
      </c>
      <c r="F192" t="inlineStr">
        <is>
          <t>Ganado</t>
        </is>
      </c>
      <c r="G192" t="n">
        <v>339000000</v>
      </c>
      <c r="H192" t="n">
        <v>1</v>
      </c>
      <c r="I192" s="28" t="n">
        <v>45425</v>
      </c>
      <c r="J192" s="28" t="n">
        <v>45466</v>
      </c>
      <c r="K192" t="n">
        <v>41</v>
      </c>
      <c r="L192" t="inlineStr">
        <is>
          <t>Promesa de compraventa firmada</t>
        </is>
      </c>
    </row>
    <row r="193" ht="15.75" customHeight="1" s="25">
      <c r="A193" t="inlineStr">
        <is>
          <t>NEG-0191</t>
        </is>
      </c>
      <c r="B193" t="inlineStr">
        <is>
          <t>Laura Duque Cardona</t>
        </is>
      </c>
      <c r="C193" t="inlineStr">
        <is>
          <t>PRY-008</t>
        </is>
      </c>
      <c r="D193" t="inlineStr">
        <is>
          <t>Casa 109</t>
        </is>
      </c>
      <c r="E193" t="inlineStr">
        <is>
          <t>Santiago Muñoz</t>
        </is>
      </c>
      <c r="F193" t="inlineStr">
        <is>
          <t>Ganado</t>
        </is>
      </c>
      <c r="G193" t="n">
        <v>137000000</v>
      </c>
      <c r="H193" t="n">
        <v>1</v>
      </c>
      <c r="I193" s="28" t="n">
        <v>45425</v>
      </c>
      <c r="J193" s="28" t="n">
        <v>45471</v>
      </c>
      <c r="K193" t="n">
        <v>46</v>
      </c>
      <c r="L193" t="inlineStr">
        <is>
          <t>Promesa de compraventa firmada</t>
        </is>
      </c>
    </row>
    <row r="194" ht="15.75" customHeight="1" s="25">
      <c r="A194" t="inlineStr">
        <is>
          <t>NEG-0192</t>
        </is>
      </c>
      <c r="B194" t="inlineStr">
        <is>
          <t>Catalina Pérez Henao</t>
        </is>
      </c>
      <c r="C194" t="inlineStr">
        <is>
          <t>PRY-005</t>
        </is>
      </c>
      <c r="D194" t="inlineStr">
        <is>
          <t>Apto 307</t>
        </is>
      </c>
      <c r="E194" t="inlineStr">
        <is>
          <t>Andrés Torres</t>
        </is>
      </c>
      <c r="F194" t="inlineStr">
        <is>
          <t>Ganado</t>
        </is>
      </c>
      <c r="G194" t="n">
        <v>435000000</v>
      </c>
      <c r="H194" t="n">
        <v>1</v>
      </c>
      <c r="I194" s="28" t="n">
        <v>45429</v>
      </c>
      <c r="J194" s="28" t="n">
        <v>45488</v>
      </c>
      <c r="K194" t="n">
        <v>59</v>
      </c>
      <c r="L194" t="inlineStr">
        <is>
          <t>Promesa de compraventa firmada</t>
        </is>
      </c>
    </row>
    <row r="195" ht="15.75" customHeight="1" s="25">
      <c r="A195" t="inlineStr">
        <is>
          <t>NEG-0193</t>
        </is>
      </c>
      <c r="B195" t="inlineStr">
        <is>
          <t>Sara Muñoz Bedoya</t>
        </is>
      </c>
      <c r="C195" t="inlineStr">
        <is>
          <t>PRY-005</t>
        </is>
      </c>
      <c r="D195" t="inlineStr">
        <is>
          <t>Casa 2</t>
        </is>
      </c>
      <c r="E195" t="inlineStr">
        <is>
          <t>Santiago Muñoz</t>
        </is>
      </c>
      <c r="F195" t="inlineStr">
        <is>
          <t>Ganado</t>
        </is>
      </c>
      <c r="G195" t="n">
        <v>434000000</v>
      </c>
      <c r="H195" t="n">
        <v>1</v>
      </c>
      <c r="I195" s="28" t="n">
        <v>45431</v>
      </c>
      <c r="J195" s="28" t="n">
        <v>45544</v>
      </c>
      <c r="K195" t="n">
        <v>113</v>
      </c>
      <c r="L195" t="inlineStr">
        <is>
          <t>Promesa de compraventa firmada</t>
        </is>
      </c>
    </row>
    <row r="196" ht="15.75" customHeight="1" s="25">
      <c r="A196" t="inlineStr">
        <is>
          <t>NEG-0194</t>
        </is>
      </c>
      <c r="B196" t="inlineStr">
        <is>
          <t>David Valencia Peláez</t>
        </is>
      </c>
      <c r="C196" t="inlineStr">
        <is>
          <t>PRY-001</t>
        </is>
      </c>
      <c r="D196" t="inlineStr">
        <is>
          <t>Apto 1306</t>
        </is>
      </c>
      <c r="E196" t="inlineStr">
        <is>
          <t>Sofía Prada</t>
        </is>
      </c>
      <c r="F196" t="inlineStr">
        <is>
          <t>Ganado</t>
        </is>
      </c>
      <c r="G196" t="n">
        <v>682000000</v>
      </c>
      <c r="H196" t="n">
        <v>1</v>
      </c>
      <c r="I196" s="28" t="n">
        <v>45433</v>
      </c>
      <c r="J196" s="28" t="n">
        <v>45515</v>
      </c>
      <c r="K196" t="n">
        <v>82</v>
      </c>
      <c r="L196" t="inlineStr">
        <is>
          <t>Promesa de compraventa firmada</t>
        </is>
      </c>
    </row>
    <row r="197" ht="15.75" customHeight="1" s="25">
      <c r="A197" t="inlineStr">
        <is>
          <t>NEG-0195</t>
        </is>
      </c>
      <c r="B197" t="inlineStr">
        <is>
          <t>Santiago Valencia Duque</t>
        </is>
      </c>
      <c r="C197" t="inlineStr">
        <is>
          <t>PRY-003</t>
        </is>
      </c>
      <c r="D197" t="inlineStr">
        <is>
          <t>Apto 1402</t>
        </is>
      </c>
      <c r="E197" t="inlineStr">
        <is>
          <t>Luis Bedoya</t>
        </is>
      </c>
      <c r="F197" t="inlineStr">
        <is>
          <t>Perdido</t>
        </is>
      </c>
      <c r="G197" t="n">
        <v>294000000</v>
      </c>
      <c r="H197" t="n">
        <v>0</v>
      </c>
      <c r="I197" s="28" t="n">
        <v>45434</v>
      </c>
      <c r="J197" s="28" t="n">
        <v>45459</v>
      </c>
      <c r="K197" t="n">
        <v>25</v>
      </c>
      <c r="L197" t="inlineStr">
        <is>
          <t>Desistió de la compra</t>
        </is>
      </c>
    </row>
    <row r="198" ht="15.75" customHeight="1" s="25">
      <c r="A198" t="inlineStr">
        <is>
          <t>NEG-0196</t>
        </is>
      </c>
      <c r="B198" t="inlineStr">
        <is>
          <t>Mónica Osorio Arango</t>
        </is>
      </c>
      <c r="C198" t="inlineStr">
        <is>
          <t>PRY-003</t>
        </is>
      </c>
      <c r="D198" t="inlineStr">
        <is>
          <t>Apto 1506</t>
        </is>
      </c>
      <c r="E198" t="inlineStr">
        <is>
          <t>Luis Bedoya</t>
        </is>
      </c>
      <c r="F198" t="inlineStr">
        <is>
          <t>Ganado</t>
        </is>
      </c>
      <c r="G198" t="n">
        <v>319000000</v>
      </c>
      <c r="H198" t="n">
        <v>1</v>
      </c>
      <c r="I198" s="28" t="n">
        <v>45437</v>
      </c>
      <c r="J198" s="28" t="n">
        <v>45482</v>
      </c>
      <c r="K198" t="n">
        <v>45</v>
      </c>
      <c r="L198" t="inlineStr">
        <is>
          <t>Promesa de compraventa firmada</t>
        </is>
      </c>
    </row>
    <row r="199" ht="15.75" customHeight="1" s="25">
      <c r="A199" t="inlineStr">
        <is>
          <t>NEG-0197</t>
        </is>
      </c>
      <c r="B199" t="inlineStr">
        <is>
          <t>Paola Echeverri Montoya</t>
        </is>
      </c>
      <c r="C199" t="inlineStr">
        <is>
          <t>PRY-008</t>
        </is>
      </c>
      <c r="D199" t="inlineStr">
        <is>
          <t>Casa 48</t>
        </is>
      </c>
      <c r="E199" t="inlineStr">
        <is>
          <t>Ana Quintero</t>
        </is>
      </c>
      <c r="F199" t="inlineStr">
        <is>
          <t>Perdido</t>
        </is>
      </c>
      <c r="G199" t="n">
        <v>171000000</v>
      </c>
      <c r="H199" t="n">
        <v>0</v>
      </c>
      <c r="I199" s="28" t="n">
        <v>45437</v>
      </c>
      <c r="J199" s="28" t="n">
        <v>45481</v>
      </c>
      <c r="K199" t="n">
        <v>44</v>
      </c>
      <c r="L199" t="inlineStr">
        <is>
          <t>Crédito no aprobado</t>
        </is>
      </c>
    </row>
    <row r="200" ht="15.75" customHeight="1" s="25">
      <c r="A200" t="inlineStr">
        <is>
          <t>NEG-0198</t>
        </is>
      </c>
      <c r="B200" t="inlineStr">
        <is>
          <t>Diego Zuluaga Montes</t>
        </is>
      </c>
      <c r="C200" t="inlineStr">
        <is>
          <t>PRY-003</t>
        </is>
      </c>
      <c r="D200" t="inlineStr">
        <is>
          <t>Apto 1606</t>
        </is>
      </c>
      <c r="E200" t="inlineStr">
        <is>
          <t>Sofía Prada</t>
        </is>
      </c>
      <c r="F200" t="inlineStr">
        <is>
          <t>Ganado</t>
        </is>
      </c>
      <c r="G200" t="n">
        <v>398000000</v>
      </c>
      <c r="H200" t="n">
        <v>1</v>
      </c>
      <c r="I200" s="28" t="n">
        <v>45439</v>
      </c>
      <c r="J200" s="28" t="n">
        <v>45516</v>
      </c>
      <c r="K200" t="n">
        <v>77</v>
      </c>
      <c r="L200" t="inlineStr">
        <is>
          <t>Promesa de compraventa firmada</t>
        </is>
      </c>
    </row>
    <row r="201" ht="15.75" customHeight="1" s="25">
      <c r="A201" t="inlineStr">
        <is>
          <t>NEG-0199</t>
        </is>
      </c>
      <c r="B201" t="inlineStr">
        <is>
          <t>María Restrepo Ramírez</t>
        </is>
      </c>
      <c r="C201" t="inlineStr">
        <is>
          <t>PRY-004</t>
        </is>
      </c>
      <c r="D201" t="inlineStr">
        <is>
          <t>Casa 75</t>
        </is>
      </c>
      <c r="E201" t="inlineStr">
        <is>
          <t>Andrés Torres</t>
        </is>
      </c>
      <c r="F201" t="inlineStr">
        <is>
          <t>Ganado</t>
        </is>
      </c>
      <c r="G201" t="n">
        <v>523000000</v>
      </c>
      <c r="H201" t="n">
        <v>1</v>
      </c>
      <c r="I201" s="28" t="n">
        <v>45440</v>
      </c>
      <c r="J201" s="28" t="n">
        <v>45540</v>
      </c>
      <c r="K201" t="n">
        <v>100</v>
      </c>
      <c r="L201" t="inlineStr">
        <is>
          <t>Promesa de compraventa firmada</t>
        </is>
      </c>
    </row>
    <row r="202" ht="15.75" customHeight="1" s="25">
      <c r="A202" t="inlineStr">
        <is>
          <t>NEG-0200</t>
        </is>
      </c>
      <c r="B202" t="inlineStr">
        <is>
          <t>Paula Vélez Álvarez</t>
        </is>
      </c>
      <c r="C202" t="inlineStr">
        <is>
          <t>PRY-003</t>
        </is>
      </c>
      <c r="D202" t="inlineStr">
        <is>
          <t>Apto 207</t>
        </is>
      </c>
      <c r="E202" t="inlineStr">
        <is>
          <t>Santiago Muñoz</t>
        </is>
      </c>
      <c r="F202" t="inlineStr">
        <is>
          <t>Ganado</t>
        </is>
      </c>
      <c r="G202" t="n">
        <v>373000000</v>
      </c>
      <c r="H202" t="n">
        <v>1</v>
      </c>
      <c r="I202" s="28" t="n">
        <v>45444</v>
      </c>
      <c r="J202" s="28" t="n">
        <v>45519</v>
      </c>
      <c r="K202" t="n">
        <v>75</v>
      </c>
      <c r="L202" t="inlineStr">
        <is>
          <t>Promesa de compraventa firmada</t>
        </is>
      </c>
    </row>
    <row r="203" ht="15.75" customHeight="1" s="25">
      <c r="A203" t="inlineStr">
        <is>
          <t>NEG-0201</t>
        </is>
      </c>
      <c r="B203" t="inlineStr">
        <is>
          <t>Julián Bedoya Escobar</t>
        </is>
      </c>
      <c r="C203" t="inlineStr">
        <is>
          <t>PRY-005</t>
        </is>
      </c>
      <c r="D203" t="inlineStr">
        <is>
          <t>Casa 19</t>
        </is>
      </c>
      <c r="E203" t="inlineStr">
        <is>
          <t>Miguel Salazar</t>
        </is>
      </c>
      <c r="F203" t="inlineStr">
        <is>
          <t>Perdido</t>
        </is>
      </c>
      <c r="G203" t="n">
        <v>356000000</v>
      </c>
      <c r="H203" t="n">
        <v>0</v>
      </c>
      <c r="I203" s="28" t="n">
        <v>45445</v>
      </c>
      <c r="J203" s="28" t="n">
        <v>45514</v>
      </c>
      <c r="K203" t="n">
        <v>69</v>
      </c>
      <c r="L203" t="inlineStr">
        <is>
          <t>Precio fuera de presupuesto</t>
        </is>
      </c>
    </row>
    <row r="204" ht="15.75" customHeight="1" s="25">
      <c r="A204" t="inlineStr">
        <is>
          <t>NEG-0202</t>
        </is>
      </c>
      <c r="B204" t="inlineStr">
        <is>
          <t>Isabel Zapata Zapata</t>
        </is>
      </c>
      <c r="C204" t="inlineStr">
        <is>
          <t>PRY-005</t>
        </is>
      </c>
      <c r="D204" t="inlineStr">
        <is>
          <t>Apto 508</t>
        </is>
      </c>
      <c r="E204" t="inlineStr">
        <is>
          <t>Santiago Muñoz</t>
        </is>
      </c>
      <c r="F204" t="inlineStr">
        <is>
          <t>Ganado</t>
        </is>
      </c>
      <c r="G204" t="n">
        <v>334000000</v>
      </c>
      <c r="H204" t="n">
        <v>1</v>
      </c>
      <c r="I204" s="28" t="n">
        <v>45446</v>
      </c>
      <c r="J204" s="28" t="n">
        <v>45506</v>
      </c>
      <c r="K204" t="n">
        <v>60</v>
      </c>
      <c r="L204" t="inlineStr">
        <is>
          <t>Promesa de compraventa firmada</t>
        </is>
      </c>
    </row>
    <row r="205" ht="15.75" customHeight="1" s="25">
      <c r="A205" t="inlineStr">
        <is>
          <t>NEG-0203</t>
        </is>
      </c>
      <c r="B205" t="inlineStr">
        <is>
          <t>Sebastián Vélez Sánchez</t>
        </is>
      </c>
      <c r="C205" t="inlineStr">
        <is>
          <t>PRY-001</t>
        </is>
      </c>
      <c r="D205" t="inlineStr">
        <is>
          <t>Apto 504</t>
        </is>
      </c>
      <c r="E205" t="inlineStr">
        <is>
          <t>Santiago Muñoz</t>
        </is>
      </c>
      <c r="F205" t="inlineStr">
        <is>
          <t>Perdido</t>
        </is>
      </c>
      <c r="G205" t="n">
        <v>667000000</v>
      </c>
      <c r="H205" t="n">
        <v>0</v>
      </c>
      <c r="I205" s="28" t="n">
        <v>45447</v>
      </c>
      <c r="J205" s="28" t="n">
        <v>45484</v>
      </c>
      <c r="K205" t="n">
        <v>37</v>
      </c>
      <c r="L205" t="inlineStr">
        <is>
          <t>Cambió de ciudad</t>
        </is>
      </c>
    </row>
    <row r="206" ht="15.75" customHeight="1" s="25">
      <c r="A206" t="inlineStr">
        <is>
          <t>NEG-0204</t>
        </is>
      </c>
      <c r="B206" t="inlineStr">
        <is>
          <t>Sofía Londoño Gómez</t>
        </is>
      </c>
      <c r="C206" t="inlineStr">
        <is>
          <t>PRY-004</t>
        </is>
      </c>
      <c r="D206" t="inlineStr">
        <is>
          <t>Casa 68</t>
        </is>
      </c>
      <c r="E206" t="inlineStr">
        <is>
          <t>Sofía Prada</t>
        </is>
      </c>
      <c r="F206" t="inlineStr">
        <is>
          <t>Ganado</t>
        </is>
      </c>
      <c r="G206" t="n">
        <v>445000000</v>
      </c>
      <c r="H206" t="n">
        <v>1</v>
      </c>
      <c r="I206" s="28" t="n">
        <v>45448</v>
      </c>
      <c r="J206" s="28" t="n">
        <v>45501</v>
      </c>
      <c r="K206" t="n">
        <v>53</v>
      </c>
      <c r="L206" t="inlineStr">
        <is>
          <t>Promesa de compraventa firmada</t>
        </is>
      </c>
    </row>
    <row r="207" ht="15.75" customHeight="1" s="25">
      <c r="A207" t="inlineStr">
        <is>
          <t>NEG-0205</t>
        </is>
      </c>
      <c r="B207" t="inlineStr">
        <is>
          <t>Patricia Montoya Hernández</t>
        </is>
      </c>
      <c r="C207" t="inlineStr">
        <is>
          <t>PRY-005</t>
        </is>
      </c>
      <c r="D207" t="inlineStr">
        <is>
          <t>Apto 304</t>
        </is>
      </c>
      <c r="E207" t="inlineStr">
        <is>
          <t>Ana Quintero</t>
        </is>
      </c>
      <c r="F207" t="inlineStr">
        <is>
          <t>Perdido</t>
        </is>
      </c>
      <c r="G207" t="n">
        <v>309000000</v>
      </c>
      <c r="H207" t="n">
        <v>0</v>
      </c>
      <c r="I207" s="28" t="n">
        <v>45448</v>
      </c>
      <c r="J207" s="28" t="n">
        <v>45508</v>
      </c>
      <c r="K207" t="n">
        <v>60</v>
      </c>
      <c r="L207" t="inlineStr">
        <is>
          <t>Precio fuera de presupuesto</t>
        </is>
      </c>
    </row>
    <row r="208" ht="15.75" customHeight="1" s="25">
      <c r="A208" t="inlineStr">
        <is>
          <t>NEG-0206</t>
        </is>
      </c>
      <c r="B208" t="inlineStr">
        <is>
          <t>Lorena Henao Duque</t>
        </is>
      </c>
      <c r="C208" t="inlineStr">
        <is>
          <t>PRY-004</t>
        </is>
      </c>
      <c r="D208" t="inlineStr">
        <is>
          <t>Casa 65</t>
        </is>
      </c>
      <c r="E208" t="inlineStr">
        <is>
          <t>Ana Quintero</t>
        </is>
      </c>
      <c r="F208" t="inlineStr">
        <is>
          <t>Perdido</t>
        </is>
      </c>
      <c r="G208" t="n">
        <v>536000000</v>
      </c>
      <c r="H208" t="n">
        <v>0</v>
      </c>
      <c r="I208" s="28" t="n">
        <v>45449</v>
      </c>
      <c r="J208" s="28" t="n">
        <v>45512</v>
      </c>
      <c r="K208" t="n">
        <v>63</v>
      </c>
      <c r="L208" t="inlineStr">
        <is>
          <t>Desistió de la compra</t>
        </is>
      </c>
    </row>
    <row r="209" ht="15.75" customHeight="1" s="25">
      <c r="A209" t="inlineStr">
        <is>
          <t>NEG-0207</t>
        </is>
      </c>
      <c r="B209" t="inlineStr">
        <is>
          <t>Jhon Gaviria Higuita</t>
        </is>
      </c>
      <c r="C209" t="inlineStr">
        <is>
          <t>PRY-001</t>
        </is>
      </c>
      <c r="D209" t="inlineStr">
        <is>
          <t>Apto 506</t>
        </is>
      </c>
      <c r="E209" t="inlineStr">
        <is>
          <t>Luis Bedoya</t>
        </is>
      </c>
      <c r="F209" t="inlineStr">
        <is>
          <t>Ganado</t>
        </is>
      </c>
      <c r="G209" t="n">
        <v>585000000</v>
      </c>
      <c r="H209" t="n">
        <v>1</v>
      </c>
      <c r="I209" s="28" t="n">
        <v>45450</v>
      </c>
      <c r="J209" s="28" t="n">
        <v>45507</v>
      </c>
      <c r="K209" t="n">
        <v>57</v>
      </c>
      <c r="L209" t="inlineStr">
        <is>
          <t>Promesa de compraventa firmada</t>
        </is>
      </c>
    </row>
    <row r="210" ht="15.75" customHeight="1" s="25">
      <c r="A210" t="inlineStr">
        <is>
          <t>NEG-0208</t>
        </is>
      </c>
      <c r="B210" t="inlineStr">
        <is>
          <t>Ximena López Osorio</t>
        </is>
      </c>
      <c r="C210" t="inlineStr">
        <is>
          <t>PRY-003</t>
        </is>
      </c>
      <c r="D210" t="inlineStr">
        <is>
          <t>Apto 1801</t>
        </is>
      </c>
      <c r="E210" t="inlineStr">
        <is>
          <t>Miguel Salazar</t>
        </is>
      </c>
      <c r="F210" t="inlineStr">
        <is>
          <t>Perdido</t>
        </is>
      </c>
      <c r="G210" t="n">
        <v>356000000</v>
      </c>
      <c r="H210" t="n">
        <v>0</v>
      </c>
      <c r="I210" s="28" t="n">
        <v>45451</v>
      </c>
      <c r="J210" s="28" t="n">
        <v>45488</v>
      </c>
      <c r="K210" t="n">
        <v>37</v>
      </c>
      <c r="L210" t="inlineStr">
        <is>
          <t>No volvió a responder</t>
        </is>
      </c>
    </row>
    <row r="211" ht="15.75" customHeight="1" s="25">
      <c r="A211" t="inlineStr">
        <is>
          <t>NEG-0209</t>
        </is>
      </c>
      <c r="B211" t="inlineStr">
        <is>
          <t>Daniela Henao Palacio</t>
        </is>
      </c>
      <c r="C211" t="inlineStr">
        <is>
          <t>PRY-008</t>
        </is>
      </c>
      <c r="D211" t="inlineStr">
        <is>
          <t>Casa 26</t>
        </is>
      </c>
      <c r="E211" t="inlineStr">
        <is>
          <t>Ana Quintero</t>
        </is>
      </c>
      <c r="F211" t="inlineStr">
        <is>
          <t>Ganado</t>
        </is>
      </c>
      <c r="G211" t="n">
        <v>149000000</v>
      </c>
      <c r="H211" t="n">
        <v>1</v>
      </c>
      <c r="I211" s="28" t="n">
        <v>45452</v>
      </c>
      <c r="J211" s="28" t="n">
        <v>45499</v>
      </c>
      <c r="K211" t="n">
        <v>47</v>
      </c>
      <c r="L211" t="inlineStr">
        <is>
          <t>Promesa de compraventa firmada</t>
        </is>
      </c>
    </row>
    <row r="212" ht="15.75" customHeight="1" s="25">
      <c r="A212" t="inlineStr">
        <is>
          <t>NEG-0210</t>
        </is>
      </c>
      <c r="B212" t="inlineStr">
        <is>
          <t>Diego Escobar Hernández</t>
        </is>
      </c>
      <c r="C212" t="inlineStr">
        <is>
          <t>PRY-003</t>
        </is>
      </c>
      <c r="D212" t="inlineStr">
        <is>
          <t>Apto 202</t>
        </is>
      </c>
      <c r="E212" t="inlineStr">
        <is>
          <t>Luis Bedoya</t>
        </is>
      </c>
      <c r="F212" t="inlineStr">
        <is>
          <t>Ganado</t>
        </is>
      </c>
      <c r="G212" t="n">
        <v>357000000</v>
      </c>
      <c r="H212" t="n">
        <v>1</v>
      </c>
      <c r="I212" s="28" t="n">
        <v>45455</v>
      </c>
      <c r="J212" s="28" t="n">
        <v>45545</v>
      </c>
      <c r="K212" t="n">
        <v>90</v>
      </c>
      <c r="L212" t="inlineStr">
        <is>
          <t>Promesa de compraventa firmada</t>
        </is>
      </c>
    </row>
    <row r="213" ht="15.75" customHeight="1" s="25">
      <c r="A213" t="inlineStr">
        <is>
          <t>NEG-0211</t>
        </is>
      </c>
      <c r="B213" t="inlineStr">
        <is>
          <t>Catalina López Mejía</t>
        </is>
      </c>
      <c r="C213" t="inlineStr">
        <is>
          <t>PRY-005</t>
        </is>
      </c>
      <c r="D213" t="inlineStr">
        <is>
          <t>Apto 1401</t>
        </is>
      </c>
      <c r="E213" t="inlineStr">
        <is>
          <t>Juliana Vélez</t>
        </is>
      </c>
      <c r="F213" t="inlineStr">
        <is>
          <t>Ganado</t>
        </is>
      </c>
      <c r="G213" t="n">
        <v>373000000</v>
      </c>
      <c r="H213" t="n">
        <v>1</v>
      </c>
      <c r="I213" s="28" t="n">
        <v>45456</v>
      </c>
      <c r="J213" s="28" t="n">
        <v>45519</v>
      </c>
      <c r="K213" t="n">
        <v>63</v>
      </c>
      <c r="L213" t="inlineStr">
        <is>
          <t>Promesa de compraventa firmada</t>
        </is>
      </c>
    </row>
    <row r="214" ht="15.75" customHeight="1" s="25">
      <c r="A214" t="inlineStr">
        <is>
          <t>NEG-0212</t>
        </is>
      </c>
      <c r="B214" t="inlineStr">
        <is>
          <t>Isabel Pérez Echeverri</t>
        </is>
      </c>
      <c r="C214" t="inlineStr">
        <is>
          <t>PRY-004</t>
        </is>
      </c>
      <c r="D214" t="inlineStr">
        <is>
          <t>Casa 21</t>
        </is>
      </c>
      <c r="E214" t="inlineStr">
        <is>
          <t>Santiago Muñoz</t>
        </is>
      </c>
      <c r="F214" t="inlineStr">
        <is>
          <t>Ganado</t>
        </is>
      </c>
      <c r="G214" t="n">
        <v>464000000</v>
      </c>
      <c r="H214" t="n">
        <v>1</v>
      </c>
      <c r="I214" s="28" t="n">
        <v>45457</v>
      </c>
      <c r="J214" s="28" t="n">
        <v>45531</v>
      </c>
      <c r="K214" t="n">
        <v>74</v>
      </c>
      <c r="L214" t="inlineStr">
        <is>
          <t>Promesa de compraventa firmada</t>
        </is>
      </c>
    </row>
    <row r="215" ht="15.75" customHeight="1" s="25">
      <c r="A215" t="inlineStr">
        <is>
          <t>NEG-0213</t>
        </is>
      </c>
      <c r="B215" t="inlineStr">
        <is>
          <t>Paola Echeverri Osorio</t>
        </is>
      </c>
      <c r="C215" t="inlineStr">
        <is>
          <t>PRY-007</t>
        </is>
      </c>
      <c r="D215" t="inlineStr">
        <is>
          <t>Apto 406</t>
        </is>
      </c>
      <c r="E215" t="inlineStr">
        <is>
          <t>Paula Arenas</t>
        </is>
      </c>
      <c r="F215" t="inlineStr">
        <is>
          <t>Ganado</t>
        </is>
      </c>
      <c r="G215" t="n">
        <v>602000000</v>
      </c>
      <c r="H215" t="n">
        <v>1</v>
      </c>
      <c r="I215" s="28" t="n">
        <v>45457</v>
      </c>
      <c r="J215" s="28" t="n">
        <v>45566</v>
      </c>
      <c r="K215" t="n">
        <v>109</v>
      </c>
      <c r="L215" t="inlineStr">
        <is>
          <t>Promesa de compraventa firmada</t>
        </is>
      </c>
    </row>
    <row r="216" ht="15.75" customHeight="1" s="25">
      <c r="A216" t="inlineStr">
        <is>
          <t>NEG-0214</t>
        </is>
      </c>
      <c r="B216" t="inlineStr">
        <is>
          <t>Cristian Sánchez Hernández</t>
        </is>
      </c>
      <c r="C216" t="inlineStr">
        <is>
          <t>PRY-003</t>
        </is>
      </c>
      <c r="D216" t="inlineStr">
        <is>
          <t>Apto 2604</t>
        </is>
      </c>
      <c r="E216" t="inlineStr">
        <is>
          <t>Sofía Prada</t>
        </is>
      </c>
      <c r="F216" t="inlineStr">
        <is>
          <t>Ganado</t>
        </is>
      </c>
      <c r="G216" t="n">
        <v>303000000</v>
      </c>
      <c r="H216" t="n">
        <v>1</v>
      </c>
      <c r="I216" s="28" t="n">
        <v>45459</v>
      </c>
      <c r="J216" s="28" t="n">
        <v>45502</v>
      </c>
      <c r="K216" t="n">
        <v>43</v>
      </c>
      <c r="L216" t="inlineStr">
        <is>
          <t>Promesa de compraventa firmada</t>
        </is>
      </c>
    </row>
    <row r="217" ht="15.75" customHeight="1" s="25">
      <c r="A217" t="inlineStr">
        <is>
          <t>NEG-0215</t>
        </is>
      </c>
      <c r="B217" t="inlineStr">
        <is>
          <t>Laura Palacio Arango</t>
        </is>
      </c>
      <c r="C217" t="inlineStr">
        <is>
          <t>PRY-003</t>
        </is>
      </c>
      <c r="D217" t="inlineStr">
        <is>
          <t>Apto 1208</t>
        </is>
      </c>
      <c r="E217" t="inlineStr">
        <is>
          <t>Ana Quintero</t>
        </is>
      </c>
      <c r="F217" t="inlineStr">
        <is>
          <t>Ganado</t>
        </is>
      </c>
      <c r="G217" t="n">
        <v>372000000</v>
      </c>
      <c r="H217" t="n">
        <v>1</v>
      </c>
      <c r="I217" s="28" t="n">
        <v>45459</v>
      </c>
      <c r="J217" s="28" t="n">
        <v>45547</v>
      </c>
      <c r="K217" t="n">
        <v>88</v>
      </c>
      <c r="L217" t="inlineStr">
        <is>
          <t>Promesa de compraventa firmada</t>
        </is>
      </c>
    </row>
    <row r="218" ht="15.75" customHeight="1" s="25">
      <c r="A218" t="inlineStr">
        <is>
          <t>NEG-0216</t>
        </is>
      </c>
      <c r="B218" t="inlineStr">
        <is>
          <t>Alejandra Ochoa Ochoa</t>
        </is>
      </c>
      <c r="C218" t="inlineStr">
        <is>
          <t>PRY-007</t>
        </is>
      </c>
      <c r="D218" t="inlineStr">
        <is>
          <t>Apto 1201</t>
        </is>
      </c>
      <c r="E218" t="inlineStr">
        <is>
          <t>Paula Arenas</t>
        </is>
      </c>
      <c r="F218" t="inlineStr">
        <is>
          <t>Perdido</t>
        </is>
      </c>
      <c r="G218" t="n">
        <v>534000000</v>
      </c>
      <c r="H218" t="n">
        <v>0</v>
      </c>
      <c r="I218" s="28" t="n">
        <v>45459</v>
      </c>
      <c r="J218" s="28" t="n">
        <v>45562</v>
      </c>
      <c r="K218" t="n">
        <v>103</v>
      </c>
      <c r="L218" t="inlineStr">
        <is>
          <t>No volvió a responder</t>
        </is>
      </c>
    </row>
    <row r="219" ht="15.75" customHeight="1" s="25">
      <c r="A219" t="inlineStr">
        <is>
          <t>NEG-0217</t>
        </is>
      </c>
      <c r="B219" t="inlineStr">
        <is>
          <t>Mariana Vargas Gaviria</t>
        </is>
      </c>
      <c r="C219" t="inlineStr">
        <is>
          <t>PRY-003</t>
        </is>
      </c>
      <c r="D219" t="inlineStr">
        <is>
          <t>Apto 2208</t>
        </is>
      </c>
      <c r="E219" t="inlineStr">
        <is>
          <t>Ana Quintero</t>
        </is>
      </c>
      <c r="F219" t="inlineStr">
        <is>
          <t>Perdido</t>
        </is>
      </c>
      <c r="G219" t="n">
        <v>384000000</v>
      </c>
      <c r="H219" t="n">
        <v>0</v>
      </c>
      <c r="I219" s="28" t="n">
        <v>45460</v>
      </c>
      <c r="J219" s="28" t="n">
        <v>45526</v>
      </c>
      <c r="K219" t="n">
        <v>66</v>
      </c>
      <c r="L219" t="inlineStr">
        <is>
          <t>Eligió otro proyecto</t>
        </is>
      </c>
    </row>
    <row r="220" ht="15.75" customHeight="1" s="25">
      <c r="A220" t="inlineStr">
        <is>
          <t>NEG-0218</t>
        </is>
      </c>
      <c r="B220" t="inlineStr">
        <is>
          <t>Valeria Zuluaga Álvarez</t>
        </is>
      </c>
      <c r="C220" t="inlineStr">
        <is>
          <t>PRY-001</t>
        </is>
      </c>
      <c r="D220" t="inlineStr">
        <is>
          <t>Apto 1206</t>
        </is>
      </c>
      <c r="E220" t="inlineStr">
        <is>
          <t>Ana Quintero</t>
        </is>
      </c>
      <c r="F220" t="inlineStr">
        <is>
          <t>Perdido</t>
        </is>
      </c>
      <c r="G220" t="n">
        <v>746000000</v>
      </c>
      <c r="H220" t="n">
        <v>0</v>
      </c>
      <c r="I220" s="28" t="n">
        <v>45461</v>
      </c>
      <c r="J220" s="28" t="n">
        <v>45568</v>
      </c>
      <c r="K220" t="n">
        <v>107</v>
      </c>
      <c r="L220" t="inlineStr">
        <is>
          <t>Crédito no aprobado</t>
        </is>
      </c>
    </row>
    <row r="221" ht="15.75" customHeight="1" s="25">
      <c r="A221" t="inlineStr">
        <is>
          <t>NEG-0219</t>
        </is>
      </c>
      <c r="B221" t="inlineStr">
        <is>
          <t>Jhon Gómez Higuita</t>
        </is>
      </c>
      <c r="C221" t="inlineStr">
        <is>
          <t>PRY-008</t>
        </is>
      </c>
      <c r="D221" t="inlineStr">
        <is>
          <t>Casa 8</t>
        </is>
      </c>
      <c r="E221" t="inlineStr">
        <is>
          <t>Ana Quintero</t>
        </is>
      </c>
      <c r="F221" t="inlineStr">
        <is>
          <t>Ganado</t>
        </is>
      </c>
      <c r="G221" t="n">
        <v>173000000</v>
      </c>
      <c r="H221" t="n">
        <v>1</v>
      </c>
      <c r="I221" s="28" t="n">
        <v>45461</v>
      </c>
      <c r="J221" s="28" t="n">
        <v>45516</v>
      </c>
      <c r="K221" t="n">
        <v>55</v>
      </c>
      <c r="L221" t="inlineStr">
        <is>
          <t>Promesa de compraventa firmada</t>
        </is>
      </c>
    </row>
    <row r="222" ht="15.75" customHeight="1" s="25">
      <c r="A222" t="inlineStr">
        <is>
          <t>NEG-0220</t>
        </is>
      </c>
      <c r="B222" t="inlineStr">
        <is>
          <t>Julián Pérez Agudelo</t>
        </is>
      </c>
      <c r="C222" t="inlineStr">
        <is>
          <t>PRY-004</t>
        </is>
      </c>
      <c r="D222" t="inlineStr">
        <is>
          <t>Casa 66</t>
        </is>
      </c>
      <c r="E222" t="inlineStr">
        <is>
          <t>Ana Quintero</t>
        </is>
      </c>
      <c r="F222" t="inlineStr">
        <is>
          <t>Ganado</t>
        </is>
      </c>
      <c r="G222" t="n">
        <v>516000000</v>
      </c>
      <c r="H222" t="n">
        <v>1</v>
      </c>
      <c r="I222" s="28" t="n">
        <v>45463</v>
      </c>
      <c r="J222" s="28" t="n">
        <v>45572</v>
      </c>
      <c r="K222" t="n">
        <v>109</v>
      </c>
      <c r="L222" t="inlineStr">
        <is>
          <t>Promesa de compraventa firmada</t>
        </is>
      </c>
    </row>
    <row r="223" ht="15.75" customHeight="1" s="25">
      <c r="A223" t="inlineStr">
        <is>
          <t>NEG-0221</t>
        </is>
      </c>
      <c r="B223" t="inlineStr">
        <is>
          <t>María Higuita Quintero</t>
        </is>
      </c>
      <c r="C223" t="inlineStr">
        <is>
          <t>PRY-004</t>
        </is>
      </c>
      <c r="D223" t="inlineStr">
        <is>
          <t>Casa 35</t>
        </is>
      </c>
      <c r="E223" t="inlineStr">
        <is>
          <t>Santiago Muñoz</t>
        </is>
      </c>
      <c r="F223" t="inlineStr">
        <is>
          <t>Ganado</t>
        </is>
      </c>
      <c r="G223" t="n">
        <v>459000000</v>
      </c>
      <c r="H223" t="n">
        <v>1</v>
      </c>
      <c r="I223" s="28" t="n">
        <v>45466</v>
      </c>
      <c r="J223" s="28" t="n">
        <v>45527</v>
      </c>
      <c r="K223" t="n">
        <v>61</v>
      </c>
      <c r="L223" t="inlineStr">
        <is>
          <t>Promesa de compraventa firmada</t>
        </is>
      </c>
    </row>
    <row r="224" ht="15.75" customHeight="1" s="25">
      <c r="A224" t="inlineStr">
        <is>
          <t>NEG-0222</t>
        </is>
      </c>
      <c r="B224" t="inlineStr">
        <is>
          <t>Nicolás Duque Bedoya</t>
        </is>
      </c>
      <c r="C224" t="inlineStr">
        <is>
          <t>PRY-005</t>
        </is>
      </c>
      <c r="D224" t="inlineStr">
        <is>
          <t>Apto 807</t>
        </is>
      </c>
      <c r="E224" t="inlineStr">
        <is>
          <t>Ana Quintero</t>
        </is>
      </c>
      <c r="F224" t="inlineStr">
        <is>
          <t>Ganado</t>
        </is>
      </c>
      <c r="G224" t="n">
        <v>337000000</v>
      </c>
      <c r="H224" t="n">
        <v>1</v>
      </c>
      <c r="I224" s="28" t="n">
        <v>45466</v>
      </c>
      <c r="J224" s="28" t="n">
        <v>45536</v>
      </c>
      <c r="K224" t="n">
        <v>70</v>
      </c>
      <c r="L224" t="inlineStr">
        <is>
          <t>Promesa de compraventa firmada</t>
        </is>
      </c>
    </row>
    <row r="225" ht="15.75" customHeight="1" s="25">
      <c r="A225" t="inlineStr">
        <is>
          <t>NEG-0223</t>
        </is>
      </c>
      <c r="B225" t="inlineStr">
        <is>
          <t>María Castaño López</t>
        </is>
      </c>
      <c r="C225" t="inlineStr">
        <is>
          <t>PRY-002</t>
        </is>
      </c>
      <c r="D225" t="inlineStr">
        <is>
          <t>Casa 12</t>
        </is>
      </c>
      <c r="E225" t="inlineStr">
        <is>
          <t>Sofía Prada</t>
        </is>
      </c>
      <c r="F225" t="inlineStr">
        <is>
          <t>Ganado</t>
        </is>
      </c>
      <c r="G225" t="n">
        <v>719000000</v>
      </c>
      <c r="H225" t="n">
        <v>1</v>
      </c>
      <c r="I225" s="28" t="n">
        <v>45467</v>
      </c>
      <c r="J225" s="28" t="n">
        <v>45594</v>
      </c>
      <c r="K225" t="n">
        <v>127</v>
      </c>
      <c r="L225" t="inlineStr">
        <is>
          <t>Promesa de compraventa firmada</t>
        </is>
      </c>
    </row>
    <row r="226" ht="15.75" customHeight="1" s="25">
      <c r="A226" t="inlineStr">
        <is>
          <t>NEG-0224</t>
        </is>
      </c>
      <c r="B226" t="inlineStr">
        <is>
          <t>Óscar Betancur Agudelo</t>
        </is>
      </c>
      <c r="C226" t="inlineStr">
        <is>
          <t>PRY-008</t>
        </is>
      </c>
      <c r="D226" t="inlineStr">
        <is>
          <t>Casa 58</t>
        </is>
      </c>
      <c r="E226" t="inlineStr">
        <is>
          <t>Ana Quintero</t>
        </is>
      </c>
      <c r="F226" t="inlineStr">
        <is>
          <t>Ganado</t>
        </is>
      </c>
      <c r="G226" t="n">
        <v>132000000</v>
      </c>
      <c r="H226" t="n">
        <v>1</v>
      </c>
      <c r="I226" s="28" t="n">
        <v>45467</v>
      </c>
      <c r="J226" s="28" t="n">
        <v>45525</v>
      </c>
      <c r="K226" t="n">
        <v>58</v>
      </c>
      <c r="L226" t="inlineStr">
        <is>
          <t>Promesa de compraventa firmada</t>
        </is>
      </c>
    </row>
    <row r="227" ht="15.75" customHeight="1" s="25">
      <c r="A227" t="inlineStr">
        <is>
          <t>NEG-0225</t>
        </is>
      </c>
      <c r="B227" t="inlineStr">
        <is>
          <t>Nicolás Bedoya Higuita</t>
        </is>
      </c>
      <c r="C227" t="inlineStr">
        <is>
          <t>PRY-001</t>
        </is>
      </c>
      <c r="D227" t="inlineStr">
        <is>
          <t>Apto 1703</t>
        </is>
      </c>
      <c r="E227" t="inlineStr">
        <is>
          <t>Sofía Prada</t>
        </is>
      </c>
      <c r="F227" t="inlineStr">
        <is>
          <t>Ganado</t>
        </is>
      </c>
      <c r="G227" t="n">
        <v>837000000</v>
      </c>
      <c r="H227" t="n">
        <v>1</v>
      </c>
      <c r="I227" s="28" t="n">
        <v>45469</v>
      </c>
      <c r="J227" s="28" t="n">
        <v>45541</v>
      </c>
      <c r="K227" t="n">
        <v>72</v>
      </c>
      <c r="L227" t="inlineStr">
        <is>
          <t>Promesa de compraventa firmada</t>
        </is>
      </c>
    </row>
    <row r="228" ht="15.75" customHeight="1" s="25">
      <c r="A228" t="inlineStr">
        <is>
          <t>NEG-0226</t>
        </is>
      </c>
      <c r="B228" t="inlineStr">
        <is>
          <t>Nicolás Cardona Cardona</t>
        </is>
      </c>
      <c r="C228" t="inlineStr">
        <is>
          <t>PRY-007</t>
        </is>
      </c>
      <c r="D228" t="inlineStr">
        <is>
          <t>Apto 1303</t>
        </is>
      </c>
      <c r="E228" t="inlineStr">
        <is>
          <t>Miguel Salazar</t>
        </is>
      </c>
      <c r="F228" t="inlineStr">
        <is>
          <t>Ganado</t>
        </is>
      </c>
      <c r="G228" t="n">
        <v>645000000</v>
      </c>
      <c r="H228" t="n">
        <v>1</v>
      </c>
      <c r="I228" s="28" t="n">
        <v>45469</v>
      </c>
      <c r="J228" s="28" t="n">
        <v>45565</v>
      </c>
      <c r="K228" t="n">
        <v>96</v>
      </c>
      <c r="L228" t="inlineStr">
        <is>
          <t>Promesa de compraventa firmada</t>
        </is>
      </c>
    </row>
    <row r="229" ht="15.75" customHeight="1" s="25">
      <c r="A229" t="inlineStr">
        <is>
          <t>NEG-0227</t>
        </is>
      </c>
      <c r="B229" t="inlineStr">
        <is>
          <t>Iván Cardona Correa</t>
        </is>
      </c>
      <c r="C229" t="inlineStr">
        <is>
          <t>PRY-007</t>
        </is>
      </c>
      <c r="D229" t="inlineStr">
        <is>
          <t>Apto 1004</t>
        </is>
      </c>
      <c r="E229" t="inlineStr">
        <is>
          <t>Andrés Torres</t>
        </is>
      </c>
      <c r="F229" t="inlineStr">
        <is>
          <t>Ganado</t>
        </is>
      </c>
      <c r="G229" t="n">
        <v>543000000</v>
      </c>
      <c r="H229" t="n">
        <v>1</v>
      </c>
      <c r="I229" s="28" t="n">
        <v>45469</v>
      </c>
      <c r="J229" s="28" t="n">
        <v>45578</v>
      </c>
      <c r="K229" t="n">
        <v>109</v>
      </c>
      <c r="L229" t="inlineStr">
        <is>
          <t>Promesa de compraventa firmada</t>
        </is>
      </c>
    </row>
    <row r="230" ht="15.75" customHeight="1" s="25">
      <c r="A230" t="inlineStr">
        <is>
          <t>NEG-0228</t>
        </is>
      </c>
      <c r="B230" t="inlineStr">
        <is>
          <t>Camila Vásquez Salazar</t>
        </is>
      </c>
      <c r="C230" t="inlineStr">
        <is>
          <t>PRY-005</t>
        </is>
      </c>
      <c r="D230" t="inlineStr">
        <is>
          <t>Apto 1105</t>
        </is>
      </c>
      <c r="E230" t="inlineStr">
        <is>
          <t>Santiago Muñoz</t>
        </is>
      </c>
      <c r="F230" t="inlineStr">
        <is>
          <t>Ganado</t>
        </is>
      </c>
      <c r="G230" t="n">
        <v>395000000</v>
      </c>
      <c r="H230" t="n">
        <v>1</v>
      </c>
      <c r="I230" s="28" t="n">
        <v>45470</v>
      </c>
      <c r="J230" s="28" t="n">
        <v>45585</v>
      </c>
      <c r="K230" t="n">
        <v>115</v>
      </c>
      <c r="L230" t="inlineStr">
        <is>
          <t>Promesa de compraventa firmada</t>
        </is>
      </c>
    </row>
    <row r="231" ht="15.75" customHeight="1" s="25">
      <c r="A231" t="inlineStr">
        <is>
          <t>NEG-0229</t>
        </is>
      </c>
      <c r="B231" t="inlineStr">
        <is>
          <t>Diana Valencia Bedoya</t>
        </is>
      </c>
      <c r="C231" t="inlineStr">
        <is>
          <t>PRY-004</t>
        </is>
      </c>
      <c r="D231" t="inlineStr">
        <is>
          <t>Casa 39</t>
        </is>
      </c>
      <c r="E231" t="inlineStr">
        <is>
          <t>Santiago Muñoz</t>
        </is>
      </c>
      <c r="F231" t="inlineStr">
        <is>
          <t>Perdido</t>
        </is>
      </c>
      <c r="G231" t="n">
        <v>472000000</v>
      </c>
      <c r="H231" t="n">
        <v>0</v>
      </c>
      <c r="I231" s="28" t="n">
        <v>45471</v>
      </c>
      <c r="J231" s="28" t="n">
        <v>45523</v>
      </c>
      <c r="K231" t="n">
        <v>52</v>
      </c>
      <c r="L231" t="inlineStr">
        <is>
          <t>No volvió a responder</t>
        </is>
      </c>
    </row>
    <row r="232" ht="15.75" customHeight="1" s="25">
      <c r="A232" t="inlineStr">
        <is>
          <t>NEG-0230</t>
        </is>
      </c>
      <c r="B232" t="inlineStr">
        <is>
          <t>Natalia Duque Pérez</t>
        </is>
      </c>
      <c r="C232" t="inlineStr">
        <is>
          <t>PRY-003</t>
        </is>
      </c>
      <c r="D232" t="inlineStr">
        <is>
          <t>Apto 2104</t>
        </is>
      </c>
      <c r="E232" t="inlineStr">
        <is>
          <t>Luis Bedoya</t>
        </is>
      </c>
      <c r="F232" t="inlineStr">
        <is>
          <t>Perdido</t>
        </is>
      </c>
      <c r="G232" t="n">
        <v>287000000</v>
      </c>
      <c r="H232" t="n">
        <v>0</v>
      </c>
      <c r="I232" s="28" t="n">
        <v>45472</v>
      </c>
      <c r="J232" s="28" t="n">
        <v>45549</v>
      </c>
      <c r="K232" t="n">
        <v>77</v>
      </c>
      <c r="L232" t="inlineStr">
        <is>
          <t>Crédito no aprobado</t>
        </is>
      </c>
    </row>
    <row r="233" ht="15.75" customHeight="1" s="25">
      <c r="A233" t="inlineStr">
        <is>
          <t>NEG-0231</t>
        </is>
      </c>
      <c r="B233" t="inlineStr">
        <is>
          <t>Óscar Castaño Vargas</t>
        </is>
      </c>
      <c r="C233" t="inlineStr">
        <is>
          <t>PRY-005</t>
        </is>
      </c>
      <c r="D233" t="inlineStr">
        <is>
          <t>Apto 1003</t>
        </is>
      </c>
      <c r="E233" t="inlineStr">
        <is>
          <t>Ana Quintero</t>
        </is>
      </c>
      <c r="F233" t="inlineStr">
        <is>
          <t>Ganado</t>
        </is>
      </c>
      <c r="G233" t="n">
        <v>404000000</v>
      </c>
      <c r="H233" t="n">
        <v>1</v>
      </c>
      <c r="I233" s="28" t="n">
        <v>45473</v>
      </c>
      <c r="J233" s="28" t="n">
        <v>45528</v>
      </c>
      <c r="K233" t="n">
        <v>55</v>
      </c>
      <c r="L233" t="inlineStr">
        <is>
          <t>Promesa de compraventa firmada</t>
        </is>
      </c>
    </row>
    <row r="234" ht="15.75" customHeight="1" s="25">
      <c r="A234" t="inlineStr">
        <is>
          <t>NEG-0232</t>
        </is>
      </c>
      <c r="B234" t="inlineStr">
        <is>
          <t>Hernán Castaño Espinosa</t>
        </is>
      </c>
      <c r="C234" t="inlineStr">
        <is>
          <t>PRY-002</t>
        </is>
      </c>
      <c r="D234" t="inlineStr">
        <is>
          <t>Casa 35</t>
        </is>
      </c>
      <c r="E234" t="inlineStr">
        <is>
          <t>Miguel Salazar</t>
        </is>
      </c>
      <c r="F234" t="inlineStr">
        <is>
          <t>Perdido</t>
        </is>
      </c>
      <c r="G234" t="n">
        <v>715000000</v>
      </c>
      <c r="H234" t="n">
        <v>0</v>
      </c>
      <c r="I234" s="28" t="n">
        <v>45474</v>
      </c>
      <c r="J234" s="28" t="n">
        <v>45596</v>
      </c>
      <c r="K234" t="n">
        <v>122</v>
      </c>
      <c r="L234" t="inlineStr">
        <is>
          <t>Crédito no aprobado</t>
        </is>
      </c>
    </row>
    <row r="235" ht="15.75" customHeight="1" s="25">
      <c r="A235" t="inlineStr">
        <is>
          <t>NEG-0233</t>
        </is>
      </c>
      <c r="B235" t="inlineStr">
        <is>
          <t>Sandra Uribe Montes</t>
        </is>
      </c>
      <c r="C235" t="inlineStr">
        <is>
          <t>PRY-007</t>
        </is>
      </c>
      <c r="D235" t="inlineStr">
        <is>
          <t>Apto 1105</t>
        </is>
      </c>
      <c r="E235" t="inlineStr">
        <is>
          <t>Juliana Vélez</t>
        </is>
      </c>
      <c r="F235" t="inlineStr">
        <is>
          <t>Ganado</t>
        </is>
      </c>
      <c r="G235" t="n">
        <v>646000000</v>
      </c>
      <c r="H235" t="n">
        <v>1</v>
      </c>
      <c r="I235" s="28" t="n">
        <v>45474</v>
      </c>
      <c r="J235" s="28" t="n">
        <v>45541</v>
      </c>
      <c r="K235" t="n">
        <v>67</v>
      </c>
      <c r="L235" t="inlineStr">
        <is>
          <t>Promesa de compraventa firmada</t>
        </is>
      </c>
    </row>
    <row r="236" ht="15.75" customHeight="1" s="25">
      <c r="A236" t="inlineStr">
        <is>
          <t>NEG-0234</t>
        </is>
      </c>
      <c r="B236" t="inlineStr">
        <is>
          <t>Óscar Espinosa Sánchez</t>
        </is>
      </c>
      <c r="C236" t="inlineStr">
        <is>
          <t>PRY-003</t>
        </is>
      </c>
      <c r="D236" t="inlineStr">
        <is>
          <t>Apto 2502</t>
        </is>
      </c>
      <c r="E236" t="inlineStr">
        <is>
          <t>Andrés Torres</t>
        </is>
      </c>
      <c r="F236" t="inlineStr">
        <is>
          <t>Ganado</t>
        </is>
      </c>
      <c r="G236" t="n">
        <v>306000000</v>
      </c>
      <c r="H236" t="n">
        <v>1</v>
      </c>
      <c r="I236" s="28" t="n">
        <v>45477</v>
      </c>
      <c r="J236" s="28" t="n">
        <v>45557</v>
      </c>
      <c r="K236" t="n">
        <v>80</v>
      </c>
      <c r="L236" t="inlineStr">
        <is>
          <t>Promesa de compraventa firmada</t>
        </is>
      </c>
    </row>
    <row r="237" ht="15.75" customHeight="1" s="25">
      <c r="A237" t="inlineStr">
        <is>
          <t>NEG-0235</t>
        </is>
      </c>
      <c r="B237" t="inlineStr">
        <is>
          <t>Esteban Franco Vásquez</t>
        </is>
      </c>
      <c r="C237" t="inlineStr">
        <is>
          <t>PRY-001</t>
        </is>
      </c>
      <c r="D237" t="inlineStr">
        <is>
          <t>Apto 2101</t>
        </is>
      </c>
      <c r="E237" t="inlineStr">
        <is>
          <t>Andrés Torres</t>
        </is>
      </c>
      <c r="F237" t="inlineStr">
        <is>
          <t>Perdido</t>
        </is>
      </c>
      <c r="G237" t="n">
        <v>635000000</v>
      </c>
      <c r="H237" t="n">
        <v>0</v>
      </c>
      <c r="I237" s="28" t="n">
        <v>45478</v>
      </c>
      <c r="J237" s="28" t="n">
        <v>45587</v>
      </c>
      <c r="K237" t="n">
        <v>109</v>
      </c>
      <c r="L237" t="inlineStr">
        <is>
          <t>Desistió de la compra</t>
        </is>
      </c>
    </row>
    <row r="238" ht="15.75" customHeight="1" s="25">
      <c r="A238" t="inlineStr">
        <is>
          <t>NEG-0236</t>
        </is>
      </c>
      <c r="B238" t="inlineStr">
        <is>
          <t>Cristian Ochoa Betancur</t>
        </is>
      </c>
      <c r="C238" t="inlineStr">
        <is>
          <t>PRY-004</t>
        </is>
      </c>
      <c r="D238" t="inlineStr">
        <is>
          <t>Casa 29</t>
        </is>
      </c>
      <c r="E238" t="inlineStr">
        <is>
          <t>Andrés Torres</t>
        </is>
      </c>
      <c r="F238" t="inlineStr">
        <is>
          <t>Ganado</t>
        </is>
      </c>
      <c r="G238" t="n">
        <v>533000000</v>
      </c>
      <c r="H238" t="n">
        <v>1</v>
      </c>
      <c r="I238" s="28" t="n">
        <v>45478</v>
      </c>
      <c r="J238" s="28" t="n">
        <v>45564</v>
      </c>
      <c r="K238" t="n">
        <v>86</v>
      </c>
      <c r="L238" t="inlineStr">
        <is>
          <t>Promesa de compraventa firmada</t>
        </is>
      </c>
    </row>
    <row r="239" ht="15.75" customHeight="1" s="25">
      <c r="A239" t="inlineStr">
        <is>
          <t>NEG-0237</t>
        </is>
      </c>
      <c r="B239" t="inlineStr">
        <is>
          <t>Alejandra Rojas Cifuentes</t>
        </is>
      </c>
      <c r="C239" t="inlineStr">
        <is>
          <t>PRY-007</t>
        </is>
      </c>
      <c r="D239" t="inlineStr">
        <is>
          <t>Apto 205</t>
        </is>
      </c>
      <c r="E239" t="inlineStr">
        <is>
          <t>Luis Bedoya</t>
        </is>
      </c>
      <c r="F239" t="inlineStr">
        <is>
          <t>Perdido</t>
        </is>
      </c>
      <c r="G239" t="n">
        <v>560000000</v>
      </c>
      <c r="H239" t="n">
        <v>0</v>
      </c>
      <c r="I239" s="28" t="n">
        <v>45479</v>
      </c>
      <c r="J239" s="28" t="n">
        <v>45538</v>
      </c>
      <c r="K239" t="n">
        <v>59</v>
      </c>
      <c r="L239" t="inlineStr">
        <is>
          <t>Crédito no aprobado</t>
        </is>
      </c>
    </row>
    <row r="240" ht="15.75" customHeight="1" s="25">
      <c r="A240" t="inlineStr">
        <is>
          <t>NEG-0238</t>
        </is>
      </c>
      <c r="B240" t="inlineStr">
        <is>
          <t>David Cardona Cano</t>
        </is>
      </c>
      <c r="C240" t="inlineStr">
        <is>
          <t>PRY-008</t>
        </is>
      </c>
      <c r="D240" t="inlineStr">
        <is>
          <t>Casa 95</t>
        </is>
      </c>
      <c r="E240" t="inlineStr">
        <is>
          <t>Paula Arenas</t>
        </is>
      </c>
      <c r="F240" t="inlineStr">
        <is>
          <t>Ganado</t>
        </is>
      </c>
      <c r="G240" t="n">
        <v>135000000</v>
      </c>
      <c r="H240" t="n">
        <v>1</v>
      </c>
      <c r="I240" s="28" t="n">
        <v>45479</v>
      </c>
      <c r="J240" s="28" t="n">
        <v>45548</v>
      </c>
      <c r="K240" t="n">
        <v>69</v>
      </c>
      <c r="L240" t="inlineStr">
        <is>
          <t>Promesa de compraventa firmada</t>
        </is>
      </c>
    </row>
    <row r="241" ht="15.75" customHeight="1" s="25">
      <c r="A241" t="inlineStr">
        <is>
          <t>NEG-0239</t>
        </is>
      </c>
      <c r="B241" t="inlineStr">
        <is>
          <t>Ricardo Betancur Hernández</t>
        </is>
      </c>
      <c r="C241" t="inlineStr">
        <is>
          <t>PRY-004</t>
        </is>
      </c>
      <c r="D241" t="inlineStr">
        <is>
          <t>Casa 18</t>
        </is>
      </c>
      <c r="E241" t="inlineStr">
        <is>
          <t>Luis Bedoya</t>
        </is>
      </c>
      <c r="F241" t="inlineStr">
        <is>
          <t>Perdido</t>
        </is>
      </c>
      <c r="G241" t="n">
        <v>490000000</v>
      </c>
      <c r="H241" t="n">
        <v>0</v>
      </c>
      <c r="I241" s="28" t="n">
        <v>45480</v>
      </c>
      <c r="J241" s="28" t="n">
        <v>45577</v>
      </c>
      <c r="K241" t="n">
        <v>97</v>
      </c>
      <c r="L241" t="inlineStr">
        <is>
          <t>Crédito no aprobado</t>
        </is>
      </c>
    </row>
    <row r="242" ht="15.75" customHeight="1" s="25">
      <c r="A242" t="inlineStr">
        <is>
          <t>NEG-0240</t>
        </is>
      </c>
      <c r="B242" t="inlineStr">
        <is>
          <t>Carolina Gaviria Toro</t>
        </is>
      </c>
      <c r="C242" t="inlineStr">
        <is>
          <t>PRY-003</t>
        </is>
      </c>
      <c r="D242" t="inlineStr">
        <is>
          <t>Apto 2007</t>
        </is>
      </c>
      <c r="E242" t="inlineStr">
        <is>
          <t>Santiago Muñoz</t>
        </is>
      </c>
      <c r="F242" t="inlineStr">
        <is>
          <t>Ganado</t>
        </is>
      </c>
      <c r="G242" t="n">
        <v>409000000</v>
      </c>
      <c r="H242" t="n">
        <v>1</v>
      </c>
      <c r="I242" s="28" t="n">
        <v>45481</v>
      </c>
      <c r="J242" s="28" t="n">
        <v>45544</v>
      </c>
      <c r="K242" t="n">
        <v>63</v>
      </c>
      <c r="L242" t="inlineStr">
        <is>
          <t>Promesa de compraventa firmada</t>
        </is>
      </c>
    </row>
    <row r="243" ht="15.75" customHeight="1" s="25">
      <c r="A243" t="inlineStr">
        <is>
          <t>NEG-0241</t>
        </is>
      </c>
      <c r="B243" t="inlineStr">
        <is>
          <t>Fernando Ríos Vargas</t>
        </is>
      </c>
      <c r="C243" t="inlineStr">
        <is>
          <t>PRY-001</t>
        </is>
      </c>
      <c r="D243" t="inlineStr">
        <is>
          <t>Apto 1505</t>
        </is>
      </c>
      <c r="E243" t="inlineStr">
        <is>
          <t>Andrés Torres</t>
        </is>
      </c>
      <c r="F243" t="inlineStr">
        <is>
          <t>Ganado</t>
        </is>
      </c>
      <c r="G243" t="n">
        <v>837000000</v>
      </c>
      <c r="H243" t="n">
        <v>1</v>
      </c>
      <c r="I243" s="28" t="n">
        <v>45482</v>
      </c>
      <c r="J243" s="28" t="n">
        <v>45551</v>
      </c>
      <c r="K243" t="n">
        <v>69</v>
      </c>
      <c r="L243" t="inlineStr">
        <is>
          <t>Promesa de compraventa firmada</t>
        </is>
      </c>
    </row>
    <row r="244" ht="15.75" customHeight="1" s="25">
      <c r="A244" t="inlineStr">
        <is>
          <t>NEG-0242</t>
        </is>
      </c>
      <c r="B244" t="inlineStr">
        <is>
          <t>Rodrigo Salazar Vargas</t>
        </is>
      </c>
      <c r="C244" t="inlineStr">
        <is>
          <t>PRY-002</t>
        </is>
      </c>
      <c r="D244" t="inlineStr">
        <is>
          <t>Casa 8</t>
        </is>
      </c>
      <c r="E244" t="inlineStr">
        <is>
          <t>Juliana Vélez</t>
        </is>
      </c>
      <c r="F244" t="inlineStr">
        <is>
          <t>Ganado</t>
        </is>
      </c>
      <c r="G244" t="n">
        <v>771000000</v>
      </c>
      <c r="H244" t="n">
        <v>1</v>
      </c>
      <c r="I244" s="28" t="n">
        <v>45482</v>
      </c>
      <c r="J244" s="28" t="n">
        <v>45611</v>
      </c>
      <c r="K244" t="n">
        <v>129</v>
      </c>
      <c r="L244" t="inlineStr">
        <is>
          <t>Promesa de compraventa firmada</t>
        </is>
      </c>
    </row>
    <row r="245" ht="15.75" customHeight="1" s="25">
      <c r="A245" t="inlineStr">
        <is>
          <t>NEG-0243</t>
        </is>
      </c>
      <c r="B245" t="inlineStr">
        <is>
          <t>Iván Arango Gaviria</t>
        </is>
      </c>
      <c r="C245" t="inlineStr">
        <is>
          <t>PRY-004</t>
        </is>
      </c>
      <c r="D245" t="inlineStr">
        <is>
          <t>Casa 16</t>
        </is>
      </c>
      <c r="E245" t="inlineStr">
        <is>
          <t>Sofía Prada</t>
        </is>
      </c>
      <c r="F245" t="inlineStr">
        <is>
          <t>Ganado</t>
        </is>
      </c>
      <c r="G245" t="n">
        <v>552000000</v>
      </c>
      <c r="H245" t="n">
        <v>1</v>
      </c>
      <c r="I245" s="28" t="n">
        <v>45483</v>
      </c>
      <c r="J245" s="28" t="n">
        <v>45566</v>
      </c>
      <c r="K245" t="n">
        <v>83</v>
      </c>
      <c r="L245" t="inlineStr">
        <is>
          <t>Promesa de compraventa firmada</t>
        </is>
      </c>
    </row>
    <row r="246" ht="15.75" customHeight="1" s="25">
      <c r="A246" t="inlineStr">
        <is>
          <t>NEG-0244</t>
        </is>
      </c>
      <c r="B246" t="inlineStr">
        <is>
          <t>Mariana Vásquez Betancur</t>
        </is>
      </c>
      <c r="C246" t="inlineStr">
        <is>
          <t>PRY-005</t>
        </is>
      </c>
      <c r="D246" t="inlineStr">
        <is>
          <t>Apto 805</t>
        </is>
      </c>
      <c r="E246" t="inlineStr">
        <is>
          <t>Juliana Vélez</t>
        </is>
      </c>
      <c r="F246" t="inlineStr">
        <is>
          <t>Ganado</t>
        </is>
      </c>
      <c r="G246" t="n">
        <v>410000000</v>
      </c>
      <c r="H246" t="n">
        <v>1</v>
      </c>
      <c r="I246" s="28" t="n">
        <v>45483</v>
      </c>
      <c r="J246" s="28" t="n">
        <v>45594</v>
      </c>
      <c r="K246" t="n">
        <v>111</v>
      </c>
      <c r="L246" t="inlineStr">
        <is>
          <t>Promesa de compraventa firmada</t>
        </is>
      </c>
    </row>
    <row r="247" ht="15.75" customHeight="1" s="25">
      <c r="A247" t="inlineStr">
        <is>
          <t>NEG-0245</t>
        </is>
      </c>
      <c r="B247" t="inlineStr">
        <is>
          <t>Daniela Álvarez Rojas</t>
        </is>
      </c>
      <c r="C247" t="inlineStr">
        <is>
          <t>PRY-003</t>
        </is>
      </c>
      <c r="D247" t="inlineStr">
        <is>
          <t>Apto 1004</t>
        </is>
      </c>
      <c r="E247" t="inlineStr">
        <is>
          <t>Sofía Prada</t>
        </is>
      </c>
      <c r="F247" t="inlineStr">
        <is>
          <t>Ganado</t>
        </is>
      </c>
      <c r="G247" t="n">
        <v>332000000</v>
      </c>
      <c r="H247" t="n">
        <v>1</v>
      </c>
      <c r="I247" s="28" t="n">
        <v>45484</v>
      </c>
      <c r="J247" s="28" t="n">
        <v>45514</v>
      </c>
      <c r="K247" t="n">
        <v>30</v>
      </c>
      <c r="L247" t="inlineStr">
        <is>
          <t>Promesa de compraventa firmada</t>
        </is>
      </c>
    </row>
    <row r="248" ht="15.75" customHeight="1" s="25">
      <c r="A248" t="inlineStr">
        <is>
          <t>NEG-0246</t>
        </is>
      </c>
      <c r="B248" t="inlineStr">
        <is>
          <t>Mariana Franco Franco</t>
        </is>
      </c>
      <c r="C248" t="inlineStr">
        <is>
          <t>PRY-008</t>
        </is>
      </c>
      <c r="D248" t="inlineStr">
        <is>
          <t>Casa 65</t>
        </is>
      </c>
      <c r="E248" t="inlineStr">
        <is>
          <t>Ana Quintero</t>
        </is>
      </c>
      <c r="F248" t="inlineStr">
        <is>
          <t>Ganado</t>
        </is>
      </c>
      <c r="G248" t="n">
        <v>176000000</v>
      </c>
      <c r="H248" t="n">
        <v>1</v>
      </c>
      <c r="I248" s="28" t="n">
        <v>45484</v>
      </c>
      <c r="J248" s="28" t="n">
        <v>45516</v>
      </c>
      <c r="K248" t="n">
        <v>32</v>
      </c>
      <c r="L248" t="inlineStr">
        <is>
          <t>Promesa de compraventa firmada</t>
        </is>
      </c>
    </row>
    <row r="249" ht="15.75" customHeight="1" s="25">
      <c r="A249" t="inlineStr">
        <is>
          <t>NEG-0247</t>
        </is>
      </c>
      <c r="B249" t="inlineStr">
        <is>
          <t>Laura Espinosa Vélez</t>
        </is>
      </c>
      <c r="C249" t="inlineStr">
        <is>
          <t>PRY-002</t>
        </is>
      </c>
      <c r="D249" t="inlineStr">
        <is>
          <t>Casa 49</t>
        </is>
      </c>
      <c r="E249" t="inlineStr">
        <is>
          <t>Paula Arenas</t>
        </is>
      </c>
      <c r="F249" t="inlineStr">
        <is>
          <t>Ganado</t>
        </is>
      </c>
      <c r="G249" t="n">
        <v>690000000</v>
      </c>
      <c r="H249" t="n">
        <v>1</v>
      </c>
      <c r="I249" s="28" t="n">
        <v>45489</v>
      </c>
      <c r="J249" s="28" t="n">
        <v>45550</v>
      </c>
      <c r="K249" t="n">
        <v>61</v>
      </c>
      <c r="L249" t="inlineStr">
        <is>
          <t>Promesa de compraventa firmada</t>
        </is>
      </c>
    </row>
    <row r="250" ht="15.75" customHeight="1" s="25">
      <c r="A250" t="inlineStr">
        <is>
          <t>NEG-0248</t>
        </is>
      </c>
      <c r="B250" t="inlineStr">
        <is>
          <t>Valeria Muñoz Salazar</t>
        </is>
      </c>
      <c r="C250" t="inlineStr">
        <is>
          <t>PRY-005</t>
        </is>
      </c>
      <c r="D250" t="inlineStr">
        <is>
          <t>Apto 904</t>
        </is>
      </c>
      <c r="E250" t="inlineStr">
        <is>
          <t>Santiago Muñoz</t>
        </is>
      </c>
      <c r="F250" t="inlineStr">
        <is>
          <t>Perdido</t>
        </is>
      </c>
      <c r="G250" t="n">
        <v>352000000</v>
      </c>
      <c r="H250" t="n">
        <v>0</v>
      </c>
      <c r="I250" s="28" t="n">
        <v>45489</v>
      </c>
      <c r="J250" s="28" t="n">
        <v>45578</v>
      </c>
      <c r="K250" t="n">
        <v>89</v>
      </c>
      <c r="L250" t="inlineStr">
        <is>
          <t>Eligió otro proyecto</t>
        </is>
      </c>
    </row>
    <row r="251" ht="15.75" customHeight="1" s="25">
      <c r="A251" t="inlineStr">
        <is>
          <t>NEG-0249</t>
        </is>
      </c>
      <c r="B251" t="inlineStr">
        <is>
          <t>Andrés Cano Osorio</t>
        </is>
      </c>
      <c r="C251" t="inlineStr">
        <is>
          <t>PRY-008</t>
        </is>
      </c>
      <c r="D251" t="inlineStr">
        <is>
          <t>Casa 15</t>
        </is>
      </c>
      <c r="E251" t="inlineStr">
        <is>
          <t>Ana Quintero</t>
        </is>
      </c>
      <c r="F251" t="inlineStr">
        <is>
          <t>Perdido</t>
        </is>
      </c>
      <c r="G251" t="n">
        <v>146000000</v>
      </c>
      <c r="H251" t="n">
        <v>0</v>
      </c>
      <c r="I251" s="28" t="n">
        <v>45489</v>
      </c>
      <c r="J251" s="28" t="n">
        <v>45537</v>
      </c>
      <c r="K251" t="n">
        <v>48</v>
      </c>
      <c r="L251" t="inlineStr">
        <is>
          <t>No volvió a responder</t>
        </is>
      </c>
    </row>
    <row r="252" ht="15.75" customHeight="1" s="25">
      <c r="A252" t="inlineStr">
        <is>
          <t>NEG-0250</t>
        </is>
      </c>
      <c r="B252" t="inlineStr">
        <is>
          <t>Camila Cifuentes Ramírez</t>
        </is>
      </c>
      <c r="C252" t="inlineStr">
        <is>
          <t>PRY-001</t>
        </is>
      </c>
      <c r="D252" t="inlineStr">
        <is>
          <t>Apto 901</t>
        </is>
      </c>
      <c r="E252" t="inlineStr">
        <is>
          <t>Paula Arenas</t>
        </is>
      </c>
      <c r="F252" t="inlineStr">
        <is>
          <t>Perdido</t>
        </is>
      </c>
      <c r="G252" t="n">
        <v>654000000</v>
      </c>
      <c r="H252" t="n">
        <v>0</v>
      </c>
      <c r="I252" s="28" t="n">
        <v>45491</v>
      </c>
      <c r="J252" s="28" t="n">
        <v>45603</v>
      </c>
      <c r="K252" t="n">
        <v>112</v>
      </c>
      <c r="L252" t="inlineStr">
        <is>
          <t>Crédito no aprobado</t>
        </is>
      </c>
    </row>
    <row r="253" ht="15.75" customHeight="1" s="25">
      <c r="A253" t="inlineStr">
        <is>
          <t>NEG-0251</t>
        </is>
      </c>
      <c r="B253" t="inlineStr">
        <is>
          <t>Juliana Betancur Echeverri</t>
        </is>
      </c>
      <c r="C253" t="inlineStr">
        <is>
          <t>PRY-003</t>
        </is>
      </c>
      <c r="D253" t="inlineStr">
        <is>
          <t>Apto 2006</t>
        </is>
      </c>
      <c r="E253" t="inlineStr">
        <is>
          <t>Ana Quintero</t>
        </is>
      </c>
      <c r="F253" t="inlineStr">
        <is>
          <t>Perdido</t>
        </is>
      </c>
      <c r="G253" t="n">
        <v>383000000</v>
      </c>
      <c r="H253" t="n">
        <v>0</v>
      </c>
      <c r="I253" s="28" t="n">
        <v>45492</v>
      </c>
      <c r="J253" s="28" t="n">
        <v>45534</v>
      </c>
      <c r="K253" t="n">
        <v>42</v>
      </c>
      <c r="L253" t="inlineStr">
        <is>
          <t>Precio fuera de presupuesto</t>
        </is>
      </c>
    </row>
    <row r="254" ht="15.75" customHeight="1" s="25">
      <c r="A254" t="inlineStr">
        <is>
          <t>NEG-0252</t>
        </is>
      </c>
      <c r="B254" t="inlineStr">
        <is>
          <t>Felipe Valencia Restrepo</t>
        </is>
      </c>
      <c r="C254" t="inlineStr">
        <is>
          <t>PRY-001</t>
        </is>
      </c>
      <c r="D254" t="inlineStr">
        <is>
          <t>Apto 902</t>
        </is>
      </c>
      <c r="E254" t="inlineStr">
        <is>
          <t>Miguel Salazar</t>
        </is>
      </c>
      <c r="F254" t="inlineStr">
        <is>
          <t>Perdido</t>
        </is>
      </c>
      <c r="G254" t="n">
        <v>739000000</v>
      </c>
      <c r="H254" t="n">
        <v>0</v>
      </c>
      <c r="I254" s="28" t="n">
        <v>45495</v>
      </c>
      <c r="J254" s="28" t="n">
        <v>45536</v>
      </c>
      <c r="K254" t="n">
        <v>41</v>
      </c>
      <c r="L254" t="inlineStr">
        <is>
          <t>No volvió a responder</t>
        </is>
      </c>
    </row>
    <row r="255" ht="15.75" customHeight="1" s="25">
      <c r="A255" t="inlineStr">
        <is>
          <t>NEG-0253</t>
        </is>
      </c>
      <c r="B255" t="inlineStr">
        <is>
          <t>Isabel Agudelo Peláez</t>
        </is>
      </c>
      <c r="C255" t="inlineStr">
        <is>
          <t>PRY-001</t>
        </is>
      </c>
      <c r="D255" t="inlineStr">
        <is>
          <t>Apto 906</t>
        </is>
      </c>
      <c r="E255" t="inlineStr">
        <is>
          <t>Santiago Muñoz</t>
        </is>
      </c>
      <c r="F255" t="inlineStr">
        <is>
          <t>Ganado</t>
        </is>
      </c>
      <c r="G255" t="n">
        <v>607000000</v>
      </c>
      <c r="H255" t="n">
        <v>1</v>
      </c>
      <c r="I255" s="28" t="n">
        <v>45496</v>
      </c>
      <c r="J255" s="28" t="n">
        <v>45569</v>
      </c>
      <c r="K255" t="n">
        <v>73</v>
      </c>
      <c r="L255" t="inlineStr">
        <is>
          <t>Promesa de compraventa firmada</t>
        </is>
      </c>
    </row>
    <row r="256" ht="15.75" customHeight="1" s="25">
      <c r="A256" t="inlineStr">
        <is>
          <t>NEG-0254</t>
        </is>
      </c>
      <c r="B256" t="inlineStr">
        <is>
          <t>Laura Franco Arango</t>
        </is>
      </c>
      <c r="C256" t="inlineStr">
        <is>
          <t>PRY-001</t>
        </is>
      </c>
      <c r="D256" t="inlineStr">
        <is>
          <t>Apto 401</t>
        </is>
      </c>
      <c r="E256" t="inlineStr">
        <is>
          <t>Juliana Vélez</t>
        </is>
      </c>
      <c r="F256" t="inlineStr">
        <is>
          <t>Ganado</t>
        </is>
      </c>
      <c r="G256" t="n">
        <v>560000000</v>
      </c>
      <c r="H256" t="n">
        <v>1</v>
      </c>
      <c r="I256" s="28" t="n">
        <v>45496</v>
      </c>
      <c r="J256" s="28" t="n">
        <v>45609</v>
      </c>
      <c r="K256" t="n">
        <v>113</v>
      </c>
      <c r="L256" t="inlineStr">
        <is>
          <t>Promesa de compraventa firmada</t>
        </is>
      </c>
    </row>
    <row r="257" ht="15.75" customHeight="1" s="25">
      <c r="A257" t="inlineStr">
        <is>
          <t>NEG-0255</t>
        </is>
      </c>
      <c r="B257" t="inlineStr">
        <is>
          <t>Cristian Mejía Castaño</t>
        </is>
      </c>
      <c r="C257" t="inlineStr">
        <is>
          <t>PRY-004</t>
        </is>
      </c>
      <c r="D257" t="inlineStr">
        <is>
          <t>Casa 32</t>
        </is>
      </c>
      <c r="E257" t="inlineStr">
        <is>
          <t>Paula Arenas</t>
        </is>
      </c>
      <c r="F257" t="inlineStr">
        <is>
          <t>Ganado</t>
        </is>
      </c>
      <c r="G257" t="n">
        <v>538000000</v>
      </c>
      <c r="H257" t="n">
        <v>1</v>
      </c>
      <c r="I257" s="28" t="n">
        <v>45496</v>
      </c>
      <c r="J257" s="28" t="n">
        <v>45537</v>
      </c>
      <c r="K257" t="n">
        <v>41</v>
      </c>
      <c r="L257" t="inlineStr">
        <is>
          <t>Promesa de compraventa firmada</t>
        </is>
      </c>
    </row>
    <row r="258" ht="15.75" customHeight="1" s="25">
      <c r="A258" t="inlineStr">
        <is>
          <t>NEG-0256</t>
        </is>
      </c>
      <c r="B258" t="inlineStr">
        <is>
          <t>Simón Agudelo Bedoya</t>
        </is>
      </c>
      <c r="C258" t="inlineStr">
        <is>
          <t>PRY-004</t>
        </is>
      </c>
      <c r="D258" t="inlineStr">
        <is>
          <t>Casa 31</t>
        </is>
      </c>
      <c r="E258" t="inlineStr">
        <is>
          <t>Juliana Vélez</t>
        </is>
      </c>
      <c r="F258" t="inlineStr">
        <is>
          <t>Perdido</t>
        </is>
      </c>
      <c r="G258" t="n">
        <v>460000000</v>
      </c>
      <c r="H258" t="n">
        <v>0</v>
      </c>
      <c r="I258" s="28" t="n">
        <v>45496</v>
      </c>
      <c r="J258" s="28" t="n">
        <v>45577</v>
      </c>
      <c r="K258" t="n">
        <v>81</v>
      </c>
      <c r="L258" t="inlineStr">
        <is>
          <t>Crédito no aprobado</t>
        </is>
      </c>
    </row>
    <row r="259" ht="15.75" customHeight="1" s="25">
      <c r="A259" t="inlineStr">
        <is>
          <t>NEG-0257</t>
        </is>
      </c>
      <c r="B259" t="inlineStr">
        <is>
          <t>Tomás Vargas Gaviria</t>
        </is>
      </c>
      <c r="C259" t="inlineStr">
        <is>
          <t>PRY-008</t>
        </is>
      </c>
      <c r="D259" t="inlineStr">
        <is>
          <t>Casa 94</t>
        </is>
      </c>
      <c r="E259" t="inlineStr">
        <is>
          <t>Miguel Salazar</t>
        </is>
      </c>
      <c r="F259" t="inlineStr">
        <is>
          <t>Perdido</t>
        </is>
      </c>
      <c r="G259" t="n">
        <v>152000000</v>
      </c>
      <c r="H259" t="n">
        <v>0</v>
      </c>
      <c r="I259" s="28" t="n">
        <v>45498</v>
      </c>
      <c r="J259" s="28" t="n">
        <v>45523</v>
      </c>
      <c r="K259" t="n">
        <v>25</v>
      </c>
      <c r="L259" t="inlineStr">
        <is>
          <t>Crédito no aprobado</t>
        </is>
      </c>
    </row>
    <row r="260" ht="15.75" customHeight="1" s="25">
      <c r="A260" t="inlineStr">
        <is>
          <t>NEG-0258</t>
        </is>
      </c>
      <c r="B260" t="inlineStr">
        <is>
          <t>María Montoya Quintero</t>
        </is>
      </c>
      <c r="C260" t="inlineStr">
        <is>
          <t>PRY-003</t>
        </is>
      </c>
      <c r="D260" t="inlineStr">
        <is>
          <t>Apto 603</t>
        </is>
      </c>
      <c r="E260" t="inlineStr">
        <is>
          <t>Paula Arenas</t>
        </is>
      </c>
      <c r="F260" t="inlineStr">
        <is>
          <t>Ganado</t>
        </is>
      </c>
      <c r="G260" t="n">
        <v>321000000</v>
      </c>
      <c r="H260" t="n">
        <v>1</v>
      </c>
      <c r="I260" s="28" t="n">
        <v>45500</v>
      </c>
      <c r="J260" s="28" t="n">
        <v>45556</v>
      </c>
      <c r="K260" t="n">
        <v>56</v>
      </c>
      <c r="L260" t="inlineStr">
        <is>
          <t>Promesa de compraventa firmada</t>
        </is>
      </c>
    </row>
    <row r="261" ht="15.75" customHeight="1" s="25">
      <c r="A261" t="inlineStr">
        <is>
          <t>NEG-0259</t>
        </is>
      </c>
      <c r="B261" t="inlineStr">
        <is>
          <t>Diana Salcedo Jaramillo</t>
        </is>
      </c>
      <c r="C261" t="inlineStr">
        <is>
          <t>PRY-004</t>
        </is>
      </c>
      <c r="D261" t="inlineStr">
        <is>
          <t>Casa 71</t>
        </is>
      </c>
      <c r="E261" t="inlineStr">
        <is>
          <t>Luis Bedoya</t>
        </is>
      </c>
      <c r="F261" t="inlineStr">
        <is>
          <t>Ganado</t>
        </is>
      </c>
      <c r="G261" t="n">
        <v>431000000</v>
      </c>
      <c r="H261" t="n">
        <v>1</v>
      </c>
      <c r="I261" s="28" t="n">
        <v>45500</v>
      </c>
      <c r="J261" s="28" t="n">
        <v>45557</v>
      </c>
      <c r="K261" t="n">
        <v>57</v>
      </c>
      <c r="L261" t="inlineStr">
        <is>
          <t>Promesa de compraventa firmada</t>
        </is>
      </c>
    </row>
    <row r="262" ht="15.75" customHeight="1" s="25">
      <c r="A262" t="inlineStr">
        <is>
          <t>NEG-0260</t>
        </is>
      </c>
      <c r="B262" t="inlineStr">
        <is>
          <t>Sofía Henao Vélez</t>
        </is>
      </c>
      <c r="C262" t="inlineStr">
        <is>
          <t>PRY-004</t>
        </is>
      </c>
      <c r="D262" t="inlineStr">
        <is>
          <t>Casa 59</t>
        </is>
      </c>
      <c r="E262" t="inlineStr">
        <is>
          <t>Ana Quintero</t>
        </is>
      </c>
      <c r="F262" t="inlineStr">
        <is>
          <t>Ganado</t>
        </is>
      </c>
      <c r="G262" t="n">
        <v>465000000</v>
      </c>
      <c r="H262" t="n">
        <v>1</v>
      </c>
      <c r="I262" s="28" t="n">
        <v>45500</v>
      </c>
      <c r="J262" s="28" t="n">
        <v>45570</v>
      </c>
      <c r="K262" t="n">
        <v>70</v>
      </c>
      <c r="L262" t="inlineStr">
        <is>
          <t>Promesa de compraventa firmada</t>
        </is>
      </c>
    </row>
    <row r="263" ht="15.75" customHeight="1" s="25">
      <c r="A263" t="inlineStr">
        <is>
          <t>NEG-0261</t>
        </is>
      </c>
      <c r="B263" t="inlineStr">
        <is>
          <t>Paola Gaviria Osorio</t>
        </is>
      </c>
      <c r="C263" t="inlineStr">
        <is>
          <t>PRY-004</t>
        </is>
      </c>
      <c r="D263" t="inlineStr">
        <is>
          <t>Casa 23</t>
        </is>
      </c>
      <c r="E263" t="inlineStr">
        <is>
          <t>Luis Bedoya</t>
        </is>
      </c>
      <c r="F263" t="inlineStr">
        <is>
          <t>Perdido</t>
        </is>
      </c>
      <c r="G263" t="n">
        <v>550000000</v>
      </c>
      <c r="H263" t="n">
        <v>0</v>
      </c>
      <c r="I263" s="28" t="n">
        <v>45500</v>
      </c>
      <c r="J263" s="28" t="n">
        <v>45603</v>
      </c>
      <c r="K263" t="n">
        <v>103</v>
      </c>
      <c r="L263" t="inlineStr">
        <is>
          <t>Eligió otro proyecto</t>
        </is>
      </c>
    </row>
    <row r="264" ht="15.75" customHeight="1" s="25">
      <c r="A264" t="inlineStr">
        <is>
          <t>NEG-0262</t>
        </is>
      </c>
      <c r="B264" t="inlineStr">
        <is>
          <t>Nicolás Vélez Agudelo</t>
        </is>
      </c>
      <c r="C264" t="inlineStr">
        <is>
          <t>PRY-003</t>
        </is>
      </c>
      <c r="D264" t="inlineStr">
        <is>
          <t>Apto 1902</t>
        </is>
      </c>
      <c r="E264" t="inlineStr">
        <is>
          <t>Andrés Torres</t>
        </is>
      </c>
      <c r="F264" t="inlineStr">
        <is>
          <t>Perdido</t>
        </is>
      </c>
      <c r="G264" t="n">
        <v>381000000</v>
      </c>
      <c r="H264" t="n">
        <v>0</v>
      </c>
      <c r="I264" s="28" t="n">
        <v>45501</v>
      </c>
      <c r="J264" s="28" t="n">
        <v>45558</v>
      </c>
      <c r="K264" t="n">
        <v>57</v>
      </c>
      <c r="L264" t="inlineStr">
        <is>
          <t>No volvió a responder</t>
        </is>
      </c>
    </row>
    <row r="265" ht="15.75" customHeight="1" s="25">
      <c r="A265" t="inlineStr">
        <is>
          <t>NEG-0263</t>
        </is>
      </c>
      <c r="B265" t="inlineStr">
        <is>
          <t>Tomás Vásquez Hernández</t>
        </is>
      </c>
      <c r="C265" t="inlineStr">
        <is>
          <t>PRY-005</t>
        </is>
      </c>
      <c r="D265" t="inlineStr">
        <is>
          <t>Casa 1</t>
        </is>
      </c>
      <c r="E265" t="inlineStr">
        <is>
          <t>Juliana Vélez</t>
        </is>
      </c>
      <c r="F265" t="inlineStr">
        <is>
          <t>Ganado</t>
        </is>
      </c>
      <c r="G265" t="n">
        <v>427000000</v>
      </c>
      <c r="H265" t="n">
        <v>1</v>
      </c>
      <c r="I265" s="28" t="n">
        <v>45501</v>
      </c>
      <c r="J265" s="28" t="n">
        <v>45599</v>
      </c>
      <c r="K265" t="n">
        <v>98</v>
      </c>
      <c r="L265" t="inlineStr">
        <is>
          <t>Promesa de compraventa firmada</t>
        </is>
      </c>
    </row>
    <row r="266" ht="15.75" customHeight="1" s="25">
      <c r="A266" t="inlineStr">
        <is>
          <t>NEG-0264</t>
        </is>
      </c>
      <c r="B266" t="inlineStr">
        <is>
          <t>David Toro Ríos</t>
        </is>
      </c>
      <c r="C266" t="inlineStr">
        <is>
          <t>PRY-004</t>
        </is>
      </c>
      <c r="D266" t="inlineStr">
        <is>
          <t>Casa 23</t>
        </is>
      </c>
      <c r="E266" t="inlineStr">
        <is>
          <t>Juliana Vélez</t>
        </is>
      </c>
      <c r="F266" t="inlineStr">
        <is>
          <t>Ganado</t>
        </is>
      </c>
      <c r="G266" t="n">
        <v>566000000</v>
      </c>
      <c r="H266" t="n">
        <v>1</v>
      </c>
      <c r="I266" s="28" t="n">
        <v>45502</v>
      </c>
      <c r="J266" s="28" t="n">
        <v>45607</v>
      </c>
      <c r="K266" t="n">
        <v>105</v>
      </c>
      <c r="L266" t="inlineStr">
        <is>
          <t>Promesa de compraventa firmada</t>
        </is>
      </c>
    </row>
    <row r="267" ht="15.75" customHeight="1" s="25">
      <c r="A267" t="inlineStr">
        <is>
          <t>NEG-0265</t>
        </is>
      </c>
      <c r="B267" t="inlineStr">
        <is>
          <t>Valentina Agudelo Hernández</t>
        </is>
      </c>
      <c r="C267" t="inlineStr">
        <is>
          <t>PRY-004</t>
        </is>
      </c>
      <c r="D267" t="inlineStr">
        <is>
          <t>Casa 49</t>
        </is>
      </c>
      <c r="E267" t="inlineStr">
        <is>
          <t>Luis Bedoya</t>
        </is>
      </c>
      <c r="F267" t="inlineStr">
        <is>
          <t>Perdido</t>
        </is>
      </c>
      <c r="G267" t="n">
        <v>470000000</v>
      </c>
      <c r="H267" t="n">
        <v>0</v>
      </c>
      <c r="I267" s="28" t="n">
        <v>45502</v>
      </c>
      <c r="J267" s="28" t="n">
        <v>45562</v>
      </c>
      <c r="K267" t="n">
        <v>60</v>
      </c>
      <c r="L267" t="inlineStr">
        <is>
          <t>Precio fuera de presupuesto</t>
        </is>
      </c>
    </row>
    <row r="268" ht="15.75" customHeight="1" s="25">
      <c r="A268" t="inlineStr">
        <is>
          <t>NEG-0266</t>
        </is>
      </c>
      <c r="B268" t="inlineStr">
        <is>
          <t>Julián Giraldo Vélez</t>
        </is>
      </c>
      <c r="C268" t="inlineStr">
        <is>
          <t>PRY-005</t>
        </is>
      </c>
      <c r="D268" t="inlineStr">
        <is>
          <t>Apto 408</t>
        </is>
      </c>
      <c r="E268" t="inlineStr">
        <is>
          <t>Santiago Muñoz</t>
        </is>
      </c>
      <c r="F268" t="inlineStr">
        <is>
          <t>Ganado</t>
        </is>
      </c>
      <c r="G268" t="n">
        <v>380000000</v>
      </c>
      <c r="H268" t="n">
        <v>1</v>
      </c>
      <c r="I268" s="28" t="n">
        <v>45504</v>
      </c>
      <c r="J268" s="28" t="n">
        <v>45545</v>
      </c>
      <c r="K268" t="n">
        <v>41</v>
      </c>
      <c r="L268" t="inlineStr">
        <is>
          <t>Promesa de compraventa firmada</t>
        </is>
      </c>
    </row>
    <row r="269" ht="15.75" customHeight="1" s="25">
      <c r="A269" t="inlineStr">
        <is>
          <t>NEG-0267</t>
        </is>
      </c>
      <c r="B269" t="inlineStr">
        <is>
          <t>Sofía Cifuentes Londoño</t>
        </is>
      </c>
      <c r="C269" t="inlineStr">
        <is>
          <t>PRY-002</t>
        </is>
      </c>
      <c r="D269" t="inlineStr">
        <is>
          <t>Casa 17</t>
        </is>
      </c>
      <c r="E269" t="inlineStr">
        <is>
          <t>Luis Bedoya</t>
        </is>
      </c>
      <c r="F269" t="inlineStr">
        <is>
          <t>Ganado</t>
        </is>
      </c>
      <c r="G269" t="n">
        <v>713000000</v>
      </c>
      <c r="H269" t="n">
        <v>1</v>
      </c>
      <c r="I269" s="28" t="n">
        <v>45505</v>
      </c>
      <c r="J269" s="28" t="n">
        <v>45587</v>
      </c>
      <c r="K269" t="n">
        <v>82</v>
      </c>
      <c r="L269" t="inlineStr">
        <is>
          <t>Promesa de compraventa firmada</t>
        </is>
      </c>
    </row>
    <row r="270" ht="15.75" customHeight="1" s="25">
      <c r="A270" t="inlineStr">
        <is>
          <t>NEG-0268</t>
        </is>
      </c>
      <c r="B270" t="inlineStr">
        <is>
          <t>Fernando Espinosa Cano</t>
        </is>
      </c>
      <c r="C270" t="inlineStr">
        <is>
          <t>PRY-002</t>
        </is>
      </c>
      <c r="D270" t="inlineStr">
        <is>
          <t>Casa 51</t>
        </is>
      </c>
      <c r="E270" t="inlineStr">
        <is>
          <t>Santiago Muñoz</t>
        </is>
      </c>
      <c r="F270" t="inlineStr">
        <is>
          <t>Ganado</t>
        </is>
      </c>
      <c r="G270" t="n">
        <v>653000000</v>
      </c>
      <c r="H270" t="n">
        <v>1</v>
      </c>
      <c r="I270" s="28" t="n">
        <v>45507</v>
      </c>
      <c r="J270" s="28" t="n">
        <v>45603</v>
      </c>
      <c r="K270" t="n">
        <v>96</v>
      </c>
      <c r="L270" t="inlineStr">
        <is>
          <t>Promesa de compraventa firmada</t>
        </is>
      </c>
    </row>
    <row r="271" ht="15.75" customHeight="1" s="25">
      <c r="A271" t="inlineStr">
        <is>
          <t>NEG-0269</t>
        </is>
      </c>
      <c r="B271" t="inlineStr">
        <is>
          <t>Diana Agudelo Cifuentes</t>
        </is>
      </c>
      <c r="C271" t="inlineStr">
        <is>
          <t>PRY-004</t>
        </is>
      </c>
      <c r="D271" t="inlineStr">
        <is>
          <t>Casa 1</t>
        </is>
      </c>
      <c r="E271" t="inlineStr">
        <is>
          <t>Luis Bedoya</t>
        </is>
      </c>
      <c r="F271" t="inlineStr">
        <is>
          <t>Perdido</t>
        </is>
      </c>
      <c r="G271" t="n">
        <v>534000000</v>
      </c>
      <c r="H271" t="n">
        <v>0</v>
      </c>
      <c r="I271" s="28" t="n">
        <v>45508</v>
      </c>
      <c r="J271" s="28" t="n">
        <v>45556</v>
      </c>
      <c r="K271" t="n">
        <v>48</v>
      </c>
      <c r="L271" t="inlineStr">
        <is>
          <t>Crédito no aprobado</t>
        </is>
      </c>
    </row>
    <row r="272" ht="15.75" customHeight="1" s="25">
      <c r="A272" t="inlineStr">
        <is>
          <t>NEG-0270</t>
        </is>
      </c>
      <c r="B272" t="inlineStr">
        <is>
          <t>Marcela Rojas Cano</t>
        </is>
      </c>
      <c r="C272" t="inlineStr">
        <is>
          <t>PRY-002</t>
        </is>
      </c>
      <c r="D272" t="inlineStr">
        <is>
          <t>Casa 13</t>
        </is>
      </c>
      <c r="E272" t="inlineStr">
        <is>
          <t>Luis Bedoya</t>
        </is>
      </c>
      <c r="F272" t="inlineStr">
        <is>
          <t>Ganado</t>
        </is>
      </c>
      <c r="G272" t="n">
        <v>675000000</v>
      </c>
      <c r="H272" t="n">
        <v>1</v>
      </c>
      <c r="I272" s="28" t="n">
        <v>45510</v>
      </c>
      <c r="J272" s="28" t="n">
        <v>45640</v>
      </c>
      <c r="K272" t="n">
        <v>130</v>
      </c>
      <c r="L272" t="inlineStr">
        <is>
          <t>Promesa de compraventa firmada</t>
        </is>
      </c>
    </row>
    <row r="273" ht="15.75" customHeight="1" s="25">
      <c r="A273" t="inlineStr">
        <is>
          <t>NEG-0271</t>
        </is>
      </c>
      <c r="B273" t="inlineStr">
        <is>
          <t>Laura Correa Duque</t>
        </is>
      </c>
      <c r="C273" t="inlineStr">
        <is>
          <t>PRY-003</t>
        </is>
      </c>
      <c r="D273" t="inlineStr">
        <is>
          <t>Apto 2504</t>
        </is>
      </c>
      <c r="E273" t="inlineStr">
        <is>
          <t>Sofía Prada</t>
        </is>
      </c>
      <c r="F273" t="inlineStr">
        <is>
          <t>Ganado</t>
        </is>
      </c>
      <c r="G273" t="n">
        <v>368000000</v>
      </c>
      <c r="H273" t="n">
        <v>1</v>
      </c>
      <c r="I273" s="28" t="n">
        <v>45510</v>
      </c>
      <c r="J273" s="28" t="n">
        <v>45535</v>
      </c>
      <c r="K273" t="n">
        <v>25</v>
      </c>
      <c r="L273" t="inlineStr">
        <is>
          <t>Promesa de compraventa firmada</t>
        </is>
      </c>
    </row>
    <row r="274" ht="15.75" customHeight="1" s="25">
      <c r="A274" t="inlineStr">
        <is>
          <t>NEG-0272</t>
        </is>
      </c>
      <c r="B274" t="inlineStr">
        <is>
          <t>Alejandro Arango Quintero</t>
        </is>
      </c>
      <c r="C274" t="inlineStr">
        <is>
          <t>PRY-003</t>
        </is>
      </c>
      <c r="D274" t="inlineStr">
        <is>
          <t>Apto 2403</t>
        </is>
      </c>
      <c r="E274" t="inlineStr">
        <is>
          <t>Sofía Prada</t>
        </is>
      </c>
      <c r="F274" t="inlineStr">
        <is>
          <t>Ganado</t>
        </is>
      </c>
      <c r="G274" t="n">
        <v>300000000</v>
      </c>
      <c r="H274" t="n">
        <v>1</v>
      </c>
      <c r="I274" s="28" t="n">
        <v>45510</v>
      </c>
      <c r="J274" s="28" t="n">
        <v>45581</v>
      </c>
      <c r="K274" t="n">
        <v>71</v>
      </c>
      <c r="L274" t="inlineStr">
        <is>
          <t>Promesa de compraventa firmada</t>
        </is>
      </c>
    </row>
    <row r="275" ht="15.75" customHeight="1" s="25">
      <c r="A275" t="inlineStr">
        <is>
          <t>NEG-0273</t>
        </is>
      </c>
      <c r="B275" t="inlineStr">
        <is>
          <t>Mónica Toro Cardona</t>
        </is>
      </c>
      <c r="C275" t="inlineStr">
        <is>
          <t>PRY-007</t>
        </is>
      </c>
      <c r="D275" t="inlineStr">
        <is>
          <t>Apto 1403</t>
        </is>
      </c>
      <c r="E275" t="inlineStr">
        <is>
          <t>Ana Quintero</t>
        </is>
      </c>
      <c r="F275" t="inlineStr">
        <is>
          <t>Perdido</t>
        </is>
      </c>
      <c r="G275" t="n">
        <v>580000000</v>
      </c>
      <c r="H275" t="n">
        <v>0</v>
      </c>
      <c r="I275" s="28" t="n">
        <v>45510</v>
      </c>
      <c r="J275" s="28" t="n">
        <v>45613</v>
      </c>
      <c r="K275" t="n">
        <v>103</v>
      </c>
      <c r="L275" t="inlineStr">
        <is>
          <t>Crédito no aprobado</t>
        </is>
      </c>
    </row>
    <row r="276" ht="15.75" customHeight="1" s="25">
      <c r="A276" t="inlineStr">
        <is>
          <t>NEG-0274</t>
        </is>
      </c>
      <c r="B276" t="inlineStr">
        <is>
          <t>Valeria Salazar Vásquez</t>
        </is>
      </c>
      <c r="C276" t="inlineStr">
        <is>
          <t>PRY-004</t>
        </is>
      </c>
      <c r="D276" t="inlineStr">
        <is>
          <t>Casa 45</t>
        </is>
      </c>
      <c r="E276" t="inlineStr">
        <is>
          <t>Miguel Salazar</t>
        </is>
      </c>
      <c r="F276" t="inlineStr">
        <is>
          <t>Ganado</t>
        </is>
      </c>
      <c r="G276" t="n">
        <v>491000000</v>
      </c>
      <c r="H276" t="n">
        <v>1</v>
      </c>
      <c r="I276" s="28" t="n">
        <v>45511</v>
      </c>
      <c r="J276" s="28" t="n">
        <v>45569</v>
      </c>
      <c r="K276" t="n">
        <v>58</v>
      </c>
      <c r="L276" t="inlineStr">
        <is>
          <t>Promesa de compraventa firmada</t>
        </is>
      </c>
    </row>
    <row r="277" ht="15.75" customHeight="1" s="25">
      <c r="A277" t="inlineStr">
        <is>
          <t>NEG-0275</t>
        </is>
      </c>
      <c r="B277" t="inlineStr">
        <is>
          <t>Wilson López López</t>
        </is>
      </c>
      <c r="C277" t="inlineStr">
        <is>
          <t>PRY-007</t>
        </is>
      </c>
      <c r="D277" t="inlineStr">
        <is>
          <t>Apto 504</t>
        </is>
      </c>
      <c r="E277" t="inlineStr">
        <is>
          <t>Luis Bedoya</t>
        </is>
      </c>
      <c r="F277" t="inlineStr">
        <is>
          <t>Ganado</t>
        </is>
      </c>
      <c r="G277" t="n">
        <v>586000000</v>
      </c>
      <c r="H277" t="n">
        <v>1</v>
      </c>
      <c r="I277" s="28" t="n">
        <v>45511</v>
      </c>
      <c r="J277" s="28" t="n">
        <v>45558</v>
      </c>
      <c r="K277" t="n">
        <v>47</v>
      </c>
      <c r="L277" t="inlineStr">
        <is>
          <t>Promesa de compraventa firmada</t>
        </is>
      </c>
    </row>
    <row r="278" ht="15.75" customHeight="1" s="25">
      <c r="A278" t="inlineStr">
        <is>
          <t>NEG-0276</t>
        </is>
      </c>
      <c r="B278" t="inlineStr">
        <is>
          <t>Ricardo Gaviria Cifuentes</t>
        </is>
      </c>
      <c r="C278" t="inlineStr">
        <is>
          <t>PRY-001</t>
        </is>
      </c>
      <c r="D278" t="inlineStr">
        <is>
          <t>Apto 1805</t>
        </is>
      </c>
      <c r="E278" t="inlineStr">
        <is>
          <t>Sofía Prada</t>
        </is>
      </c>
      <c r="F278" t="inlineStr">
        <is>
          <t>Ganado</t>
        </is>
      </c>
      <c r="G278" t="n">
        <v>711000000</v>
      </c>
      <c r="H278" t="n">
        <v>1</v>
      </c>
      <c r="I278" s="28" t="n">
        <v>45512</v>
      </c>
      <c r="J278" s="28" t="n">
        <v>45567</v>
      </c>
      <c r="K278" t="n">
        <v>55</v>
      </c>
      <c r="L278" t="inlineStr">
        <is>
          <t>Promesa de compraventa firmada</t>
        </is>
      </c>
    </row>
    <row r="279" ht="15.75" customHeight="1" s="25">
      <c r="A279" t="inlineStr">
        <is>
          <t>NEG-0277</t>
        </is>
      </c>
      <c r="B279" t="inlineStr">
        <is>
          <t>Emilio Montoya Cardona</t>
        </is>
      </c>
      <c r="C279" t="inlineStr">
        <is>
          <t>PRY-007</t>
        </is>
      </c>
      <c r="D279" t="inlineStr">
        <is>
          <t>Apto 1002</t>
        </is>
      </c>
      <c r="E279" t="inlineStr">
        <is>
          <t>Juliana Vélez</t>
        </is>
      </c>
      <c r="F279" t="inlineStr">
        <is>
          <t>Perdido</t>
        </is>
      </c>
      <c r="G279" t="n">
        <v>559000000</v>
      </c>
      <c r="H279" t="n">
        <v>0</v>
      </c>
      <c r="I279" s="28" t="n">
        <v>45512</v>
      </c>
      <c r="J279" s="28" t="n">
        <v>45584</v>
      </c>
      <c r="K279" t="n">
        <v>72</v>
      </c>
      <c r="L279" t="inlineStr">
        <is>
          <t>Crédito no aprobado</t>
        </is>
      </c>
    </row>
    <row r="280" ht="15.75" customHeight="1" s="25">
      <c r="A280" t="inlineStr">
        <is>
          <t>NEG-0278</t>
        </is>
      </c>
      <c r="B280" t="inlineStr">
        <is>
          <t>Manuela Marín Giraldo</t>
        </is>
      </c>
      <c r="C280" t="inlineStr">
        <is>
          <t>PRY-004</t>
        </is>
      </c>
      <c r="D280" t="inlineStr">
        <is>
          <t>Casa 25</t>
        </is>
      </c>
      <c r="E280" t="inlineStr">
        <is>
          <t>Ana Quintero</t>
        </is>
      </c>
      <c r="F280" t="inlineStr">
        <is>
          <t>Perdido</t>
        </is>
      </c>
      <c r="G280" t="n">
        <v>453000000</v>
      </c>
      <c r="H280" t="n">
        <v>0</v>
      </c>
      <c r="I280" s="28" t="n">
        <v>45513</v>
      </c>
      <c r="J280" s="28" t="n">
        <v>45623</v>
      </c>
      <c r="K280" t="n">
        <v>110</v>
      </c>
      <c r="L280" t="inlineStr">
        <is>
          <t>Crédito no aprobado</t>
        </is>
      </c>
    </row>
    <row r="281" ht="15.75" customHeight="1" s="25">
      <c r="A281" t="inlineStr">
        <is>
          <t>NEG-0279</t>
        </is>
      </c>
      <c r="B281" t="inlineStr">
        <is>
          <t>Tomás Pérez Quintero</t>
        </is>
      </c>
      <c r="C281" t="inlineStr">
        <is>
          <t>PRY-005</t>
        </is>
      </c>
      <c r="D281" t="inlineStr">
        <is>
          <t>Apto 904</t>
        </is>
      </c>
      <c r="E281" t="inlineStr">
        <is>
          <t>Andrés Torres</t>
        </is>
      </c>
      <c r="F281" t="inlineStr">
        <is>
          <t>Ganado</t>
        </is>
      </c>
      <c r="G281" t="n">
        <v>362000000</v>
      </c>
      <c r="H281" t="n">
        <v>1</v>
      </c>
      <c r="I281" s="28" t="n">
        <v>45514</v>
      </c>
      <c r="J281" s="28" t="n">
        <v>45620</v>
      </c>
      <c r="K281" t="n">
        <v>106</v>
      </c>
      <c r="L281" t="inlineStr">
        <is>
          <t>Promesa de compraventa firmada</t>
        </is>
      </c>
    </row>
    <row r="282" ht="15.75" customHeight="1" s="25">
      <c r="A282" t="inlineStr">
        <is>
          <t>NEG-0280</t>
        </is>
      </c>
      <c r="B282" t="inlineStr">
        <is>
          <t>Marcela Toro Álvarez</t>
        </is>
      </c>
      <c r="C282" t="inlineStr">
        <is>
          <t>PRY-005</t>
        </is>
      </c>
      <c r="D282" t="inlineStr">
        <is>
          <t>Apto 406</t>
        </is>
      </c>
      <c r="E282" t="inlineStr">
        <is>
          <t>Miguel Salazar</t>
        </is>
      </c>
      <c r="F282" t="inlineStr">
        <is>
          <t>Perdido</t>
        </is>
      </c>
      <c r="G282" t="n">
        <v>399000000</v>
      </c>
      <c r="H282" t="n">
        <v>0</v>
      </c>
      <c r="I282" s="28" t="n">
        <v>45514</v>
      </c>
      <c r="J282" s="28" t="n">
        <v>45574</v>
      </c>
      <c r="K282" t="n">
        <v>60</v>
      </c>
      <c r="L282" t="inlineStr">
        <is>
          <t>Crédito no aprobado</t>
        </is>
      </c>
    </row>
    <row r="283" ht="15.75" customHeight="1" s="25">
      <c r="A283" t="inlineStr">
        <is>
          <t>NEG-0281</t>
        </is>
      </c>
      <c r="B283" t="inlineStr">
        <is>
          <t>Mauricio Higuita Gaviria</t>
        </is>
      </c>
      <c r="C283" t="inlineStr">
        <is>
          <t>PRY-005</t>
        </is>
      </c>
      <c r="D283" t="inlineStr">
        <is>
          <t>Apto 504</t>
        </is>
      </c>
      <c r="E283" t="inlineStr">
        <is>
          <t>Miguel Salazar</t>
        </is>
      </c>
      <c r="F283" t="inlineStr">
        <is>
          <t>Perdido</t>
        </is>
      </c>
      <c r="G283" t="n">
        <v>422000000</v>
      </c>
      <c r="H283" t="n">
        <v>0</v>
      </c>
      <c r="I283" s="28" t="n">
        <v>45514</v>
      </c>
      <c r="J283" s="28" t="n">
        <v>45622</v>
      </c>
      <c r="K283" t="n">
        <v>108</v>
      </c>
      <c r="L283" t="inlineStr">
        <is>
          <t>Crédito no aprobado</t>
        </is>
      </c>
    </row>
    <row r="284" ht="15.75" customHeight="1" s="25">
      <c r="A284" t="inlineStr">
        <is>
          <t>NEG-0282</t>
        </is>
      </c>
      <c r="B284" t="inlineStr">
        <is>
          <t>Gabriel Ramírez Franco</t>
        </is>
      </c>
      <c r="C284" t="inlineStr">
        <is>
          <t>PRY-008</t>
        </is>
      </c>
      <c r="D284" t="inlineStr">
        <is>
          <t>Casa 103</t>
        </is>
      </c>
      <c r="E284" t="inlineStr">
        <is>
          <t>Luis Bedoya</t>
        </is>
      </c>
      <c r="F284" t="inlineStr">
        <is>
          <t>Ganado</t>
        </is>
      </c>
      <c r="G284" t="n">
        <v>132000000</v>
      </c>
      <c r="H284" t="n">
        <v>1</v>
      </c>
      <c r="I284" s="28" t="n">
        <v>45514</v>
      </c>
      <c r="J284" s="28" t="n">
        <v>45553</v>
      </c>
      <c r="K284" t="n">
        <v>39</v>
      </c>
      <c r="L284" t="inlineStr">
        <is>
          <t>Promesa de compraventa firmada</t>
        </is>
      </c>
    </row>
    <row r="285" ht="15.75" customHeight="1" s="25">
      <c r="A285" t="inlineStr">
        <is>
          <t>NEG-0283</t>
        </is>
      </c>
      <c r="B285" t="inlineStr">
        <is>
          <t>Mónica Gaviria Gaviria</t>
        </is>
      </c>
      <c r="C285" t="inlineStr">
        <is>
          <t>PRY-004</t>
        </is>
      </c>
      <c r="D285" t="inlineStr">
        <is>
          <t>Casa 63</t>
        </is>
      </c>
      <c r="E285" t="inlineStr">
        <is>
          <t>Juliana Vélez</t>
        </is>
      </c>
      <c r="F285" t="inlineStr">
        <is>
          <t>Ganado</t>
        </is>
      </c>
      <c r="G285" t="n">
        <v>472000000</v>
      </c>
      <c r="H285" t="n">
        <v>1</v>
      </c>
      <c r="I285" s="28" t="n">
        <v>45515</v>
      </c>
      <c r="J285" s="28" t="n">
        <v>45563</v>
      </c>
      <c r="K285" t="n">
        <v>48</v>
      </c>
      <c r="L285" t="inlineStr">
        <is>
          <t>Promesa de compraventa firmada</t>
        </is>
      </c>
    </row>
    <row r="286" ht="15.75" customHeight="1" s="25">
      <c r="A286" t="inlineStr">
        <is>
          <t>NEG-0284</t>
        </is>
      </c>
      <c r="B286" t="inlineStr">
        <is>
          <t>Natalia Ríos Escobar</t>
        </is>
      </c>
      <c r="C286" t="inlineStr">
        <is>
          <t>PRY-004</t>
        </is>
      </c>
      <c r="D286" t="inlineStr">
        <is>
          <t>Casa 69</t>
        </is>
      </c>
      <c r="E286" t="inlineStr">
        <is>
          <t>Sofía Prada</t>
        </is>
      </c>
      <c r="F286" t="inlineStr">
        <is>
          <t>Ganado</t>
        </is>
      </c>
      <c r="G286" t="n">
        <v>489000000</v>
      </c>
      <c r="H286" t="n">
        <v>1</v>
      </c>
      <c r="I286" s="28" t="n">
        <v>45515</v>
      </c>
      <c r="J286" s="28" t="n">
        <v>45601</v>
      </c>
      <c r="K286" t="n">
        <v>86</v>
      </c>
      <c r="L286" t="inlineStr">
        <is>
          <t>Promesa de compraventa firmada</t>
        </is>
      </c>
    </row>
    <row r="287" ht="15.75" customHeight="1" s="25">
      <c r="A287" t="inlineStr">
        <is>
          <t>NEG-0285</t>
        </is>
      </c>
      <c r="B287" t="inlineStr">
        <is>
          <t>Katherine Vélez Restrepo</t>
        </is>
      </c>
      <c r="C287" t="inlineStr">
        <is>
          <t>PRY-007</t>
        </is>
      </c>
      <c r="D287" t="inlineStr">
        <is>
          <t>Apto 306</t>
        </is>
      </c>
      <c r="E287" t="inlineStr">
        <is>
          <t>Santiago Muñoz</t>
        </is>
      </c>
      <c r="F287" t="inlineStr">
        <is>
          <t>Perdido</t>
        </is>
      </c>
      <c r="G287" t="n">
        <v>711000000</v>
      </c>
      <c r="H287" t="n">
        <v>0</v>
      </c>
      <c r="I287" s="28" t="n">
        <v>45515</v>
      </c>
      <c r="J287" s="28" t="n">
        <v>45580</v>
      </c>
      <c r="K287" t="n">
        <v>65</v>
      </c>
      <c r="L287" t="inlineStr">
        <is>
          <t>Crédito no aprobado</t>
        </is>
      </c>
    </row>
    <row r="288" ht="15.75" customHeight="1" s="25">
      <c r="A288" t="inlineStr">
        <is>
          <t>NEG-0286</t>
        </is>
      </c>
      <c r="B288" t="inlineStr">
        <is>
          <t>Luisa Giraldo López</t>
        </is>
      </c>
      <c r="C288" t="inlineStr">
        <is>
          <t>PRY-001</t>
        </is>
      </c>
      <c r="D288" t="inlineStr">
        <is>
          <t>Apto 802</t>
        </is>
      </c>
      <c r="E288" t="inlineStr">
        <is>
          <t>Santiago Muñoz</t>
        </is>
      </c>
      <c r="F288" t="inlineStr">
        <is>
          <t>Ganado</t>
        </is>
      </c>
      <c r="G288" t="n">
        <v>587000000</v>
      </c>
      <c r="H288" t="n">
        <v>1</v>
      </c>
      <c r="I288" s="28" t="n">
        <v>45516</v>
      </c>
      <c r="J288" s="28" t="n">
        <v>45584</v>
      </c>
      <c r="K288" t="n">
        <v>68</v>
      </c>
      <c r="L288" t="inlineStr">
        <is>
          <t>Promesa de compraventa firmada</t>
        </is>
      </c>
    </row>
    <row r="289" ht="15.75" customHeight="1" s="25">
      <c r="A289" t="inlineStr">
        <is>
          <t>NEG-0287</t>
        </is>
      </c>
      <c r="B289" t="inlineStr">
        <is>
          <t>Santiago Higuita Duque</t>
        </is>
      </c>
      <c r="C289" t="inlineStr">
        <is>
          <t>PRY-008</t>
        </is>
      </c>
      <c r="D289" t="inlineStr">
        <is>
          <t>Casa 54</t>
        </is>
      </c>
      <c r="E289" t="inlineStr">
        <is>
          <t>Sofía Prada</t>
        </is>
      </c>
      <c r="F289" t="inlineStr">
        <is>
          <t>Ganado</t>
        </is>
      </c>
      <c r="G289" t="n">
        <v>171000000</v>
      </c>
      <c r="H289" t="n">
        <v>1</v>
      </c>
      <c r="I289" s="28" t="n">
        <v>45516</v>
      </c>
      <c r="J289" s="28" t="n">
        <v>45575</v>
      </c>
      <c r="K289" t="n">
        <v>59</v>
      </c>
      <c r="L289" t="inlineStr">
        <is>
          <t>Promesa de compraventa firmada</t>
        </is>
      </c>
    </row>
    <row r="290" ht="15.75" customHeight="1" s="25">
      <c r="A290" t="inlineStr">
        <is>
          <t>NEG-0288</t>
        </is>
      </c>
      <c r="B290" t="inlineStr">
        <is>
          <t>Wilson Zapata Restrepo</t>
        </is>
      </c>
      <c r="C290" t="inlineStr">
        <is>
          <t>PRY-003</t>
        </is>
      </c>
      <c r="D290" t="inlineStr">
        <is>
          <t>Apto 2304</t>
        </is>
      </c>
      <c r="E290" t="inlineStr">
        <is>
          <t>Sofía Prada</t>
        </is>
      </c>
      <c r="F290" t="inlineStr">
        <is>
          <t>Perdido</t>
        </is>
      </c>
      <c r="G290" t="n">
        <v>357000000</v>
      </c>
      <c r="H290" t="n">
        <v>0</v>
      </c>
      <c r="I290" s="28" t="n">
        <v>45517</v>
      </c>
      <c r="J290" s="28" t="n">
        <v>45570</v>
      </c>
      <c r="K290" t="n">
        <v>53</v>
      </c>
      <c r="L290" t="inlineStr">
        <is>
          <t>No volvió a responder</t>
        </is>
      </c>
    </row>
    <row r="291" ht="15.75" customHeight="1" s="25">
      <c r="A291" t="inlineStr">
        <is>
          <t>NEG-0289</t>
        </is>
      </c>
      <c r="B291" t="inlineStr">
        <is>
          <t>Gabriel Rojas Sánchez</t>
        </is>
      </c>
      <c r="C291" t="inlineStr">
        <is>
          <t>PRY-005</t>
        </is>
      </c>
      <c r="D291" t="inlineStr">
        <is>
          <t>Apto 904</t>
        </is>
      </c>
      <c r="E291" t="inlineStr">
        <is>
          <t>Miguel Salazar</t>
        </is>
      </c>
      <c r="F291" t="inlineStr">
        <is>
          <t>Perdido</t>
        </is>
      </c>
      <c r="G291" t="n">
        <v>354000000</v>
      </c>
      <c r="H291" t="n">
        <v>0</v>
      </c>
      <c r="I291" s="28" t="n">
        <v>45517</v>
      </c>
      <c r="J291" s="28" t="n">
        <v>45625</v>
      </c>
      <c r="K291" t="n">
        <v>108</v>
      </c>
      <c r="L291" t="inlineStr">
        <is>
          <t>Precio fuera de presupuesto</t>
        </is>
      </c>
    </row>
    <row r="292" ht="15.75" customHeight="1" s="25">
      <c r="A292" t="inlineStr">
        <is>
          <t>NEG-0290</t>
        </is>
      </c>
      <c r="B292" t="inlineStr">
        <is>
          <t>Valeria Agudelo Giraldo</t>
        </is>
      </c>
      <c r="C292" t="inlineStr">
        <is>
          <t>PRY-008</t>
        </is>
      </c>
      <c r="D292" t="inlineStr">
        <is>
          <t>Casa 51</t>
        </is>
      </c>
      <c r="E292" t="inlineStr">
        <is>
          <t>Miguel Salazar</t>
        </is>
      </c>
      <c r="F292" t="inlineStr">
        <is>
          <t>Perdido</t>
        </is>
      </c>
      <c r="G292" t="n">
        <v>170000000</v>
      </c>
      <c r="H292" t="n">
        <v>0</v>
      </c>
      <c r="I292" s="28" t="n">
        <v>45517</v>
      </c>
      <c r="J292" s="28" t="n">
        <v>45572</v>
      </c>
      <c r="K292" t="n">
        <v>55</v>
      </c>
      <c r="L292" t="inlineStr">
        <is>
          <t>Precio fuera de presupuesto</t>
        </is>
      </c>
    </row>
    <row r="293" ht="15.75" customHeight="1" s="25">
      <c r="A293" t="inlineStr">
        <is>
          <t>NEG-0291</t>
        </is>
      </c>
      <c r="B293" t="inlineStr">
        <is>
          <t>Esteban Franco Álvarez</t>
        </is>
      </c>
      <c r="C293" t="inlineStr">
        <is>
          <t>PRY-003</t>
        </is>
      </c>
      <c r="D293" t="inlineStr">
        <is>
          <t>Apto 408</t>
        </is>
      </c>
      <c r="E293" t="inlineStr">
        <is>
          <t>Paula Arenas</t>
        </is>
      </c>
      <c r="F293" t="inlineStr">
        <is>
          <t>Ganado</t>
        </is>
      </c>
      <c r="G293" t="n">
        <v>277000000</v>
      </c>
      <c r="H293" t="n">
        <v>1</v>
      </c>
      <c r="I293" s="28" t="n">
        <v>45518</v>
      </c>
      <c r="J293" s="28" t="n">
        <v>45606</v>
      </c>
      <c r="K293" t="n">
        <v>88</v>
      </c>
      <c r="L293" t="inlineStr">
        <is>
          <t>Promesa de compraventa firmada</t>
        </is>
      </c>
    </row>
    <row r="294" ht="15.75" customHeight="1" s="25">
      <c r="A294" t="inlineStr">
        <is>
          <t>NEG-0292</t>
        </is>
      </c>
      <c r="B294" t="inlineStr">
        <is>
          <t>Isabel Higuita Álvarez</t>
        </is>
      </c>
      <c r="C294" t="inlineStr">
        <is>
          <t>PRY-007</t>
        </is>
      </c>
      <c r="D294" t="inlineStr">
        <is>
          <t>Apto 602</t>
        </is>
      </c>
      <c r="E294" t="inlineStr">
        <is>
          <t>Andrés Torres</t>
        </is>
      </c>
      <c r="F294" t="inlineStr">
        <is>
          <t>Ganado</t>
        </is>
      </c>
      <c r="G294" t="n">
        <v>551000000</v>
      </c>
      <c r="H294" t="n">
        <v>1</v>
      </c>
      <c r="I294" s="28" t="n">
        <v>45518</v>
      </c>
      <c r="J294" s="28" t="n">
        <v>45626</v>
      </c>
      <c r="K294" t="n">
        <v>108</v>
      </c>
      <c r="L294" t="inlineStr">
        <is>
          <t>Promesa de compraventa firmada</t>
        </is>
      </c>
    </row>
    <row r="295" ht="15.75" customHeight="1" s="25">
      <c r="A295" t="inlineStr">
        <is>
          <t>NEG-0293</t>
        </is>
      </c>
      <c r="B295" t="inlineStr">
        <is>
          <t>María Correa Londoño</t>
        </is>
      </c>
      <c r="C295" t="inlineStr">
        <is>
          <t>PRY-003</t>
        </is>
      </c>
      <c r="D295" t="inlineStr">
        <is>
          <t>Apto 2305</t>
        </is>
      </c>
      <c r="E295" t="inlineStr">
        <is>
          <t>Ana Quintero</t>
        </is>
      </c>
      <c r="F295" t="inlineStr">
        <is>
          <t>Ganado</t>
        </is>
      </c>
      <c r="G295" t="n">
        <v>336000000</v>
      </c>
      <c r="H295" t="n">
        <v>1</v>
      </c>
      <c r="I295" s="28" t="n">
        <v>45519</v>
      </c>
      <c r="J295" s="28" t="n">
        <v>45606</v>
      </c>
      <c r="K295" t="n">
        <v>87</v>
      </c>
      <c r="L295" t="inlineStr">
        <is>
          <t>Promesa de compraventa firmada</t>
        </is>
      </c>
    </row>
    <row r="296" ht="15.75" customHeight="1" s="25">
      <c r="A296" t="inlineStr">
        <is>
          <t>NEG-0294</t>
        </is>
      </c>
      <c r="B296" t="inlineStr">
        <is>
          <t>Mónica Cifuentes Vargas</t>
        </is>
      </c>
      <c r="C296" t="inlineStr">
        <is>
          <t>PRY-004</t>
        </is>
      </c>
      <c r="D296" t="inlineStr">
        <is>
          <t>Casa 3</t>
        </is>
      </c>
      <c r="E296" t="inlineStr">
        <is>
          <t>Sofía Prada</t>
        </is>
      </c>
      <c r="F296" t="inlineStr">
        <is>
          <t>Ganado</t>
        </is>
      </c>
      <c r="G296" t="n">
        <v>561000000</v>
      </c>
      <c r="H296" t="n">
        <v>1</v>
      </c>
      <c r="I296" s="28" t="n">
        <v>45521</v>
      </c>
      <c r="J296" s="28" t="n">
        <v>45603</v>
      </c>
      <c r="K296" t="n">
        <v>82</v>
      </c>
      <c r="L296" t="inlineStr">
        <is>
          <t>Promesa de compraventa firmada</t>
        </is>
      </c>
    </row>
    <row r="297" ht="15.75" customHeight="1" s="25">
      <c r="A297" t="inlineStr">
        <is>
          <t>NEG-0295</t>
        </is>
      </c>
      <c r="B297" t="inlineStr">
        <is>
          <t>Carlos Rojas Cardona</t>
        </is>
      </c>
      <c r="C297" t="inlineStr">
        <is>
          <t>PRY-001</t>
        </is>
      </c>
      <c r="D297" t="inlineStr">
        <is>
          <t>Apto 1702</t>
        </is>
      </c>
      <c r="E297" t="inlineStr">
        <is>
          <t>Sofía Prada</t>
        </is>
      </c>
      <c r="F297" t="inlineStr">
        <is>
          <t>Ganado</t>
        </is>
      </c>
      <c r="G297" t="n">
        <v>675000000</v>
      </c>
      <c r="H297" t="n">
        <v>1</v>
      </c>
      <c r="I297" s="28" t="n">
        <v>45525</v>
      </c>
      <c r="J297" s="28" t="n">
        <v>45565</v>
      </c>
      <c r="K297" t="n">
        <v>40</v>
      </c>
      <c r="L297" t="inlineStr">
        <is>
          <t>Promesa de compraventa firmada</t>
        </is>
      </c>
    </row>
    <row r="298" ht="15.75" customHeight="1" s="25">
      <c r="A298" t="inlineStr">
        <is>
          <t>NEG-0296</t>
        </is>
      </c>
      <c r="B298" t="inlineStr">
        <is>
          <t>Santiago Cifuentes Toro</t>
        </is>
      </c>
      <c r="C298" t="inlineStr">
        <is>
          <t>PRY-001</t>
        </is>
      </c>
      <c r="D298" t="inlineStr">
        <is>
          <t>Apto 1805</t>
        </is>
      </c>
      <c r="E298" t="inlineStr">
        <is>
          <t>Ana Quintero</t>
        </is>
      </c>
      <c r="F298" t="inlineStr">
        <is>
          <t>Perdido</t>
        </is>
      </c>
      <c r="G298" t="n">
        <v>701000000</v>
      </c>
      <c r="H298" t="n">
        <v>0</v>
      </c>
      <c r="I298" s="28" t="n">
        <v>45526</v>
      </c>
      <c r="J298" s="28" t="n">
        <v>45646</v>
      </c>
      <c r="K298" t="n">
        <v>120</v>
      </c>
      <c r="L298" t="inlineStr">
        <is>
          <t>Desistió de la compra</t>
        </is>
      </c>
    </row>
    <row r="299" ht="15.75" customHeight="1" s="25">
      <c r="A299" t="inlineStr">
        <is>
          <t>NEG-0297</t>
        </is>
      </c>
      <c r="B299" t="inlineStr">
        <is>
          <t>Ximena Palacio Correa</t>
        </is>
      </c>
      <c r="C299" t="inlineStr">
        <is>
          <t>PRY-005</t>
        </is>
      </c>
      <c r="D299" t="inlineStr">
        <is>
          <t>Apto 201</t>
        </is>
      </c>
      <c r="E299" t="inlineStr">
        <is>
          <t>Sofía Prada</t>
        </is>
      </c>
      <c r="F299" t="inlineStr">
        <is>
          <t>Perdido</t>
        </is>
      </c>
      <c r="G299" t="n">
        <v>407000000</v>
      </c>
      <c r="H299" t="n">
        <v>0</v>
      </c>
      <c r="I299" s="28" t="n">
        <v>45526</v>
      </c>
      <c r="J299" s="28" t="n">
        <v>45562</v>
      </c>
      <c r="K299" t="n">
        <v>36</v>
      </c>
      <c r="L299" t="inlineStr">
        <is>
          <t>Precio fuera de presupuesto</t>
        </is>
      </c>
    </row>
    <row r="300" ht="15.75" customHeight="1" s="25">
      <c r="A300" t="inlineStr">
        <is>
          <t>NEG-0298</t>
        </is>
      </c>
      <c r="B300" t="inlineStr">
        <is>
          <t>Cristian Vargas Ramírez</t>
        </is>
      </c>
      <c r="C300" t="inlineStr">
        <is>
          <t>PRY-003</t>
        </is>
      </c>
      <c r="D300" t="inlineStr">
        <is>
          <t>Apto 1501</t>
        </is>
      </c>
      <c r="E300" t="inlineStr">
        <is>
          <t>Andrés Torres</t>
        </is>
      </c>
      <c r="F300" t="inlineStr">
        <is>
          <t>Ganado</t>
        </is>
      </c>
      <c r="G300" t="n">
        <v>404000000</v>
      </c>
      <c r="H300" t="n">
        <v>1</v>
      </c>
      <c r="I300" s="28" t="n">
        <v>45527</v>
      </c>
      <c r="J300" s="28" t="n">
        <v>45606</v>
      </c>
      <c r="K300" t="n">
        <v>79</v>
      </c>
      <c r="L300" t="inlineStr">
        <is>
          <t>Promesa de compraventa firmada</t>
        </is>
      </c>
    </row>
    <row r="301" ht="15.75" customHeight="1" s="25">
      <c r="A301" t="inlineStr">
        <is>
          <t>NEG-0299</t>
        </is>
      </c>
      <c r="B301" t="inlineStr">
        <is>
          <t>Katherine Montoya Gaviria</t>
        </is>
      </c>
      <c r="C301" t="inlineStr">
        <is>
          <t>PRY-007</t>
        </is>
      </c>
      <c r="D301" t="inlineStr">
        <is>
          <t>Apto 1501</t>
        </is>
      </c>
      <c r="E301" t="inlineStr">
        <is>
          <t>Andrés Torres</t>
        </is>
      </c>
      <c r="F301" t="inlineStr">
        <is>
          <t>Ganado</t>
        </is>
      </c>
      <c r="G301" t="n">
        <v>687000000</v>
      </c>
      <c r="H301" t="n">
        <v>1</v>
      </c>
      <c r="I301" s="28" t="n">
        <v>45527</v>
      </c>
      <c r="J301" s="28" t="n">
        <v>45606</v>
      </c>
      <c r="K301" t="n">
        <v>79</v>
      </c>
      <c r="L301" t="inlineStr">
        <is>
          <t>Promesa de compraventa firmada</t>
        </is>
      </c>
    </row>
    <row r="302" ht="15.75" customHeight="1" s="25">
      <c r="A302" t="inlineStr">
        <is>
          <t>NEG-0300</t>
        </is>
      </c>
      <c r="B302" t="inlineStr">
        <is>
          <t>Diana Peláez Montes</t>
        </is>
      </c>
      <c r="C302" t="inlineStr">
        <is>
          <t>PRY-008</t>
        </is>
      </c>
      <c r="D302" t="inlineStr">
        <is>
          <t>Casa 9</t>
        </is>
      </c>
      <c r="E302" t="inlineStr">
        <is>
          <t>Juliana Vélez</t>
        </is>
      </c>
      <c r="F302" t="inlineStr">
        <is>
          <t>Ganado</t>
        </is>
      </c>
      <c r="G302" t="n">
        <v>153000000</v>
      </c>
      <c r="H302" t="n">
        <v>1</v>
      </c>
      <c r="I302" s="28" t="n">
        <v>45527</v>
      </c>
      <c r="J302" s="28" t="n">
        <v>45552</v>
      </c>
      <c r="K302" t="n">
        <v>25</v>
      </c>
      <c r="L302" t="inlineStr">
        <is>
          <t>Promesa de compraventa firmada</t>
        </is>
      </c>
    </row>
    <row r="303" ht="15.75" customHeight="1" s="25">
      <c r="A303" t="inlineStr">
        <is>
          <t>NEG-0301</t>
        </is>
      </c>
      <c r="B303" t="inlineStr">
        <is>
          <t>Laura Agudelo Mejía</t>
        </is>
      </c>
      <c r="C303" t="inlineStr">
        <is>
          <t>PRY-007</t>
        </is>
      </c>
      <c r="D303" t="inlineStr">
        <is>
          <t>Apto 1601</t>
        </is>
      </c>
      <c r="E303" t="inlineStr">
        <is>
          <t>Juliana Vélez</t>
        </is>
      </c>
      <c r="F303" t="inlineStr">
        <is>
          <t>Ganado</t>
        </is>
      </c>
      <c r="G303" t="n">
        <v>710000000</v>
      </c>
      <c r="H303" t="n">
        <v>1</v>
      </c>
      <c r="I303" s="28" t="n">
        <v>45528</v>
      </c>
      <c r="J303" s="28" t="n">
        <v>45590</v>
      </c>
      <c r="K303" t="n">
        <v>62</v>
      </c>
      <c r="L303" t="inlineStr">
        <is>
          <t>Promesa de compraventa firmada</t>
        </is>
      </c>
    </row>
    <row r="304" ht="15.75" customHeight="1" s="25">
      <c r="A304" t="inlineStr">
        <is>
          <t>NEG-0302</t>
        </is>
      </c>
      <c r="B304" t="inlineStr">
        <is>
          <t>Sandra Quintero Vargas</t>
        </is>
      </c>
      <c r="C304" t="inlineStr">
        <is>
          <t>PRY-003</t>
        </is>
      </c>
      <c r="D304" t="inlineStr">
        <is>
          <t>Apto 2605</t>
        </is>
      </c>
      <c r="E304" t="inlineStr">
        <is>
          <t>Ana Quintero</t>
        </is>
      </c>
      <c r="F304" t="inlineStr">
        <is>
          <t>Perdido</t>
        </is>
      </c>
      <c r="G304" t="n">
        <v>398000000</v>
      </c>
      <c r="H304" t="n">
        <v>0</v>
      </c>
      <c r="I304" s="28" t="n">
        <v>45529</v>
      </c>
      <c r="J304" s="28" t="n">
        <v>45591</v>
      </c>
      <c r="K304" t="n">
        <v>62</v>
      </c>
      <c r="L304" t="inlineStr">
        <is>
          <t>Precio fuera de presupuesto</t>
        </is>
      </c>
    </row>
    <row r="305" ht="15.75" customHeight="1" s="25">
      <c r="A305" t="inlineStr">
        <is>
          <t>NEG-0303</t>
        </is>
      </c>
      <c r="B305" t="inlineStr">
        <is>
          <t>Wilson Zapata Giraldo</t>
        </is>
      </c>
      <c r="C305" t="inlineStr">
        <is>
          <t>PRY-003</t>
        </is>
      </c>
      <c r="D305" t="inlineStr">
        <is>
          <t>Apto 2602</t>
        </is>
      </c>
      <c r="E305" t="inlineStr">
        <is>
          <t>Sofía Prada</t>
        </is>
      </c>
      <c r="F305" t="inlineStr">
        <is>
          <t>Ganado</t>
        </is>
      </c>
      <c r="G305" t="n">
        <v>353000000</v>
      </c>
      <c r="H305" t="n">
        <v>1</v>
      </c>
      <c r="I305" s="28" t="n">
        <v>45530</v>
      </c>
      <c r="J305" s="28" t="n">
        <v>45581</v>
      </c>
      <c r="K305" t="n">
        <v>51</v>
      </c>
      <c r="L305" t="inlineStr">
        <is>
          <t>Promesa de compraventa firmada</t>
        </is>
      </c>
    </row>
    <row r="306" ht="15.75" customHeight="1" s="25">
      <c r="A306" t="inlineStr">
        <is>
          <t>NEG-0304</t>
        </is>
      </c>
      <c r="B306" t="inlineStr">
        <is>
          <t>Gabriel Londoño Hernández</t>
        </is>
      </c>
      <c r="C306" t="inlineStr">
        <is>
          <t>PRY-004</t>
        </is>
      </c>
      <c r="D306" t="inlineStr">
        <is>
          <t>Casa 7</t>
        </is>
      </c>
      <c r="E306" t="inlineStr">
        <is>
          <t>Juliana Vélez</t>
        </is>
      </c>
      <c r="F306" t="inlineStr">
        <is>
          <t>Perdido</t>
        </is>
      </c>
      <c r="G306" t="n">
        <v>524000000</v>
      </c>
      <c r="H306" t="n">
        <v>0</v>
      </c>
      <c r="I306" s="28" t="n">
        <v>45530</v>
      </c>
      <c r="J306" s="28" t="n">
        <v>45581</v>
      </c>
      <c r="K306" t="n">
        <v>51</v>
      </c>
      <c r="L306" t="inlineStr">
        <is>
          <t>Crédito no aprobado</t>
        </is>
      </c>
    </row>
    <row r="307" ht="15.75" customHeight="1" s="25">
      <c r="A307" t="inlineStr">
        <is>
          <t>NEG-0305</t>
        </is>
      </c>
      <c r="B307" t="inlineStr">
        <is>
          <t>Jhon Muñoz Gómez</t>
        </is>
      </c>
      <c r="C307" t="inlineStr">
        <is>
          <t>PRY-003</t>
        </is>
      </c>
      <c r="D307" t="inlineStr">
        <is>
          <t>Apto 1301</t>
        </is>
      </c>
      <c r="E307" t="inlineStr">
        <is>
          <t>Miguel Salazar</t>
        </is>
      </c>
      <c r="F307" t="inlineStr">
        <is>
          <t>Ganado</t>
        </is>
      </c>
      <c r="G307" t="n">
        <v>336000000</v>
      </c>
      <c r="H307" t="n">
        <v>1</v>
      </c>
      <c r="I307" s="28" t="n">
        <v>45533</v>
      </c>
      <c r="J307" s="28" t="n">
        <v>45571</v>
      </c>
      <c r="K307" t="n">
        <v>38</v>
      </c>
      <c r="L307" t="inlineStr">
        <is>
          <t>Promesa de compraventa firmada</t>
        </is>
      </c>
    </row>
    <row r="308" ht="15.75" customHeight="1" s="25">
      <c r="A308" t="inlineStr">
        <is>
          <t>NEG-0306</t>
        </is>
      </c>
      <c r="B308" t="inlineStr">
        <is>
          <t>Wilson Vargas Mejía</t>
        </is>
      </c>
      <c r="C308" t="inlineStr">
        <is>
          <t>PRY-003</t>
        </is>
      </c>
      <c r="D308" t="inlineStr">
        <is>
          <t>Apto 1503</t>
        </is>
      </c>
      <c r="E308" t="inlineStr">
        <is>
          <t>Andrés Torres</t>
        </is>
      </c>
      <c r="F308" t="inlineStr">
        <is>
          <t>Ganado</t>
        </is>
      </c>
      <c r="G308" t="n">
        <v>388000000</v>
      </c>
      <c r="H308" t="n">
        <v>1</v>
      </c>
      <c r="I308" s="28" t="n">
        <v>45533</v>
      </c>
      <c r="J308" s="28" t="n">
        <v>45572</v>
      </c>
      <c r="K308" t="n">
        <v>39</v>
      </c>
      <c r="L308" t="inlineStr">
        <is>
          <t>Promesa de compraventa firmada</t>
        </is>
      </c>
    </row>
    <row r="309" ht="15.75" customHeight="1" s="25">
      <c r="A309" t="inlineStr">
        <is>
          <t>NEG-0307</t>
        </is>
      </c>
      <c r="B309" t="inlineStr">
        <is>
          <t>Simón Ramírez Zapata</t>
        </is>
      </c>
      <c r="C309" t="inlineStr">
        <is>
          <t>PRY-003</t>
        </is>
      </c>
      <c r="D309" t="inlineStr">
        <is>
          <t>Apto 1602</t>
        </is>
      </c>
      <c r="E309" t="inlineStr">
        <is>
          <t>Miguel Salazar</t>
        </is>
      </c>
      <c r="F309" t="inlineStr">
        <is>
          <t>Ganado</t>
        </is>
      </c>
      <c r="G309" t="n">
        <v>344000000</v>
      </c>
      <c r="H309" t="n">
        <v>1</v>
      </c>
      <c r="I309" s="28" t="n">
        <v>45533</v>
      </c>
      <c r="J309" s="28" t="n">
        <v>45599</v>
      </c>
      <c r="K309" t="n">
        <v>66</v>
      </c>
      <c r="L309" t="inlineStr">
        <is>
          <t>Promesa de compraventa firmada</t>
        </is>
      </c>
    </row>
    <row r="310" ht="15.75" customHeight="1" s="25">
      <c r="A310" t="inlineStr">
        <is>
          <t>NEG-0308</t>
        </is>
      </c>
      <c r="B310" t="inlineStr">
        <is>
          <t>Sofía Salazar Montes</t>
        </is>
      </c>
      <c r="C310" t="inlineStr">
        <is>
          <t>PRY-003</t>
        </is>
      </c>
      <c r="D310" t="inlineStr">
        <is>
          <t>Apto 304</t>
        </is>
      </c>
      <c r="E310" t="inlineStr">
        <is>
          <t>Andrés Torres</t>
        </is>
      </c>
      <c r="F310" t="inlineStr">
        <is>
          <t>Perdido</t>
        </is>
      </c>
      <c r="G310" t="n">
        <v>332000000</v>
      </c>
      <c r="H310" t="n">
        <v>0</v>
      </c>
      <c r="I310" s="28" t="n">
        <v>45533</v>
      </c>
      <c r="J310" s="28" t="n">
        <v>45615</v>
      </c>
      <c r="K310" t="n">
        <v>82</v>
      </c>
      <c r="L310" t="inlineStr">
        <is>
          <t>Crédito no aprobado</t>
        </is>
      </c>
    </row>
    <row r="311" ht="15.75" customHeight="1" s="25">
      <c r="A311" t="inlineStr">
        <is>
          <t>NEG-0309</t>
        </is>
      </c>
      <c r="B311" t="inlineStr">
        <is>
          <t>Mauricio Valencia Ramírez</t>
        </is>
      </c>
      <c r="C311" t="inlineStr">
        <is>
          <t>PRY-004</t>
        </is>
      </c>
      <c r="D311" t="inlineStr">
        <is>
          <t>Casa 26</t>
        </is>
      </c>
      <c r="E311" t="inlineStr">
        <is>
          <t>Santiago Muñoz</t>
        </is>
      </c>
      <c r="F311" t="inlineStr">
        <is>
          <t>Ganado</t>
        </is>
      </c>
      <c r="G311" t="n">
        <v>526000000</v>
      </c>
      <c r="H311" t="n">
        <v>1</v>
      </c>
      <c r="I311" s="28" t="n">
        <v>45534</v>
      </c>
      <c r="J311" s="28" t="n">
        <v>45578</v>
      </c>
      <c r="K311" t="n">
        <v>44</v>
      </c>
      <c r="L311" t="inlineStr">
        <is>
          <t>Promesa de compraventa firmada</t>
        </is>
      </c>
    </row>
    <row r="312" ht="15.75" customHeight="1" s="25">
      <c r="A312" t="inlineStr">
        <is>
          <t>NEG-0310</t>
        </is>
      </c>
      <c r="B312" t="inlineStr">
        <is>
          <t>Marcela Londoño Osorio</t>
        </is>
      </c>
      <c r="C312" t="inlineStr">
        <is>
          <t>PRY-002</t>
        </is>
      </c>
      <c r="D312" t="inlineStr">
        <is>
          <t>Casa 37</t>
        </is>
      </c>
      <c r="E312" t="inlineStr">
        <is>
          <t>Paula Arenas</t>
        </is>
      </c>
      <c r="F312" t="inlineStr">
        <is>
          <t>Perdido</t>
        </is>
      </c>
      <c r="G312" t="n">
        <v>708000000</v>
      </c>
      <c r="H312" t="n">
        <v>0</v>
      </c>
      <c r="I312" s="28" t="n">
        <v>45535</v>
      </c>
      <c r="J312" s="28" t="n">
        <v>45626</v>
      </c>
      <c r="K312" t="n">
        <v>91</v>
      </c>
      <c r="L312" t="inlineStr">
        <is>
          <t>Eligió otro proyecto</t>
        </is>
      </c>
    </row>
    <row r="313" ht="15.75" customHeight="1" s="25">
      <c r="A313" t="inlineStr">
        <is>
          <t>NEG-0311</t>
        </is>
      </c>
      <c r="B313" t="inlineStr">
        <is>
          <t>Ximena Cifuentes Vélez</t>
        </is>
      </c>
      <c r="C313" t="inlineStr">
        <is>
          <t>PRY-007</t>
        </is>
      </c>
      <c r="D313" t="inlineStr">
        <is>
          <t>Apto 1204</t>
        </is>
      </c>
      <c r="E313" t="inlineStr">
        <is>
          <t>Andrés Torres</t>
        </is>
      </c>
      <c r="F313" t="inlineStr">
        <is>
          <t>Perdido</t>
        </is>
      </c>
      <c r="G313" t="n">
        <v>542000000</v>
      </c>
      <c r="H313" t="n">
        <v>0</v>
      </c>
      <c r="I313" s="28" t="n">
        <v>45535</v>
      </c>
      <c r="J313" s="28" t="n">
        <v>45617</v>
      </c>
      <c r="K313" t="n">
        <v>82</v>
      </c>
      <c r="L313" t="inlineStr">
        <is>
          <t>Crédito no aprobado</t>
        </is>
      </c>
    </row>
    <row r="314" ht="15.75" customHeight="1" s="25">
      <c r="A314" t="inlineStr">
        <is>
          <t>NEG-0312</t>
        </is>
      </c>
      <c r="B314" t="inlineStr">
        <is>
          <t>Fernando Restrepo Ochoa</t>
        </is>
      </c>
      <c r="C314" t="inlineStr">
        <is>
          <t>PRY-003</t>
        </is>
      </c>
      <c r="D314" t="inlineStr">
        <is>
          <t>Apto 1705</t>
        </is>
      </c>
      <c r="E314" t="inlineStr">
        <is>
          <t>Andrés Torres</t>
        </is>
      </c>
      <c r="F314" t="inlineStr">
        <is>
          <t>Ganado</t>
        </is>
      </c>
      <c r="G314" t="n">
        <v>309000000</v>
      </c>
      <c r="H314" t="n">
        <v>1</v>
      </c>
      <c r="I314" s="28" t="n">
        <v>45536</v>
      </c>
      <c r="J314" s="28" t="n">
        <v>45570</v>
      </c>
      <c r="K314" t="n">
        <v>34</v>
      </c>
      <c r="L314" t="inlineStr">
        <is>
          <t>Promesa de compraventa firmada</t>
        </is>
      </c>
    </row>
    <row r="315" ht="15.75" customHeight="1" s="25">
      <c r="A315" t="inlineStr">
        <is>
          <t>NEG-0313</t>
        </is>
      </c>
      <c r="B315" t="inlineStr">
        <is>
          <t>Luisa Duque Peláez</t>
        </is>
      </c>
      <c r="C315" t="inlineStr">
        <is>
          <t>PRY-008</t>
        </is>
      </c>
      <c r="D315" t="inlineStr">
        <is>
          <t>Casa 53</t>
        </is>
      </c>
      <c r="E315" t="inlineStr">
        <is>
          <t>Santiago Muñoz</t>
        </is>
      </c>
      <c r="F315" t="inlineStr">
        <is>
          <t>Ganado</t>
        </is>
      </c>
      <c r="G315" t="n">
        <v>165000000</v>
      </c>
      <c r="H315" t="n">
        <v>1</v>
      </c>
      <c r="I315" s="28" t="n">
        <v>45537</v>
      </c>
      <c r="J315" s="28" t="n">
        <v>45592</v>
      </c>
      <c r="K315" t="n">
        <v>55</v>
      </c>
      <c r="L315" t="inlineStr">
        <is>
          <t>Promesa de compraventa firmada</t>
        </is>
      </c>
    </row>
    <row r="316" ht="15.75" customHeight="1" s="25">
      <c r="A316" t="inlineStr">
        <is>
          <t>NEG-0314</t>
        </is>
      </c>
      <c r="B316" t="inlineStr">
        <is>
          <t>Patricia Giraldo Henao</t>
        </is>
      </c>
      <c r="C316" t="inlineStr">
        <is>
          <t>PRY-004</t>
        </is>
      </c>
      <c r="D316" t="inlineStr">
        <is>
          <t>Casa 27</t>
        </is>
      </c>
      <c r="E316" t="inlineStr">
        <is>
          <t>Sofía Prada</t>
        </is>
      </c>
      <c r="F316" t="inlineStr">
        <is>
          <t>Perdido</t>
        </is>
      </c>
      <c r="G316" t="n">
        <v>543000000</v>
      </c>
      <c r="H316" t="n">
        <v>0</v>
      </c>
      <c r="I316" s="28" t="n">
        <v>45540</v>
      </c>
      <c r="J316" s="28" t="n">
        <v>45611</v>
      </c>
      <c r="K316" t="n">
        <v>71</v>
      </c>
      <c r="L316" t="inlineStr">
        <is>
          <t>Eligió otro proyecto</t>
        </is>
      </c>
    </row>
    <row r="317" ht="15.75" customHeight="1" s="25">
      <c r="A317" t="inlineStr">
        <is>
          <t>NEG-0315</t>
        </is>
      </c>
      <c r="B317" t="inlineStr">
        <is>
          <t>Alejandra Cano Cifuentes</t>
        </is>
      </c>
      <c r="C317" t="inlineStr">
        <is>
          <t>PRY-004</t>
        </is>
      </c>
      <c r="D317" t="inlineStr">
        <is>
          <t>Casa 65</t>
        </is>
      </c>
      <c r="E317" t="inlineStr">
        <is>
          <t>Andrés Torres</t>
        </is>
      </c>
      <c r="F317" t="inlineStr">
        <is>
          <t>Ganado</t>
        </is>
      </c>
      <c r="G317" t="n">
        <v>556000000</v>
      </c>
      <c r="H317" t="n">
        <v>1</v>
      </c>
      <c r="I317" s="28" t="n">
        <v>45541</v>
      </c>
      <c r="J317" s="28" t="n">
        <v>45614</v>
      </c>
      <c r="K317" t="n">
        <v>73</v>
      </c>
      <c r="L317" t="inlineStr">
        <is>
          <t>Promesa de compraventa firmada</t>
        </is>
      </c>
    </row>
    <row r="318" ht="15.75" customHeight="1" s="25">
      <c r="A318" t="inlineStr">
        <is>
          <t>NEG-0316</t>
        </is>
      </c>
      <c r="B318" t="inlineStr">
        <is>
          <t>Jorge Palacio Cardona</t>
        </is>
      </c>
      <c r="C318" t="inlineStr">
        <is>
          <t>PRY-005</t>
        </is>
      </c>
      <c r="D318" t="inlineStr">
        <is>
          <t>Apto 401</t>
        </is>
      </c>
      <c r="E318" t="inlineStr">
        <is>
          <t>Luis Bedoya</t>
        </is>
      </c>
      <c r="F318" t="inlineStr">
        <is>
          <t>Ganado</t>
        </is>
      </c>
      <c r="G318" t="n">
        <v>397000000</v>
      </c>
      <c r="H318" t="n">
        <v>1</v>
      </c>
      <c r="I318" s="28" t="n">
        <v>45541</v>
      </c>
      <c r="J318" s="28" t="n">
        <v>45642</v>
      </c>
      <c r="K318" t="n">
        <v>101</v>
      </c>
      <c r="L318" t="inlineStr">
        <is>
          <t>Promesa de compraventa firmada</t>
        </is>
      </c>
    </row>
    <row r="319" ht="15.75" customHeight="1" s="25">
      <c r="A319" t="inlineStr">
        <is>
          <t>NEG-0317</t>
        </is>
      </c>
      <c r="B319" t="inlineStr">
        <is>
          <t>Felipe Uribe Marín</t>
        </is>
      </c>
      <c r="C319" t="inlineStr">
        <is>
          <t>PRY-005</t>
        </is>
      </c>
      <c r="D319" t="inlineStr">
        <is>
          <t>Apto 1204</t>
        </is>
      </c>
      <c r="E319" t="inlineStr">
        <is>
          <t>Miguel Salazar</t>
        </is>
      </c>
      <c r="F319" t="inlineStr">
        <is>
          <t>Perdido</t>
        </is>
      </c>
      <c r="G319" t="n">
        <v>425000000</v>
      </c>
      <c r="H319" t="n">
        <v>0</v>
      </c>
      <c r="I319" s="28" t="n">
        <v>45542</v>
      </c>
      <c r="J319" s="28" t="n">
        <v>45644</v>
      </c>
      <c r="K319" t="n">
        <v>102</v>
      </c>
      <c r="L319" t="inlineStr">
        <is>
          <t>Cambió de ciudad</t>
        </is>
      </c>
    </row>
    <row r="320" ht="15.75" customHeight="1" s="25">
      <c r="A320" t="inlineStr">
        <is>
          <t>NEG-0318</t>
        </is>
      </c>
      <c r="B320" t="inlineStr">
        <is>
          <t>Simón Gómez Jaramillo</t>
        </is>
      </c>
      <c r="C320" t="inlineStr">
        <is>
          <t>PRY-007</t>
        </is>
      </c>
      <c r="D320" t="inlineStr">
        <is>
          <t>Apto 403</t>
        </is>
      </c>
      <c r="E320" t="inlineStr">
        <is>
          <t>Miguel Salazar</t>
        </is>
      </c>
      <c r="F320" t="inlineStr">
        <is>
          <t>Ganado</t>
        </is>
      </c>
      <c r="G320" t="n">
        <v>679000000</v>
      </c>
      <c r="H320" t="n">
        <v>1</v>
      </c>
      <c r="I320" s="28" t="n">
        <v>45542</v>
      </c>
      <c r="J320" s="28" t="n">
        <v>45585</v>
      </c>
      <c r="K320" t="n">
        <v>43</v>
      </c>
      <c r="L320" t="inlineStr">
        <is>
          <t>Promesa de compraventa firmada</t>
        </is>
      </c>
    </row>
    <row r="321" ht="15.75" customHeight="1" s="25">
      <c r="A321" t="inlineStr">
        <is>
          <t>NEG-0319</t>
        </is>
      </c>
      <c r="B321" t="inlineStr">
        <is>
          <t>Nicolás Restrepo Marín</t>
        </is>
      </c>
      <c r="C321" t="inlineStr">
        <is>
          <t>PRY-003</t>
        </is>
      </c>
      <c r="D321" t="inlineStr">
        <is>
          <t>Apto 2108</t>
        </is>
      </c>
      <c r="E321" t="inlineStr">
        <is>
          <t>Andrés Torres</t>
        </is>
      </c>
      <c r="F321" t="inlineStr">
        <is>
          <t>Ganado</t>
        </is>
      </c>
      <c r="G321" t="n">
        <v>330000000</v>
      </c>
      <c r="H321" t="n">
        <v>1</v>
      </c>
      <c r="I321" s="28" t="n">
        <v>45544</v>
      </c>
      <c r="J321" s="28" t="n">
        <v>45592</v>
      </c>
      <c r="K321" t="n">
        <v>48</v>
      </c>
      <c r="L321" t="inlineStr">
        <is>
          <t>Promesa de compraventa firmada</t>
        </is>
      </c>
    </row>
    <row r="322" ht="15.75" customHeight="1" s="25">
      <c r="A322" t="inlineStr">
        <is>
          <t>NEG-0320</t>
        </is>
      </c>
      <c r="B322" t="inlineStr">
        <is>
          <t>Andrés Jaramillo Montoya</t>
        </is>
      </c>
      <c r="C322" t="inlineStr">
        <is>
          <t>PRY-008</t>
        </is>
      </c>
      <c r="D322" t="inlineStr">
        <is>
          <t>Casa 100</t>
        </is>
      </c>
      <c r="E322" t="inlineStr">
        <is>
          <t>Andrés Torres</t>
        </is>
      </c>
      <c r="F322" t="inlineStr">
        <is>
          <t>Ganado</t>
        </is>
      </c>
      <c r="G322" t="n">
        <v>174000000</v>
      </c>
      <c r="H322" t="n">
        <v>1</v>
      </c>
      <c r="I322" s="28" t="n">
        <v>45544</v>
      </c>
      <c r="J322" s="28" t="n">
        <v>45567</v>
      </c>
      <c r="K322" t="n">
        <v>23</v>
      </c>
      <c r="L322" t="inlineStr">
        <is>
          <t>Promesa de compraventa firmada</t>
        </is>
      </c>
    </row>
    <row r="323" ht="15.75" customHeight="1" s="25">
      <c r="A323" t="inlineStr">
        <is>
          <t>NEG-0321</t>
        </is>
      </c>
      <c r="B323" t="inlineStr">
        <is>
          <t>Wilson Restrepo Rojas</t>
        </is>
      </c>
      <c r="C323" t="inlineStr">
        <is>
          <t>PRY-008</t>
        </is>
      </c>
      <c r="D323" t="inlineStr">
        <is>
          <t>Casa 30</t>
        </is>
      </c>
      <c r="E323" t="inlineStr">
        <is>
          <t>Miguel Salazar</t>
        </is>
      </c>
      <c r="F323" t="inlineStr">
        <is>
          <t>Ganado</t>
        </is>
      </c>
      <c r="G323" t="n">
        <v>151000000</v>
      </c>
      <c r="H323" t="n">
        <v>1</v>
      </c>
      <c r="I323" s="28" t="n">
        <v>45544</v>
      </c>
      <c r="J323" s="28" t="n">
        <v>45571</v>
      </c>
      <c r="K323" t="n">
        <v>27</v>
      </c>
      <c r="L323" t="inlineStr">
        <is>
          <t>Promesa de compraventa firmada</t>
        </is>
      </c>
    </row>
    <row r="324" ht="15.75" customHeight="1" s="25">
      <c r="A324" t="inlineStr">
        <is>
          <t>NEG-0322</t>
        </is>
      </c>
      <c r="B324" t="inlineStr">
        <is>
          <t>Andrés Cifuentes Espinosa</t>
        </is>
      </c>
      <c r="C324" t="inlineStr">
        <is>
          <t>PRY-003</t>
        </is>
      </c>
      <c r="D324" t="inlineStr">
        <is>
          <t>Apto 2301</t>
        </is>
      </c>
      <c r="E324" t="inlineStr">
        <is>
          <t>Sofía Prada</t>
        </is>
      </c>
      <c r="F324" t="inlineStr">
        <is>
          <t>Perdido</t>
        </is>
      </c>
      <c r="G324" t="n">
        <v>338000000</v>
      </c>
      <c r="H324" t="n">
        <v>0</v>
      </c>
      <c r="I324" s="28" t="n">
        <v>45545</v>
      </c>
      <c r="J324" s="28" t="n">
        <v>45608</v>
      </c>
      <c r="K324" t="n">
        <v>63</v>
      </c>
      <c r="L324" t="inlineStr">
        <is>
          <t>Crédito no aprobado</t>
        </is>
      </c>
    </row>
    <row r="325" ht="15.75" customHeight="1" s="25">
      <c r="A325" t="inlineStr">
        <is>
          <t>NEG-0323</t>
        </is>
      </c>
      <c r="B325" t="inlineStr">
        <is>
          <t>Mariana Ramírez Vargas</t>
        </is>
      </c>
      <c r="C325" t="inlineStr">
        <is>
          <t>PRY-005</t>
        </is>
      </c>
      <c r="D325" t="inlineStr">
        <is>
          <t>Apto 301</t>
        </is>
      </c>
      <c r="E325" t="inlineStr">
        <is>
          <t>Paula Arenas</t>
        </is>
      </c>
      <c r="F325" t="inlineStr">
        <is>
          <t>Ganado</t>
        </is>
      </c>
      <c r="G325" t="n">
        <v>440000000</v>
      </c>
      <c r="H325" t="n">
        <v>1</v>
      </c>
      <c r="I325" s="28" t="n">
        <v>45545</v>
      </c>
      <c r="J325" s="28" t="n">
        <v>45580</v>
      </c>
      <c r="K325" t="n">
        <v>35</v>
      </c>
      <c r="L325" t="inlineStr">
        <is>
          <t>Promesa de compraventa firmada</t>
        </is>
      </c>
    </row>
    <row r="326" ht="15.75" customHeight="1" s="25">
      <c r="A326" t="inlineStr">
        <is>
          <t>NEG-0324</t>
        </is>
      </c>
      <c r="B326" t="inlineStr">
        <is>
          <t>Felipe Duque Cardona</t>
        </is>
      </c>
      <c r="C326" t="inlineStr">
        <is>
          <t>PRY-001</t>
        </is>
      </c>
      <c r="D326" t="inlineStr">
        <is>
          <t>Apto 702</t>
        </is>
      </c>
      <c r="E326" t="inlineStr">
        <is>
          <t>Miguel Salazar</t>
        </is>
      </c>
      <c r="F326" t="inlineStr">
        <is>
          <t>Ganado</t>
        </is>
      </c>
      <c r="G326" t="n">
        <v>803000000</v>
      </c>
      <c r="H326" t="n">
        <v>1</v>
      </c>
      <c r="I326" s="28" t="n">
        <v>45547</v>
      </c>
      <c r="J326" s="28" t="n">
        <v>45604</v>
      </c>
      <c r="K326" t="n">
        <v>57</v>
      </c>
      <c r="L326" t="inlineStr">
        <is>
          <t>Promesa de compraventa firmada</t>
        </is>
      </c>
    </row>
    <row r="327" ht="15.75" customHeight="1" s="25">
      <c r="A327" t="inlineStr">
        <is>
          <t>NEG-0325</t>
        </is>
      </c>
      <c r="B327" t="inlineStr">
        <is>
          <t>Carlos Gaviria Agudelo</t>
        </is>
      </c>
      <c r="C327" t="inlineStr">
        <is>
          <t>PRY-004</t>
        </is>
      </c>
      <c r="D327" t="inlineStr">
        <is>
          <t>Casa 48</t>
        </is>
      </c>
      <c r="E327" t="inlineStr">
        <is>
          <t>Juliana Vélez</t>
        </is>
      </c>
      <c r="F327" t="inlineStr">
        <is>
          <t>Ganado</t>
        </is>
      </c>
      <c r="G327" t="n">
        <v>550000000</v>
      </c>
      <c r="H327" t="n">
        <v>1</v>
      </c>
      <c r="I327" s="28" t="n">
        <v>45548</v>
      </c>
      <c r="J327" s="28" t="n">
        <v>45655</v>
      </c>
      <c r="K327" t="n">
        <v>107</v>
      </c>
      <c r="L327" t="inlineStr">
        <is>
          <t>Promesa de compraventa firmada</t>
        </is>
      </c>
    </row>
    <row r="328" ht="15.75" customHeight="1" s="25">
      <c r="A328" t="inlineStr">
        <is>
          <t>NEG-0326</t>
        </is>
      </c>
      <c r="B328" t="inlineStr">
        <is>
          <t>Liliana Valencia Pérez</t>
        </is>
      </c>
      <c r="C328" t="inlineStr">
        <is>
          <t>PRY-007</t>
        </is>
      </c>
      <c r="D328" t="inlineStr">
        <is>
          <t>Apto 901</t>
        </is>
      </c>
      <c r="E328" t="inlineStr">
        <is>
          <t>Andrés Torres</t>
        </is>
      </c>
      <c r="F328" t="inlineStr">
        <is>
          <t>Ganado</t>
        </is>
      </c>
      <c r="G328" t="n">
        <v>685000000</v>
      </c>
      <c r="H328" t="n">
        <v>1</v>
      </c>
      <c r="I328" s="28" t="n">
        <v>45549</v>
      </c>
      <c r="J328" s="28" t="n">
        <v>45642</v>
      </c>
      <c r="K328" t="n">
        <v>93</v>
      </c>
      <c r="L328" t="inlineStr">
        <is>
          <t>Promesa de compraventa firmada</t>
        </is>
      </c>
    </row>
    <row r="329" ht="15.75" customHeight="1" s="25">
      <c r="A329" t="inlineStr">
        <is>
          <t>NEG-0327</t>
        </is>
      </c>
      <c r="B329" t="inlineStr">
        <is>
          <t>Paola Arango Espinosa</t>
        </is>
      </c>
      <c r="C329" t="inlineStr">
        <is>
          <t>PRY-005</t>
        </is>
      </c>
      <c r="D329" t="inlineStr">
        <is>
          <t>Casa 27</t>
        </is>
      </c>
      <c r="E329" t="inlineStr">
        <is>
          <t>Paula Arenas</t>
        </is>
      </c>
      <c r="F329" t="inlineStr">
        <is>
          <t>Ganado</t>
        </is>
      </c>
      <c r="G329" t="n">
        <v>415000000</v>
      </c>
      <c r="H329" t="n">
        <v>1</v>
      </c>
      <c r="I329" s="28" t="n">
        <v>45550</v>
      </c>
      <c r="J329" s="28" t="n">
        <v>45623</v>
      </c>
      <c r="K329" t="n">
        <v>73</v>
      </c>
      <c r="L329" t="inlineStr">
        <is>
          <t>Promesa de compraventa firmada</t>
        </is>
      </c>
    </row>
    <row r="330" ht="15.75" customHeight="1" s="25">
      <c r="A330" t="inlineStr">
        <is>
          <t>NEG-0328</t>
        </is>
      </c>
      <c r="B330" t="inlineStr">
        <is>
          <t>Ricardo Pérez Vélez</t>
        </is>
      </c>
      <c r="C330" t="inlineStr">
        <is>
          <t>PRY-004</t>
        </is>
      </c>
      <c r="D330" t="inlineStr">
        <is>
          <t>Casa 44</t>
        </is>
      </c>
      <c r="E330" t="inlineStr">
        <is>
          <t>Sofía Prada</t>
        </is>
      </c>
      <c r="F330" t="inlineStr">
        <is>
          <t>Perdido</t>
        </is>
      </c>
      <c r="G330" t="n">
        <v>548000000</v>
      </c>
      <c r="H330" t="n">
        <v>0</v>
      </c>
      <c r="I330" s="28" t="n">
        <v>45551</v>
      </c>
      <c r="J330" s="28" t="n">
        <v>45667</v>
      </c>
      <c r="K330" t="n">
        <v>116</v>
      </c>
      <c r="L330" t="inlineStr">
        <is>
          <t>Desistió de la compra</t>
        </is>
      </c>
    </row>
    <row r="331" ht="15.75" customHeight="1" s="25">
      <c r="A331" t="inlineStr">
        <is>
          <t>NEG-0329</t>
        </is>
      </c>
      <c r="B331" t="inlineStr">
        <is>
          <t>Daniel Higuita Ochoa</t>
        </is>
      </c>
      <c r="C331" t="inlineStr">
        <is>
          <t>PRY-007</t>
        </is>
      </c>
      <c r="D331" t="inlineStr">
        <is>
          <t>Apto 1301</t>
        </is>
      </c>
      <c r="E331" t="inlineStr">
        <is>
          <t>Sofía Prada</t>
        </is>
      </c>
      <c r="F331" t="inlineStr">
        <is>
          <t>Perdido</t>
        </is>
      </c>
      <c r="G331" t="n">
        <v>637000000</v>
      </c>
      <c r="H331" t="n">
        <v>0</v>
      </c>
      <c r="I331" s="28" t="n">
        <v>45551</v>
      </c>
      <c r="J331" s="28" t="n">
        <v>45655</v>
      </c>
      <c r="K331" t="n">
        <v>104</v>
      </c>
      <c r="L331" t="inlineStr">
        <is>
          <t>Precio fuera de presupuesto</t>
        </is>
      </c>
    </row>
    <row r="332" ht="15.75" customHeight="1" s="25">
      <c r="A332" t="inlineStr">
        <is>
          <t>NEG-0330</t>
        </is>
      </c>
      <c r="B332" t="inlineStr">
        <is>
          <t>Valentina Echeverri Cano</t>
        </is>
      </c>
      <c r="C332" t="inlineStr">
        <is>
          <t>PRY-008</t>
        </is>
      </c>
      <c r="D332" t="inlineStr">
        <is>
          <t>Casa 59</t>
        </is>
      </c>
      <c r="E332" t="inlineStr">
        <is>
          <t>Paula Arenas</t>
        </is>
      </c>
      <c r="F332" t="inlineStr">
        <is>
          <t>Perdido</t>
        </is>
      </c>
      <c r="G332" t="n">
        <v>168000000</v>
      </c>
      <c r="H332" t="n">
        <v>0</v>
      </c>
      <c r="I332" s="28" t="n">
        <v>45551</v>
      </c>
      <c r="J332" s="28" t="n">
        <v>45612</v>
      </c>
      <c r="K332" t="n">
        <v>61</v>
      </c>
      <c r="L332" t="inlineStr">
        <is>
          <t>Precio fuera de presupuesto</t>
        </is>
      </c>
    </row>
    <row r="333" ht="15.75" customHeight="1" s="25">
      <c r="A333" t="inlineStr">
        <is>
          <t>NEG-0331</t>
        </is>
      </c>
      <c r="B333" t="inlineStr">
        <is>
          <t>Wilson Pérez Londoño</t>
        </is>
      </c>
      <c r="C333" t="inlineStr">
        <is>
          <t>PRY-001</t>
        </is>
      </c>
      <c r="D333" t="inlineStr">
        <is>
          <t>Apto 1301</t>
        </is>
      </c>
      <c r="E333" t="inlineStr">
        <is>
          <t>Luis Bedoya</t>
        </is>
      </c>
      <c r="F333" t="inlineStr">
        <is>
          <t>Ganado</t>
        </is>
      </c>
      <c r="G333" t="n">
        <v>742000000</v>
      </c>
      <c r="H333" t="n">
        <v>1</v>
      </c>
      <c r="I333" s="28" t="n">
        <v>45553</v>
      </c>
      <c r="J333" s="28" t="n">
        <v>45622</v>
      </c>
      <c r="K333" t="n">
        <v>69</v>
      </c>
      <c r="L333" t="inlineStr">
        <is>
          <t>Promesa de compraventa firmada</t>
        </is>
      </c>
    </row>
    <row r="334" ht="15.75" customHeight="1" s="25">
      <c r="A334" t="inlineStr">
        <is>
          <t>NEG-0332</t>
        </is>
      </c>
      <c r="B334" t="inlineStr">
        <is>
          <t>Isabel Peláez Franco</t>
        </is>
      </c>
      <c r="C334" t="inlineStr">
        <is>
          <t>PRY-007</t>
        </is>
      </c>
      <c r="D334" t="inlineStr">
        <is>
          <t>Apto 1205</t>
        </is>
      </c>
      <c r="E334" t="inlineStr">
        <is>
          <t>Ana Quintero</t>
        </is>
      </c>
      <c r="F334" t="inlineStr">
        <is>
          <t>Ganado</t>
        </is>
      </c>
      <c r="G334" t="n">
        <v>651000000</v>
      </c>
      <c r="H334" t="n">
        <v>1</v>
      </c>
      <c r="I334" s="28" t="n">
        <v>45554</v>
      </c>
      <c r="J334" s="28" t="n">
        <v>45602</v>
      </c>
      <c r="K334" t="n">
        <v>48</v>
      </c>
      <c r="L334" t="inlineStr">
        <is>
          <t>Promesa de compraventa firmada</t>
        </is>
      </c>
    </row>
    <row r="335" ht="15.75" customHeight="1" s="25">
      <c r="A335" t="inlineStr">
        <is>
          <t>NEG-0333</t>
        </is>
      </c>
      <c r="B335" t="inlineStr">
        <is>
          <t>Mauricio Montoya Vásquez</t>
        </is>
      </c>
      <c r="C335" t="inlineStr">
        <is>
          <t>PRY-001</t>
        </is>
      </c>
      <c r="D335" t="inlineStr">
        <is>
          <t>Apto 301</t>
        </is>
      </c>
      <c r="E335" t="inlineStr">
        <is>
          <t>Luis Bedoya</t>
        </is>
      </c>
      <c r="F335" t="inlineStr">
        <is>
          <t>Ganado</t>
        </is>
      </c>
      <c r="G335" t="n">
        <v>714000000</v>
      </c>
      <c r="H335" t="n">
        <v>1</v>
      </c>
      <c r="I335" s="28" t="n">
        <v>45556</v>
      </c>
      <c r="J335" s="28" t="n">
        <v>45647</v>
      </c>
      <c r="K335" t="n">
        <v>91</v>
      </c>
      <c r="L335" t="inlineStr">
        <is>
          <t>Promesa de compraventa firmada</t>
        </is>
      </c>
    </row>
    <row r="336" ht="15.75" customHeight="1" s="25">
      <c r="A336" t="inlineStr">
        <is>
          <t>NEG-0334</t>
        </is>
      </c>
      <c r="B336" t="inlineStr">
        <is>
          <t>Luisa Gómez Echeverri</t>
        </is>
      </c>
      <c r="C336" t="inlineStr">
        <is>
          <t>PRY-008</t>
        </is>
      </c>
      <c r="D336" t="inlineStr">
        <is>
          <t>Casa 106</t>
        </is>
      </c>
      <c r="E336" t="inlineStr">
        <is>
          <t>Sofía Prada</t>
        </is>
      </c>
      <c r="F336" t="inlineStr">
        <is>
          <t>Perdido</t>
        </is>
      </c>
      <c r="G336" t="n">
        <v>153000000</v>
      </c>
      <c r="H336" t="n">
        <v>0</v>
      </c>
      <c r="I336" s="28" t="n">
        <v>45557</v>
      </c>
      <c r="J336" s="28" t="n">
        <v>45591</v>
      </c>
      <c r="K336" t="n">
        <v>34</v>
      </c>
      <c r="L336" t="inlineStr">
        <is>
          <t>Desistió de la compra</t>
        </is>
      </c>
    </row>
    <row r="337" ht="15.75" customHeight="1" s="25">
      <c r="A337" t="inlineStr">
        <is>
          <t>NEG-0335</t>
        </is>
      </c>
      <c r="B337" t="inlineStr">
        <is>
          <t>Laura Zapata Muñoz</t>
        </is>
      </c>
      <c r="C337" t="inlineStr">
        <is>
          <t>PRY-003</t>
        </is>
      </c>
      <c r="D337" t="inlineStr">
        <is>
          <t>Apto 2308</t>
        </is>
      </c>
      <c r="E337" t="inlineStr">
        <is>
          <t>Ana Quintero</t>
        </is>
      </c>
      <c r="F337" t="inlineStr">
        <is>
          <t>Ganado</t>
        </is>
      </c>
      <c r="G337" t="n">
        <v>382000000</v>
      </c>
      <c r="H337" t="n">
        <v>1</v>
      </c>
      <c r="I337" s="28" t="n">
        <v>45558</v>
      </c>
      <c r="J337" s="28" t="n">
        <v>45632</v>
      </c>
      <c r="K337" t="n">
        <v>74</v>
      </c>
      <c r="L337" t="inlineStr">
        <is>
          <t>Promesa de compraventa firmada</t>
        </is>
      </c>
    </row>
    <row r="338" ht="15.75" customHeight="1" s="25">
      <c r="A338" t="inlineStr">
        <is>
          <t>NEG-0336</t>
        </is>
      </c>
      <c r="B338" t="inlineStr">
        <is>
          <t>Wilson Rojas López</t>
        </is>
      </c>
      <c r="C338" t="inlineStr">
        <is>
          <t>PRY-007</t>
        </is>
      </c>
      <c r="D338" t="inlineStr">
        <is>
          <t>Apto 1504</t>
        </is>
      </c>
      <c r="E338" t="inlineStr">
        <is>
          <t>Sofía Prada</t>
        </is>
      </c>
      <c r="F338" t="inlineStr">
        <is>
          <t>Ganado</t>
        </is>
      </c>
      <c r="G338" t="n">
        <v>714000000</v>
      </c>
      <c r="H338" t="n">
        <v>1</v>
      </c>
      <c r="I338" s="28" t="n">
        <v>45559</v>
      </c>
      <c r="J338" s="28" t="n">
        <v>45670</v>
      </c>
      <c r="K338" t="n">
        <v>111</v>
      </c>
      <c r="L338" t="inlineStr">
        <is>
          <t>Promesa de compraventa firmada</t>
        </is>
      </c>
    </row>
    <row r="339" ht="15.75" customHeight="1" s="25">
      <c r="A339" t="inlineStr">
        <is>
          <t>NEG-0337</t>
        </is>
      </c>
      <c r="B339" t="inlineStr">
        <is>
          <t>Rodrigo Giraldo Sánchez</t>
        </is>
      </c>
      <c r="C339" t="inlineStr">
        <is>
          <t>PRY-003</t>
        </is>
      </c>
      <c r="D339" t="inlineStr">
        <is>
          <t>Apto 305</t>
        </is>
      </c>
      <c r="E339" t="inlineStr">
        <is>
          <t>Paula Arenas</t>
        </is>
      </c>
      <c r="F339" t="inlineStr">
        <is>
          <t>Perdido</t>
        </is>
      </c>
      <c r="G339" t="n">
        <v>303000000</v>
      </c>
      <c r="H339" t="n">
        <v>0</v>
      </c>
      <c r="I339" s="28" t="n">
        <v>45561</v>
      </c>
      <c r="J339" s="28" t="n">
        <v>45643</v>
      </c>
      <c r="K339" t="n">
        <v>82</v>
      </c>
      <c r="L339" t="inlineStr">
        <is>
          <t>Precio fuera de presupuesto</t>
        </is>
      </c>
    </row>
    <row r="340" ht="15.75" customHeight="1" s="25">
      <c r="A340" t="inlineStr">
        <is>
          <t>NEG-0338</t>
        </is>
      </c>
      <c r="B340" t="inlineStr">
        <is>
          <t>María Álvarez Pérez</t>
        </is>
      </c>
      <c r="C340" t="inlineStr">
        <is>
          <t>PRY-005</t>
        </is>
      </c>
      <c r="D340" t="inlineStr">
        <is>
          <t>Apto 906</t>
        </is>
      </c>
      <c r="E340" t="inlineStr">
        <is>
          <t>Luis Bedoya</t>
        </is>
      </c>
      <c r="F340" t="inlineStr">
        <is>
          <t>Ganado</t>
        </is>
      </c>
      <c r="G340" t="n">
        <v>403000000</v>
      </c>
      <c r="H340" t="n">
        <v>1</v>
      </c>
      <c r="I340" s="28" t="n">
        <v>45561</v>
      </c>
      <c r="J340" s="28" t="n">
        <v>45596</v>
      </c>
      <c r="K340" t="n">
        <v>35</v>
      </c>
      <c r="L340" t="inlineStr">
        <is>
          <t>Promesa de compraventa firmada</t>
        </is>
      </c>
    </row>
    <row r="341" ht="15.75" customHeight="1" s="25">
      <c r="A341" t="inlineStr">
        <is>
          <t>NEG-0339</t>
        </is>
      </c>
      <c r="B341" t="inlineStr">
        <is>
          <t>Natalia Montes Vélez</t>
        </is>
      </c>
      <c r="C341" t="inlineStr">
        <is>
          <t>PRY-008</t>
        </is>
      </c>
      <c r="D341" t="inlineStr">
        <is>
          <t>Casa 107</t>
        </is>
      </c>
      <c r="E341" t="inlineStr">
        <is>
          <t>Luis Bedoya</t>
        </is>
      </c>
      <c r="F341" t="inlineStr">
        <is>
          <t>Ganado</t>
        </is>
      </c>
      <c r="G341" t="n">
        <v>169000000</v>
      </c>
      <c r="H341" t="n">
        <v>1</v>
      </c>
      <c r="I341" s="28" t="n">
        <v>45561</v>
      </c>
      <c r="J341" s="28" t="n">
        <v>45608</v>
      </c>
      <c r="K341" t="n">
        <v>47</v>
      </c>
      <c r="L341" t="inlineStr">
        <is>
          <t>Promesa de compraventa firmada</t>
        </is>
      </c>
    </row>
    <row r="342" ht="15.75" customHeight="1" s="25">
      <c r="A342" t="inlineStr">
        <is>
          <t>NEG-0340</t>
        </is>
      </c>
      <c r="B342" t="inlineStr">
        <is>
          <t>Mateo Vélez Pérez</t>
        </is>
      </c>
      <c r="C342" t="inlineStr">
        <is>
          <t>PRY-003</t>
        </is>
      </c>
      <c r="D342" t="inlineStr">
        <is>
          <t>Apto 305</t>
        </is>
      </c>
      <c r="E342" t="inlineStr">
        <is>
          <t>Sofía Prada</t>
        </is>
      </c>
      <c r="F342" t="inlineStr">
        <is>
          <t>Ganado</t>
        </is>
      </c>
      <c r="G342" t="n">
        <v>309000000</v>
      </c>
      <c r="H342" t="n">
        <v>1</v>
      </c>
      <c r="I342" s="28" t="n">
        <v>45562</v>
      </c>
      <c r="J342" s="28" t="n">
        <v>45651</v>
      </c>
      <c r="K342" t="n">
        <v>89</v>
      </c>
      <c r="L342" t="inlineStr">
        <is>
          <t>Promesa de compraventa firmada</t>
        </is>
      </c>
    </row>
    <row r="343" ht="15.75" customHeight="1" s="25">
      <c r="A343" t="inlineStr">
        <is>
          <t>NEG-0341</t>
        </is>
      </c>
      <c r="B343" t="inlineStr">
        <is>
          <t>Santiago Marín Cano</t>
        </is>
      </c>
      <c r="C343" t="inlineStr">
        <is>
          <t>PRY-004</t>
        </is>
      </c>
      <c r="D343" t="inlineStr">
        <is>
          <t>Casa 28</t>
        </is>
      </c>
      <c r="E343" t="inlineStr">
        <is>
          <t>Miguel Salazar</t>
        </is>
      </c>
      <c r="F343" t="inlineStr">
        <is>
          <t>Ganado</t>
        </is>
      </c>
      <c r="G343" t="n">
        <v>453000000</v>
      </c>
      <c r="H343" t="n">
        <v>1</v>
      </c>
      <c r="I343" s="28" t="n">
        <v>45562</v>
      </c>
      <c r="J343" s="28" t="n">
        <v>45603</v>
      </c>
      <c r="K343" t="n">
        <v>41</v>
      </c>
      <c r="L343" t="inlineStr">
        <is>
          <t>Promesa de compraventa firmada</t>
        </is>
      </c>
    </row>
    <row r="344" ht="15.75" customHeight="1" s="25">
      <c r="A344" t="inlineStr">
        <is>
          <t>NEG-0342</t>
        </is>
      </c>
      <c r="B344" t="inlineStr">
        <is>
          <t>María Bedoya Zuluaga</t>
        </is>
      </c>
      <c r="C344" t="inlineStr">
        <is>
          <t>PRY-008</t>
        </is>
      </c>
      <c r="D344" t="inlineStr">
        <is>
          <t>Casa 72</t>
        </is>
      </c>
      <c r="E344" t="inlineStr">
        <is>
          <t>Paula Arenas</t>
        </is>
      </c>
      <c r="F344" t="inlineStr">
        <is>
          <t>Ganado</t>
        </is>
      </c>
      <c r="G344" t="n">
        <v>169000000</v>
      </c>
      <c r="H344" t="n">
        <v>1</v>
      </c>
      <c r="I344" s="28" t="n">
        <v>45562</v>
      </c>
      <c r="J344" s="28" t="n">
        <v>45603</v>
      </c>
      <c r="K344" t="n">
        <v>41</v>
      </c>
      <c r="L344" t="inlineStr">
        <is>
          <t>Promesa de compraventa firmada</t>
        </is>
      </c>
    </row>
    <row r="345" ht="15.75" customHeight="1" s="25">
      <c r="A345" t="inlineStr">
        <is>
          <t>NEG-0343</t>
        </is>
      </c>
      <c r="B345" t="inlineStr">
        <is>
          <t>José Londoño Ochoa</t>
        </is>
      </c>
      <c r="C345" t="inlineStr">
        <is>
          <t>PRY-007</t>
        </is>
      </c>
      <c r="D345" t="inlineStr">
        <is>
          <t>Apto 1406</t>
        </is>
      </c>
      <c r="E345" t="inlineStr">
        <is>
          <t>Andrés Torres</t>
        </is>
      </c>
      <c r="F345" t="inlineStr">
        <is>
          <t>Ganado</t>
        </is>
      </c>
      <c r="G345" t="n">
        <v>699000000</v>
      </c>
      <c r="H345" t="n">
        <v>1</v>
      </c>
      <c r="I345" s="28" t="n">
        <v>45563</v>
      </c>
      <c r="J345" s="28" t="n">
        <v>45599</v>
      </c>
      <c r="K345" t="n">
        <v>36</v>
      </c>
      <c r="L345" t="inlineStr">
        <is>
          <t>Promesa de compraventa firmada</t>
        </is>
      </c>
    </row>
    <row r="346" ht="15.75" customHeight="1" s="25">
      <c r="A346" t="inlineStr">
        <is>
          <t>NEG-0344</t>
        </is>
      </c>
      <c r="B346" t="inlineStr">
        <is>
          <t>Alejandra Uribe Espinosa</t>
        </is>
      </c>
      <c r="C346" t="inlineStr">
        <is>
          <t>PRY-007</t>
        </is>
      </c>
      <c r="D346" t="inlineStr">
        <is>
          <t>Apto 1505</t>
        </is>
      </c>
      <c r="E346" t="inlineStr">
        <is>
          <t>Andrés Torres</t>
        </is>
      </c>
      <c r="F346" t="inlineStr">
        <is>
          <t>Ganado</t>
        </is>
      </c>
      <c r="G346" t="n">
        <v>633000000</v>
      </c>
      <c r="H346" t="n">
        <v>1</v>
      </c>
      <c r="I346" s="28" t="n">
        <v>45563</v>
      </c>
      <c r="J346" s="28" t="n">
        <v>45628</v>
      </c>
      <c r="K346" t="n">
        <v>65</v>
      </c>
      <c r="L346" t="inlineStr">
        <is>
          <t>Promesa de compraventa firmada</t>
        </is>
      </c>
    </row>
    <row r="347" ht="15.75" customHeight="1" s="25">
      <c r="A347" t="inlineStr">
        <is>
          <t>NEG-0345</t>
        </is>
      </c>
      <c r="B347" t="inlineStr">
        <is>
          <t>Tomás Montoya Agudelo</t>
        </is>
      </c>
      <c r="C347" t="inlineStr">
        <is>
          <t>PRY-001</t>
        </is>
      </c>
      <c r="D347" t="inlineStr">
        <is>
          <t>Apto 406</t>
        </is>
      </c>
      <c r="E347" t="inlineStr">
        <is>
          <t>Ana Quintero</t>
        </is>
      </c>
      <c r="F347" t="inlineStr">
        <is>
          <t>Ganado</t>
        </is>
      </c>
      <c r="G347" t="n">
        <v>718000000</v>
      </c>
      <c r="H347" t="n">
        <v>1</v>
      </c>
      <c r="I347" s="28" t="n">
        <v>45566</v>
      </c>
      <c r="J347" s="28" t="n">
        <v>45641</v>
      </c>
      <c r="K347" t="n">
        <v>75</v>
      </c>
      <c r="L347" t="inlineStr">
        <is>
          <t>Promesa de compraventa firmada</t>
        </is>
      </c>
    </row>
    <row r="348" ht="15.75" customHeight="1" s="25">
      <c r="A348" t="inlineStr">
        <is>
          <t>NEG-0346</t>
        </is>
      </c>
      <c r="B348" t="inlineStr">
        <is>
          <t>Julián Restrepo Toro</t>
        </is>
      </c>
      <c r="C348" t="inlineStr">
        <is>
          <t>PRY-005</t>
        </is>
      </c>
      <c r="D348" t="inlineStr">
        <is>
          <t>Apto 902</t>
        </is>
      </c>
      <c r="E348" t="inlineStr">
        <is>
          <t>Andrés Torres</t>
        </is>
      </c>
      <c r="F348" t="inlineStr">
        <is>
          <t>Ganado</t>
        </is>
      </c>
      <c r="G348" t="n">
        <v>411000000</v>
      </c>
      <c r="H348" t="n">
        <v>1</v>
      </c>
      <c r="I348" s="28" t="n">
        <v>45567</v>
      </c>
      <c r="J348" s="28" t="n">
        <v>45619</v>
      </c>
      <c r="K348" t="n">
        <v>52</v>
      </c>
      <c r="L348" t="inlineStr">
        <is>
          <t>Promesa de compraventa firmada</t>
        </is>
      </c>
    </row>
    <row r="349" ht="15.75" customHeight="1" s="25">
      <c r="A349" t="inlineStr">
        <is>
          <t>NEG-0347</t>
        </is>
      </c>
      <c r="B349" t="inlineStr">
        <is>
          <t>Carlos Palacio Mejía</t>
        </is>
      </c>
      <c r="C349" t="inlineStr">
        <is>
          <t>PRY-007</t>
        </is>
      </c>
      <c r="D349" t="inlineStr">
        <is>
          <t>Apto 1006</t>
        </is>
      </c>
      <c r="E349" t="inlineStr">
        <is>
          <t>Miguel Salazar</t>
        </is>
      </c>
      <c r="F349" t="inlineStr">
        <is>
          <t>Perdido</t>
        </is>
      </c>
      <c r="G349" t="n">
        <v>743000000</v>
      </c>
      <c r="H349" t="n">
        <v>0</v>
      </c>
      <c r="I349" s="28" t="n">
        <v>45568</v>
      </c>
      <c r="J349" s="28" t="n">
        <v>45662</v>
      </c>
      <c r="K349" t="n">
        <v>94</v>
      </c>
      <c r="L349" t="inlineStr">
        <is>
          <t>Crédito no aprobado</t>
        </is>
      </c>
    </row>
    <row r="350" ht="15.75" customHeight="1" s="25">
      <c r="A350" t="inlineStr">
        <is>
          <t>NEG-0348</t>
        </is>
      </c>
      <c r="B350" t="inlineStr">
        <is>
          <t>Diana Correa Betancur</t>
        </is>
      </c>
      <c r="C350" t="inlineStr">
        <is>
          <t>PRY-002</t>
        </is>
      </c>
      <c r="D350" t="inlineStr">
        <is>
          <t>Casa 39</t>
        </is>
      </c>
      <c r="E350" t="inlineStr">
        <is>
          <t>Santiago Muñoz</t>
        </is>
      </c>
      <c r="F350" t="inlineStr">
        <is>
          <t>Ganado</t>
        </is>
      </c>
      <c r="G350" t="n">
        <v>703000000</v>
      </c>
      <c r="H350" t="n">
        <v>1</v>
      </c>
      <c r="I350" s="28" t="n">
        <v>45570</v>
      </c>
      <c r="J350" s="28" t="n">
        <v>45712</v>
      </c>
      <c r="K350" t="n">
        <v>142</v>
      </c>
      <c r="L350" t="inlineStr">
        <is>
          <t>Promesa de compraventa firmada</t>
        </is>
      </c>
    </row>
    <row r="351" ht="15.75" customHeight="1" s="25">
      <c r="A351" t="inlineStr">
        <is>
          <t>NEG-0349</t>
        </is>
      </c>
      <c r="B351" t="inlineStr">
        <is>
          <t>Emilio López Giraldo</t>
        </is>
      </c>
      <c r="C351" t="inlineStr">
        <is>
          <t>PRY-003</t>
        </is>
      </c>
      <c r="D351" t="inlineStr">
        <is>
          <t>Apto 2607</t>
        </is>
      </c>
      <c r="E351" t="inlineStr">
        <is>
          <t>Andrés Torres</t>
        </is>
      </c>
      <c r="F351" t="inlineStr">
        <is>
          <t>Ganado</t>
        </is>
      </c>
      <c r="G351" t="n">
        <v>315000000</v>
      </c>
      <c r="H351" t="n">
        <v>1</v>
      </c>
      <c r="I351" s="28" t="n">
        <v>45570</v>
      </c>
      <c r="J351" s="28" t="n">
        <v>45655</v>
      </c>
      <c r="K351" t="n">
        <v>85</v>
      </c>
      <c r="L351" t="inlineStr">
        <is>
          <t>Promesa de compraventa firmada</t>
        </is>
      </c>
    </row>
    <row r="352" ht="15.75" customHeight="1" s="25">
      <c r="A352" t="inlineStr">
        <is>
          <t>NEG-0350</t>
        </is>
      </c>
      <c r="B352" t="inlineStr">
        <is>
          <t>Sandra Henao Echeverri</t>
        </is>
      </c>
      <c r="C352" t="inlineStr">
        <is>
          <t>PRY-004</t>
        </is>
      </c>
      <c r="D352" t="inlineStr">
        <is>
          <t>Casa 14</t>
        </is>
      </c>
      <c r="E352" t="inlineStr">
        <is>
          <t>Luis Bedoya</t>
        </is>
      </c>
      <c r="F352" t="inlineStr">
        <is>
          <t>Perdido</t>
        </is>
      </c>
      <c r="G352" t="n">
        <v>434000000</v>
      </c>
      <c r="H352" t="n">
        <v>0</v>
      </c>
      <c r="I352" s="28" t="n">
        <v>45571</v>
      </c>
      <c r="J352" s="28" t="n">
        <v>45647</v>
      </c>
      <c r="K352" t="n">
        <v>76</v>
      </c>
      <c r="L352" t="inlineStr">
        <is>
          <t>Desistió de la compra</t>
        </is>
      </c>
    </row>
    <row r="353" ht="15.75" customHeight="1" s="25">
      <c r="A353" t="inlineStr">
        <is>
          <t>NEG-0351</t>
        </is>
      </c>
      <c r="B353" t="inlineStr">
        <is>
          <t>Gloria Arango Pérez</t>
        </is>
      </c>
      <c r="C353" t="inlineStr">
        <is>
          <t>PRY-005</t>
        </is>
      </c>
      <c r="D353" t="inlineStr">
        <is>
          <t>Casa 20</t>
        </is>
      </c>
      <c r="E353" t="inlineStr">
        <is>
          <t>Ana Quintero</t>
        </is>
      </c>
      <c r="F353" t="inlineStr">
        <is>
          <t>Ganado</t>
        </is>
      </c>
      <c r="G353" t="n">
        <v>430000000</v>
      </c>
      <c r="H353" t="n">
        <v>1</v>
      </c>
      <c r="I353" s="28" t="n">
        <v>45572</v>
      </c>
      <c r="J353" s="28" t="n">
        <v>45636</v>
      </c>
      <c r="K353" t="n">
        <v>64</v>
      </c>
      <c r="L353" t="inlineStr">
        <is>
          <t>Promesa de compraventa firmada</t>
        </is>
      </c>
    </row>
    <row r="354" ht="15.75" customHeight="1" s="25">
      <c r="A354" t="inlineStr">
        <is>
          <t>NEG-0352</t>
        </is>
      </c>
      <c r="B354" t="inlineStr">
        <is>
          <t>Verónica Salcedo Hernández</t>
        </is>
      </c>
      <c r="C354" t="inlineStr">
        <is>
          <t>PRY-007</t>
        </is>
      </c>
      <c r="D354" t="inlineStr">
        <is>
          <t>Apto 605</t>
        </is>
      </c>
      <c r="E354" t="inlineStr">
        <is>
          <t>Miguel Salazar</t>
        </is>
      </c>
      <c r="F354" t="inlineStr">
        <is>
          <t>Ganado</t>
        </is>
      </c>
      <c r="G354" t="n">
        <v>715000000</v>
      </c>
      <c r="H354" t="n">
        <v>1</v>
      </c>
      <c r="I354" s="28" t="n">
        <v>45572</v>
      </c>
      <c r="J354" s="28" t="n">
        <v>45692</v>
      </c>
      <c r="K354" t="n">
        <v>120</v>
      </c>
      <c r="L354" t="inlineStr">
        <is>
          <t>Promesa de compraventa firmada</t>
        </is>
      </c>
    </row>
    <row r="355" ht="15.75" customHeight="1" s="25">
      <c r="A355" t="inlineStr">
        <is>
          <t>NEG-0353</t>
        </is>
      </c>
      <c r="B355" t="inlineStr">
        <is>
          <t>Luisa Ramírez Sánchez</t>
        </is>
      </c>
      <c r="C355" t="inlineStr">
        <is>
          <t>PRY-001</t>
        </is>
      </c>
      <c r="D355" t="inlineStr">
        <is>
          <t>Apto 2001</t>
        </is>
      </c>
      <c r="E355" t="inlineStr">
        <is>
          <t>Ana Quintero</t>
        </is>
      </c>
      <c r="F355" t="inlineStr">
        <is>
          <t>Ganado</t>
        </is>
      </c>
      <c r="G355" t="n">
        <v>706000000</v>
      </c>
      <c r="H355" t="n">
        <v>1</v>
      </c>
      <c r="I355" s="28" t="n">
        <v>45573</v>
      </c>
      <c r="J355" s="28" t="n">
        <v>45682</v>
      </c>
      <c r="K355" t="n">
        <v>109</v>
      </c>
      <c r="L355" t="inlineStr">
        <is>
          <t>Promesa de compraventa firmada</t>
        </is>
      </c>
    </row>
    <row r="356" ht="15.75" customHeight="1" s="25">
      <c r="A356" t="inlineStr">
        <is>
          <t>NEG-0354</t>
        </is>
      </c>
      <c r="B356" t="inlineStr">
        <is>
          <t>Simón Montes Sánchez</t>
        </is>
      </c>
      <c r="C356" t="inlineStr">
        <is>
          <t>PRY-004</t>
        </is>
      </c>
      <c r="D356" t="inlineStr">
        <is>
          <t>Casa 77</t>
        </is>
      </c>
      <c r="E356" t="inlineStr">
        <is>
          <t>Paula Arenas</t>
        </is>
      </c>
      <c r="F356" t="inlineStr">
        <is>
          <t>Ganado</t>
        </is>
      </c>
      <c r="G356" t="n">
        <v>458000000</v>
      </c>
      <c r="H356" t="n">
        <v>1</v>
      </c>
      <c r="I356" s="28" t="n">
        <v>45573</v>
      </c>
      <c r="J356" s="28" t="n">
        <v>45622</v>
      </c>
      <c r="K356" t="n">
        <v>49</v>
      </c>
      <c r="L356" t="inlineStr">
        <is>
          <t>Promesa de compraventa firmada</t>
        </is>
      </c>
    </row>
    <row r="357" ht="15.75" customHeight="1" s="25">
      <c r="A357" t="inlineStr">
        <is>
          <t>NEG-0355</t>
        </is>
      </c>
      <c r="B357" t="inlineStr">
        <is>
          <t>Gloria Henao Salcedo</t>
        </is>
      </c>
      <c r="C357" t="inlineStr">
        <is>
          <t>PRY-005</t>
        </is>
      </c>
      <c r="D357" t="inlineStr">
        <is>
          <t>Casa 13</t>
        </is>
      </c>
      <c r="E357" t="inlineStr">
        <is>
          <t>Sofía Prada</t>
        </is>
      </c>
      <c r="F357" t="inlineStr">
        <is>
          <t>Ganado</t>
        </is>
      </c>
      <c r="G357" t="n">
        <v>378000000</v>
      </c>
      <c r="H357" t="n">
        <v>1</v>
      </c>
      <c r="I357" s="28" t="n">
        <v>45573</v>
      </c>
      <c r="J357" s="28" t="n">
        <v>45679</v>
      </c>
      <c r="K357" t="n">
        <v>106</v>
      </c>
      <c r="L357" t="inlineStr">
        <is>
          <t>Promesa de compraventa firmada</t>
        </is>
      </c>
    </row>
    <row r="358" ht="15.75" customHeight="1" s="25">
      <c r="A358" t="inlineStr">
        <is>
          <t>NEG-0356</t>
        </is>
      </c>
      <c r="B358" t="inlineStr">
        <is>
          <t>Sara Cano Arango</t>
        </is>
      </c>
      <c r="C358" t="inlineStr">
        <is>
          <t>PRY-004</t>
        </is>
      </c>
      <c r="D358" t="inlineStr">
        <is>
          <t>Casa 5</t>
        </is>
      </c>
      <c r="E358" t="inlineStr">
        <is>
          <t>Sofía Prada</t>
        </is>
      </c>
      <c r="F358" t="inlineStr">
        <is>
          <t>Ganado</t>
        </is>
      </c>
      <c r="G358" t="n">
        <v>475000000</v>
      </c>
      <c r="H358" t="n">
        <v>1</v>
      </c>
      <c r="I358" s="28" t="n">
        <v>45574</v>
      </c>
      <c r="J358" s="28" t="n">
        <v>45661</v>
      </c>
      <c r="K358" t="n">
        <v>87</v>
      </c>
      <c r="L358" t="inlineStr">
        <is>
          <t>Promesa de compraventa firmada</t>
        </is>
      </c>
    </row>
    <row r="359" ht="15.75" customHeight="1" s="25">
      <c r="A359" t="inlineStr">
        <is>
          <t>NEG-0357</t>
        </is>
      </c>
      <c r="B359" t="inlineStr">
        <is>
          <t>María Agudelo Valencia</t>
        </is>
      </c>
      <c r="C359" t="inlineStr">
        <is>
          <t>PRY-003</t>
        </is>
      </c>
      <c r="D359" t="inlineStr">
        <is>
          <t>Apto 1904</t>
        </is>
      </c>
      <c r="E359" t="inlineStr">
        <is>
          <t>Andrés Torres</t>
        </is>
      </c>
      <c r="F359" t="inlineStr">
        <is>
          <t>Ganado</t>
        </is>
      </c>
      <c r="G359" t="n">
        <v>385000000</v>
      </c>
      <c r="H359" t="n">
        <v>1</v>
      </c>
      <c r="I359" s="28" t="n">
        <v>45576</v>
      </c>
      <c r="J359" s="28" t="n">
        <v>45611</v>
      </c>
      <c r="K359" t="n">
        <v>35</v>
      </c>
      <c r="L359" t="inlineStr">
        <is>
          <t>Promesa de compraventa firmada</t>
        </is>
      </c>
    </row>
    <row r="360" ht="15.75" customHeight="1" s="25">
      <c r="A360" t="inlineStr">
        <is>
          <t>NEG-0358</t>
        </is>
      </c>
      <c r="B360" t="inlineStr">
        <is>
          <t>Gloria Cifuentes Quintero</t>
        </is>
      </c>
      <c r="C360" t="inlineStr">
        <is>
          <t>PRY-005</t>
        </is>
      </c>
      <c r="D360" t="inlineStr">
        <is>
          <t>Casa 25</t>
        </is>
      </c>
      <c r="E360" t="inlineStr">
        <is>
          <t>Paula Arenas</t>
        </is>
      </c>
      <c r="F360" t="inlineStr">
        <is>
          <t>Ganado</t>
        </is>
      </c>
      <c r="G360" t="n">
        <v>363000000</v>
      </c>
      <c r="H360" t="n">
        <v>1</v>
      </c>
      <c r="I360" s="28" t="n">
        <v>45577</v>
      </c>
      <c r="J360" s="28" t="n">
        <v>45637</v>
      </c>
      <c r="K360" t="n">
        <v>60</v>
      </c>
      <c r="L360" t="inlineStr">
        <is>
          <t>Promesa de compraventa firmada</t>
        </is>
      </c>
    </row>
    <row r="361" ht="15.75" customHeight="1" s="25">
      <c r="A361" t="inlineStr">
        <is>
          <t>NEG-0359</t>
        </is>
      </c>
      <c r="B361" t="inlineStr">
        <is>
          <t>Paola Vélez Gómez</t>
        </is>
      </c>
      <c r="C361" t="inlineStr">
        <is>
          <t>PRY-005</t>
        </is>
      </c>
      <c r="D361" t="inlineStr">
        <is>
          <t>Apto 1301</t>
        </is>
      </c>
      <c r="E361" t="inlineStr">
        <is>
          <t>Paula Arenas</t>
        </is>
      </c>
      <c r="F361" t="inlineStr">
        <is>
          <t>Ganado</t>
        </is>
      </c>
      <c r="G361" t="n">
        <v>374000000</v>
      </c>
      <c r="H361" t="n">
        <v>1</v>
      </c>
      <c r="I361" s="28" t="n">
        <v>45577</v>
      </c>
      <c r="J361" s="28" t="n">
        <v>45697</v>
      </c>
      <c r="K361" t="n">
        <v>120</v>
      </c>
      <c r="L361" t="inlineStr">
        <is>
          <t>Promesa de compraventa firmada</t>
        </is>
      </c>
    </row>
    <row r="362" ht="15.75" customHeight="1" s="25">
      <c r="A362" t="inlineStr">
        <is>
          <t>NEG-0360</t>
        </is>
      </c>
      <c r="B362" t="inlineStr">
        <is>
          <t>Alejandra Pérez Valencia</t>
        </is>
      </c>
      <c r="C362" t="inlineStr">
        <is>
          <t>PRY-008</t>
        </is>
      </c>
      <c r="D362" t="inlineStr">
        <is>
          <t>Casa 5</t>
        </is>
      </c>
      <c r="E362" t="inlineStr">
        <is>
          <t>Sofía Prada</t>
        </is>
      </c>
      <c r="F362" t="inlineStr">
        <is>
          <t>Ganado</t>
        </is>
      </c>
      <c r="G362" t="n">
        <v>157000000</v>
      </c>
      <c r="H362" t="n">
        <v>1</v>
      </c>
      <c r="I362" s="28" t="n">
        <v>45579</v>
      </c>
      <c r="J362" s="28" t="n">
        <v>45621</v>
      </c>
      <c r="K362" t="n">
        <v>42</v>
      </c>
      <c r="L362" t="inlineStr">
        <is>
          <t>Promesa de compraventa firmada</t>
        </is>
      </c>
    </row>
    <row r="363" ht="15.75" customHeight="1" s="25">
      <c r="A363" t="inlineStr">
        <is>
          <t>NEG-0361</t>
        </is>
      </c>
      <c r="B363" t="inlineStr">
        <is>
          <t>Esteban Sánchez Valencia</t>
        </is>
      </c>
      <c r="C363" t="inlineStr">
        <is>
          <t>PRY-004</t>
        </is>
      </c>
      <c r="D363" t="inlineStr">
        <is>
          <t>Casa 9</t>
        </is>
      </c>
      <c r="E363" t="inlineStr">
        <is>
          <t>Miguel Salazar</t>
        </is>
      </c>
      <c r="F363" t="inlineStr">
        <is>
          <t>Ganado</t>
        </is>
      </c>
      <c r="G363" t="n">
        <v>498000000</v>
      </c>
      <c r="H363" t="n">
        <v>1</v>
      </c>
      <c r="I363" s="28" t="n">
        <v>45584</v>
      </c>
      <c r="J363" s="28" t="n">
        <v>45651</v>
      </c>
      <c r="K363" t="n">
        <v>67</v>
      </c>
      <c r="L363" t="inlineStr">
        <is>
          <t>Promesa de compraventa firmada</t>
        </is>
      </c>
    </row>
    <row r="364" ht="15.75" customHeight="1" s="25">
      <c r="A364" t="inlineStr">
        <is>
          <t>NEG-0362</t>
        </is>
      </c>
      <c r="B364" t="inlineStr">
        <is>
          <t>Mónica Espinosa Rojas</t>
        </is>
      </c>
      <c r="C364" t="inlineStr">
        <is>
          <t>PRY-005</t>
        </is>
      </c>
      <c r="D364" t="inlineStr">
        <is>
          <t>Casa 11</t>
        </is>
      </c>
      <c r="E364" t="inlineStr">
        <is>
          <t>Ana Quintero</t>
        </is>
      </c>
      <c r="F364" t="inlineStr">
        <is>
          <t>Perdido</t>
        </is>
      </c>
      <c r="G364" t="n">
        <v>432000000</v>
      </c>
      <c r="H364" t="n">
        <v>0</v>
      </c>
      <c r="I364" s="28" t="n">
        <v>45584</v>
      </c>
      <c r="J364" s="28" t="n">
        <v>45632</v>
      </c>
      <c r="K364" t="n">
        <v>48</v>
      </c>
      <c r="L364" t="inlineStr">
        <is>
          <t>Desistió de la compra</t>
        </is>
      </c>
    </row>
    <row r="365" ht="15.75" customHeight="1" s="25">
      <c r="A365" t="inlineStr">
        <is>
          <t>NEG-0363</t>
        </is>
      </c>
      <c r="B365" t="inlineStr">
        <is>
          <t>Gabriel Palacio Arango</t>
        </is>
      </c>
      <c r="C365" t="inlineStr">
        <is>
          <t>PRY-004</t>
        </is>
      </c>
      <c r="D365" t="inlineStr">
        <is>
          <t>Casa 46</t>
        </is>
      </c>
      <c r="E365" t="inlineStr">
        <is>
          <t>Miguel Salazar</t>
        </is>
      </c>
      <c r="F365" t="inlineStr">
        <is>
          <t>Perdido</t>
        </is>
      </c>
      <c r="G365" t="n">
        <v>526000000</v>
      </c>
      <c r="H365" t="n">
        <v>0</v>
      </c>
      <c r="I365" s="28" t="n">
        <v>45587</v>
      </c>
      <c r="J365" s="28" t="n">
        <v>45636</v>
      </c>
      <c r="K365" t="n">
        <v>49</v>
      </c>
      <c r="L365" t="inlineStr">
        <is>
          <t>Eligió otro proyecto</t>
        </is>
      </c>
    </row>
    <row r="366" ht="15.75" customHeight="1" s="25">
      <c r="A366" t="inlineStr">
        <is>
          <t>NEG-0364</t>
        </is>
      </c>
      <c r="B366" t="inlineStr">
        <is>
          <t>Camila Valencia Arango</t>
        </is>
      </c>
      <c r="C366" t="inlineStr">
        <is>
          <t>PRY-004</t>
        </is>
      </c>
      <c r="D366" t="inlineStr">
        <is>
          <t>Casa 74</t>
        </is>
      </c>
      <c r="E366" t="inlineStr">
        <is>
          <t>Juliana Vélez</t>
        </is>
      </c>
      <c r="F366" t="inlineStr">
        <is>
          <t>Ganado</t>
        </is>
      </c>
      <c r="G366" t="n">
        <v>555000000</v>
      </c>
      <c r="H366" t="n">
        <v>1</v>
      </c>
      <c r="I366" s="28" t="n">
        <v>45588</v>
      </c>
      <c r="J366" s="28" t="n">
        <v>45638</v>
      </c>
      <c r="K366" t="n">
        <v>50</v>
      </c>
      <c r="L366" t="inlineStr">
        <is>
          <t>Promesa de compraventa firmada</t>
        </is>
      </c>
    </row>
    <row r="367" ht="15.75" customHeight="1" s="25">
      <c r="A367" t="inlineStr">
        <is>
          <t>NEG-0365</t>
        </is>
      </c>
      <c r="B367" t="inlineStr">
        <is>
          <t>Ricardo Escobar Salcedo</t>
        </is>
      </c>
      <c r="C367" t="inlineStr">
        <is>
          <t>PRY-002</t>
        </is>
      </c>
      <c r="D367" t="inlineStr">
        <is>
          <t>Casa 59</t>
        </is>
      </c>
      <c r="E367" t="inlineStr">
        <is>
          <t>Ana Quintero</t>
        </is>
      </c>
      <c r="F367" t="inlineStr">
        <is>
          <t>Ganado</t>
        </is>
      </c>
      <c r="G367" t="n">
        <v>690000000</v>
      </c>
      <c r="H367" t="n">
        <v>1</v>
      </c>
      <c r="I367" s="28" t="n">
        <v>45589</v>
      </c>
      <c r="J367" s="28" t="n">
        <v>45718</v>
      </c>
      <c r="K367" t="n">
        <v>129</v>
      </c>
      <c r="L367" t="inlineStr">
        <is>
          <t>Promesa de compraventa firmada</t>
        </is>
      </c>
    </row>
    <row r="368" ht="15.75" customHeight="1" s="25">
      <c r="A368" t="inlineStr">
        <is>
          <t>NEG-0366</t>
        </is>
      </c>
      <c r="B368" t="inlineStr">
        <is>
          <t>Carlos Toro Vásquez</t>
        </is>
      </c>
      <c r="C368" t="inlineStr">
        <is>
          <t>PRY-002</t>
        </is>
      </c>
      <c r="D368" t="inlineStr">
        <is>
          <t>Casa 16</t>
        </is>
      </c>
      <c r="E368" t="inlineStr">
        <is>
          <t>Andrés Torres</t>
        </is>
      </c>
      <c r="F368" t="inlineStr">
        <is>
          <t>Perdido</t>
        </is>
      </c>
      <c r="G368" t="n">
        <v>725000000</v>
      </c>
      <c r="H368" t="n">
        <v>0</v>
      </c>
      <c r="I368" s="28" t="n">
        <v>45589</v>
      </c>
      <c r="J368" s="28" t="n">
        <v>45712</v>
      </c>
      <c r="K368" t="n">
        <v>123</v>
      </c>
      <c r="L368" t="inlineStr">
        <is>
          <t>Crédito no aprobado</t>
        </is>
      </c>
    </row>
    <row r="369" ht="15.75" customHeight="1" s="25">
      <c r="A369" t="inlineStr">
        <is>
          <t>NEG-0367</t>
        </is>
      </c>
      <c r="B369" t="inlineStr">
        <is>
          <t>Paola Marín Salcedo</t>
        </is>
      </c>
      <c r="C369" t="inlineStr">
        <is>
          <t>PRY-004</t>
        </is>
      </c>
      <c r="D369" t="inlineStr">
        <is>
          <t>Casa 64</t>
        </is>
      </c>
      <c r="E369" t="inlineStr">
        <is>
          <t>Paula Arenas</t>
        </is>
      </c>
      <c r="F369" t="inlineStr">
        <is>
          <t>Ganado</t>
        </is>
      </c>
      <c r="G369" t="n">
        <v>533000000</v>
      </c>
      <c r="H369" t="n">
        <v>1</v>
      </c>
      <c r="I369" s="28" t="n">
        <v>45590</v>
      </c>
      <c r="J369" s="28" t="n">
        <v>45658</v>
      </c>
      <c r="K369" t="n">
        <v>68</v>
      </c>
      <c r="L369" t="inlineStr">
        <is>
          <t>Promesa de compraventa firmada</t>
        </is>
      </c>
    </row>
    <row r="370" ht="15.75" customHeight="1" s="25">
      <c r="A370" t="inlineStr">
        <is>
          <t>NEG-0368</t>
        </is>
      </c>
      <c r="B370" t="inlineStr">
        <is>
          <t>Esteban Peláez Henao</t>
        </is>
      </c>
      <c r="C370" t="inlineStr">
        <is>
          <t>PRY-004</t>
        </is>
      </c>
      <c r="D370" t="inlineStr">
        <is>
          <t>Casa 66</t>
        </is>
      </c>
      <c r="E370" t="inlineStr">
        <is>
          <t>Luis Bedoya</t>
        </is>
      </c>
      <c r="F370" t="inlineStr">
        <is>
          <t>Perdido</t>
        </is>
      </c>
      <c r="G370" t="n">
        <v>516000000</v>
      </c>
      <c r="H370" t="n">
        <v>0</v>
      </c>
      <c r="I370" s="28" t="n">
        <v>45590</v>
      </c>
      <c r="J370" s="28" t="n">
        <v>45685</v>
      </c>
      <c r="K370" t="n">
        <v>95</v>
      </c>
      <c r="L370" t="inlineStr">
        <is>
          <t>Precio fuera de presupuesto</t>
        </is>
      </c>
    </row>
    <row r="371" ht="15.75" customHeight="1" s="25">
      <c r="A371" t="inlineStr">
        <is>
          <t>NEG-0369</t>
        </is>
      </c>
      <c r="B371" t="inlineStr">
        <is>
          <t>Andrés Sánchez Londoño</t>
        </is>
      </c>
      <c r="C371" t="inlineStr">
        <is>
          <t>PRY-003</t>
        </is>
      </c>
      <c r="D371" t="inlineStr">
        <is>
          <t>Apto 607</t>
        </is>
      </c>
      <c r="E371" t="inlineStr">
        <is>
          <t>Juliana Vélez</t>
        </is>
      </c>
      <c r="F371" t="inlineStr">
        <is>
          <t>Ganado</t>
        </is>
      </c>
      <c r="G371" t="n">
        <v>277000000</v>
      </c>
      <c r="H371" t="n">
        <v>1</v>
      </c>
      <c r="I371" s="28" t="n">
        <v>45591</v>
      </c>
      <c r="J371" s="28" t="n">
        <v>45664</v>
      </c>
      <c r="K371" t="n">
        <v>73</v>
      </c>
      <c r="L371" t="inlineStr">
        <is>
          <t>Promesa de compraventa firmada</t>
        </is>
      </c>
    </row>
    <row r="372" ht="15.75" customHeight="1" s="25">
      <c r="A372" t="inlineStr">
        <is>
          <t>NEG-0370</t>
        </is>
      </c>
      <c r="B372" t="inlineStr">
        <is>
          <t>Paola Londoño Duque</t>
        </is>
      </c>
      <c r="C372" t="inlineStr">
        <is>
          <t>PRY-003</t>
        </is>
      </c>
      <c r="D372" t="inlineStr">
        <is>
          <t>Apto 1305</t>
        </is>
      </c>
      <c r="E372" t="inlineStr">
        <is>
          <t>Sofía Prada</t>
        </is>
      </c>
      <c r="F372" t="inlineStr">
        <is>
          <t>Ganado</t>
        </is>
      </c>
      <c r="G372" t="n">
        <v>375000000</v>
      </c>
      <c r="H372" t="n">
        <v>1</v>
      </c>
      <c r="I372" s="28" t="n">
        <v>45592</v>
      </c>
      <c r="J372" s="28" t="n">
        <v>45642</v>
      </c>
      <c r="K372" t="n">
        <v>50</v>
      </c>
      <c r="L372" t="inlineStr">
        <is>
          <t>Promesa de compraventa firmada</t>
        </is>
      </c>
    </row>
    <row r="373" ht="15.75" customHeight="1" s="25">
      <c r="A373" t="inlineStr">
        <is>
          <t>NEG-0371</t>
        </is>
      </c>
      <c r="B373" t="inlineStr">
        <is>
          <t>Mauricio Zuluaga Escobar</t>
        </is>
      </c>
      <c r="C373" t="inlineStr">
        <is>
          <t>PRY-003</t>
        </is>
      </c>
      <c r="D373" t="inlineStr">
        <is>
          <t>Apto 1505</t>
        </is>
      </c>
      <c r="E373" t="inlineStr">
        <is>
          <t>Sofía Prada</t>
        </is>
      </c>
      <c r="F373" t="inlineStr">
        <is>
          <t>Perdido</t>
        </is>
      </c>
      <c r="G373" t="n">
        <v>313000000</v>
      </c>
      <c r="H373" t="n">
        <v>0</v>
      </c>
      <c r="I373" s="28" t="n">
        <v>45592</v>
      </c>
      <c r="J373" s="28" t="n">
        <v>45631</v>
      </c>
      <c r="K373" t="n">
        <v>39</v>
      </c>
      <c r="L373" t="inlineStr">
        <is>
          <t>Precio fuera de presupuesto</t>
        </is>
      </c>
    </row>
    <row r="374" ht="15.75" customHeight="1" s="25">
      <c r="A374" t="inlineStr">
        <is>
          <t>NEG-0372</t>
        </is>
      </c>
      <c r="B374" t="inlineStr">
        <is>
          <t>Juliana Espinosa Giraldo</t>
        </is>
      </c>
      <c r="C374" t="inlineStr">
        <is>
          <t>PRY-001</t>
        </is>
      </c>
      <c r="D374" t="inlineStr">
        <is>
          <t>Apto 1304</t>
        </is>
      </c>
      <c r="E374" t="inlineStr">
        <is>
          <t>Ana Quintero</t>
        </is>
      </c>
      <c r="F374" t="inlineStr">
        <is>
          <t>Ganado</t>
        </is>
      </c>
      <c r="G374" t="n">
        <v>720000000</v>
      </c>
      <c r="H374" t="n">
        <v>1</v>
      </c>
      <c r="I374" s="28" t="n">
        <v>45593</v>
      </c>
      <c r="J374" s="28" t="n">
        <v>45643</v>
      </c>
      <c r="K374" t="n">
        <v>50</v>
      </c>
      <c r="L374" t="inlineStr">
        <is>
          <t>Promesa de compraventa firmada</t>
        </is>
      </c>
    </row>
    <row r="375" ht="15.75" customHeight="1" s="25">
      <c r="A375" t="inlineStr">
        <is>
          <t>NEG-0373</t>
        </is>
      </c>
      <c r="B375" t="inlineStr">
        <is>
          <t>Liliana Montes Mejía</t>
        </is>
      </c>
      <c r="C375" t="inlineStr">
        <is>
          <t>PRY-008</t>
        </is>
      </c>
      <c r="D375" t="inlineStr">
        <is>
          <t>Casa 42</t>
        </is>
      </c>
      <c r="E375" t="inlineStr">
        <is>
          <t>Sofía Prada</t>
        </is>
      </c>
      <c r="F375" t="inlineStr">
        <is>
          <t>Ganado</t>
        </is>
      </c>
      <c r="G375" t="n">
        <v>148000000</v>
      </c>
      <c r="H375" t="n">
        <v>1</v>
      </c>
      <c r="I375" s="28" t="n">
        <v>45594</v>
      </c>
      <c r="J375" s="28" t="n">
        <v>45621</v>
      </c>
      <c r="K375" t="n">
        <v>27</v>
      </c>
      <c r="L375" t="inlineStr">
        <is>
          <t>Promesa de compraventa firmada</t>
        </is>
      </c>
    </row>
    <row r="376" ht="15.75" customHeight="1" s="25">
      <c r="A376" t="inlineStr">
        <is>
          <t>NEG-0374</t>
        </is>
      </c>
      <c r="B376" t="inlineStr">
        <is>
          <t>Natalia Sánchez Ochoa</t>
        </is>
      </c>
      <c r="C376" t="inlineStr">
        <is>
          <t>PRY-002</t>
        </is>
      </c>
      <c r="D376" t="inlineStr">
        <is>
          <t>Casa 6</t>
        </is>
      </c>
      <c r="E376" t="inlineStr">
        <is>
          <t>Andrés Torres</t>
        </is>
      </c>
      <c r="F376" t="inlineStr">
        <is>
          <t>Ganado</t>
        </is>
      </c>
      <c r="G376" t="n">
        <v>769000000</v>
      </c>
      <c r="H376" t="n">
        <v>1</v>
      </c>
      <c r="I376" s="28" t="n">
        <v>45595</v>
      </c>
      <c r="J376" s="28" t="n">
        <v>45734</v>
      </c>
      <c r="K376" t="n">
        <v>139</v>
      </c>
      <c r="L376" t="inlineStr">
        <is>
          <t>Promesa de compraventa firmada</t>
        </is>
      </c>
    </row>
    <row r="377" ht="15.75" customHeight="1" s="25">
      <c r="A377" t="inlineStr">
        <is>
          <t>NEG-0375</t>
        </is>
      </c>
      <c r="B377" t="inlineStr">
        <is>
          <t>Natalia Mejía Valencia</t>
        </is>
      </c>
      <c r="C377" t="inlineStr">
        <is>
          <t>PRY-005</t>
        </is>
      </c>
      <c r="D377" t="inlineStr">
        <is>
          <t>Apto 1005</t>
        </is>
      </c>
      <c r="E377" t="inlineStr">
        <is>
          <t>Paula Arenas</t>
        </is>
      </c>
      <c r="F377" t="inlineStr">
        <is>
          <t>Ganado</t>
        </is>
      </c>
      <c r="G377" t="n">
        <v>374000000</v>
      </c>
      <c r="H377" t="n">
        <v>1</v>
      </c>
      <c r="I377" s="28" t="n">
        <v>45595</v>
      </c>
      <c r="J377" s="28" t="n">
        <v>45678</v>
      </c>
      <c r="K377" t="n">
        <v>83</v>
      </c>
      <c r="L377" t="inlineStr">
        <is>
          <t>Promesa de compraventa firmada</t>
        </is>
      </c>
    </row>
    <row r="378" ht="15.75" customHeight="1" s="25">
      <c r="A378" t="inlineStr">
        <is>
          <t>NEG-0376</t>
        </is>
      </c>
      <c r="B378" t="inlineStr">
        <is>
          <t>Lorena Valencia Higuita</t>
        </is>
      </c>
      <c r="C378" t="inlineStr">
        <is>
          <t>PRY-004</t>
        </is>
      </c>
      <c r="D378" t="inlineStr">
        <is>
          <t>Casa 43</t>
        </is>
      </c>
      <c r="E378" t="inlineStr">
        <is>
          <t>Ana Quintero</t>
        </is>
      </c>
      <c r="F378" t="inlineStr">
        <is>
          <t>Ganado</t>
        </is>
      </c>
      <c r="G378" t="n">
        <v>533000000</v>
      </c>
      <c r="H378" t="n">
        <v>1</v>
      </c>
      <c r="I378" s="28" t="n">
        <v>45598</v>
      </c>
      <c r="J378" s="28" t="n">
        <v>45687</v>
      </c>
      <c r="K378" t="n">
        <v>89</v>
      </c>
      <c r="L378" t="inlineStr">
        <is>
          <t>Promesa de compraventa firmada</t>
        </is>
      </c>
    </row>
    <row r="379" ht="15.75" customHeight="1" s="25">
      <c r="A379" t="inlineStr">
        <is>
          <t>NEG-0377</t>
        </is>
      </c>
      <c r="B379" t="inlineStr">
        <is>
          <t>Carolina Betancur Betancur</t>
        </is>
      </c>
      <c r="C379" t="inlineStr">
        <is>
          <t>PRY-004</t>
        </is>
      </c>
      <c r="D379" t="inlineStr">
        <is>
          <t>Casa 80</t>
        </is>
      </c>
      <c r="E379" t="inlineStr">
        <is>
          <t>Juliana Vélez</t>
        </is>
      </c>
      <c r="F379" t="inlineStr">
        <is>
          <t>Ganado</t>
        </is>
      </c>
      <c r="G379" t="n">
        <v>524000000</v>
      </c>
      <c r="H379" t="n">
        <v>1</v>
      </c>
      <c r="I379" s="28" t="n">
        <v>45599</v>
      </c>
      <c r="J379" s="28" t="n">
        <v>45643</v>
      </c>
      <c r="K379" t="n">
        <v>44</v>
      </c>
      <c r="L379" t="inlineStr">
        <is>
          <t>Promesa de compraventa firmada</t>
        </is>
      </c>
    </row>
    <row r="380" ht="15.75" customHeight="1" s="25">
      <c r="A380" t="inlineStr">
        <is>
          <t>NEG-0378</t>
        </is>
      </c>
      <c r="B380" t="inlineStr">
        <is>
          <t>Emilio Vásquez Pérez</t>
        </is>
      </c>
      <c r="C380" t="inlineStr">
        <is>
          <t>PRY-008</t>
        </is>
      </c>
      <c r="D380" t="inlineStr">
        <is>
          <t>Casa 78</t>
        </is>
      </c>
      <c r="E380" t="inlineStr">
        <is>
          <t>Andrés Torres</t>
        </is>
      </c>
      <c r="F380" t="inlineStr">
        <is>
          <t>Ganado</t>
        </is>
      </c>
      <c r="G380" t="n">
        <v>144000000</v>
      </c>
      <c r="H380" t="n">
        <v>1</v>
      </c>
      <c r="I380" s="28" t="n">
        <v>45599</v>
      </c>
      <c r="J380" s="28" t="n">
        <v>45669</v>
      </c>
      <c r="K380" t="n">
        <v>70</v>
      </c>
      <c r="L380" t="inlineStr">
        <is>
          <t>Promesa de compraventa firmada</t>
        </is>
      </c>
    </row>
    <row r="381" ht="15.75" customHeight="1" s="25">
      <c r="A381" t="inlineStr">
        <is>
          <t>NEG-0379</t>
        </is>
      </c>
      <c r="B381" t="inlineStr">
        <is>
          <t>Isabel Escobar Agudelo</t>
        </is>
      </c>
      <c r="C381" t="inlineStr">
        <is>
          <t>PRY-004</t>
        </is>
      </c>
      <c r="D381" t="inlineStr">
        <is>
          <t>Casa 54</t>
        </is>
      </c>
      <c r="E381" t="inlineStr">
        <is>
          <t>Paula Arenas</t>
        </is>
      </c>
      <c r="F381" t="inlineStr">
        <is>
          <t>Ganado</t>
        </is>
      </c>
      <c r="G381" t="n">
        <v>458000000</v>
      </c>
      <c r="H381" t="n">
        <v>1</v>
      </c>
      <c r="I381" s="28" t="n">
        <v>45601</v>
      </c>
      <c r="J381" s="28" t="n">
        <v>45693</v>
      </c>
      <c r="K381" t="n">
        <v>92</v>
      </c>
      <c r="L381" t="inlineStr">
        <is>
          <t>Promesa de compraventa firmada</t>
        </is>
      </c>
    </row>
    <row r="382" ht="15.75" customHeight="1" s="25">
      <c r="A382" t="inlineStr">
        <is>
          <t>NEG-0380</t>
        </is>
      </c>
      <c r="B382" t="inlineStr">
        <is>
          <t>Daniela Correa Betancur</t>
        </is>
      </c>
      <c r="C382" t="inlineStr">
        <is>
          <t>PRY-003</t>
        </is>
      </c>
      <c r="D382" t="inlineStr">
        <is>
          <t>Apto 508</t>
        </is>
      </c>
      <c r="E382" t="inlineStr">
        <is>
          <t>Juliana Vélez</t>
        </is>
      </c>
      <c r="F382" t="inlineStr">
        <is>
          <t>Ganado</t>
        </is>
      </c>
      <c r="G382" t="n">
        <v>352000000</v>
      </c>
      <c r="H382" t="n">
        <v>1</v>
      </c>
      <c r="I382" s="28" t="n">
        <v>45603</v>
      </c>
      <c r="J382" s="28" t="n">
        <v>45655</v>
      </c>
      <c r="K382" t="n">
        <v>52</v>
      </c>
      <c r="L382" t="inlineStr">
        <is>
          <t>Promesa de compraventa firmada</t>
        </is>
      </c>
    </row>
    <row r="383" ht="15.75" customHeight="1" s="25">
      <c r="A383" t="inlineStr">
        <is>
          <t>NEG-0381</t>
        </is>
      </c>
      <c r="B383" t="inlineStr">
        <is>
          <t>Emilio Álvarez Vélez</t>
        </is>
      </c>
      <c r="C383" t="inlineStr">
        <is>
          <t>PRY-001</t>
        </is>
      </c>
      <c r="D383" t="inlineStr">
        <is>
          <t>Apto 1203</t>
        </is>
      </c>
      <c r="E383" t="inlineStr">
        <is>
          <t>Andrés Torres</t>
        </is>
      </c>
      <c r="F383" t="inlineStr">
        <is>
          <t>Ganado</t>
        </is>
      </c>
      <c r="G383" t="n">
        <v>790000000</v>
      </c>
      <c r="H383" t="n">
        <v>1</v>
      </c>
      <c r="I383" s="28" t="n">
        <v>45604</v>
      </c>
      <c r="J383" s="28" t="n">
        <v>45707</v>
      </c>
      <c r="K383" t="n">
        <v>103</v>
      </c>
      <c r="L383" t="inlineStr">
        <is>
          <t>Promesa de compraventa firmada</t>
        </is>
      </c>
    </row>
    <row r="384" ht="15.75" customHeight="1" s="25">
      <c r="A384" t="inlineStr">
        <is>
          <t>NEG-0382</t>
        </is>
      </c>
      <c r="B384" t="inlineStr">
        <is>
          <t>Mauricio Rojas Sánchez</t>
        </is>
      </c>
      <c r="C384" t="inlineStr">
        <is>
          <t>PRY-002</t>
        </is>
      </c>
      <c r="D384" t="inlineStr">
        <is>
          <t>Casa 44</t>
        </is>
      </c>
      <c r="E384" t="inlineStr">
        <is>
          <t>Andrés Torres</t>
        </is>
      </c>
      <c r="F384" t="inlineStr">
        <is>
          <t>Ganado</t>
        </is>
      </c>
      <c r="G384" t="n">
        <v>770000000</v>
      </c>
      <c r="H384" t="n">
        <v>1</v>
      </c>
      <c r="I384" s="28" t="n">
        <v>45604</v>
      </c>
      <c r="J384" s="28" t="n">
        <v>45705</v>
      </c>
      <c r="K384" t="n">
        <v>101</v>
      </c>
      <c r="L384" t="inlineStr">
        <is>
          <t>Promesa de compraventa firmada</t>
        </is>
      </c>
    </row>
    <row r="385" ht="15.75" customHeight="1" s="25">
      <c r="A385" t="inlineStr">
        <is>
          <t>NEG-0383</t>
        </is>
      </c>
      <c r="B385" t="inlineStr">
        <is>
          <t>Catalina Mejía Muñoz</t>
        </is>
      </c>
      <c r="C385" t="inlineStr">
        <is>
          <t>PRY-004</t>
        </is>
      </c>
      <c r="D385" t="inlineStr">
        <is>
          <t>Casa 79</t>
        </is>
      </c>
      <c r="E385" t="inlineStr">
        <is>
          <t>Luis Bedoya</t>
        </is>
      </c>
      <c r="F385" t="inlineStr">
        <is>
          <t>Ganado</t>
        </is>
      </c>
      <c r="G385" t="n">
        <v>554000000</v>
      </c>
      <c r="H385" t="n">
        <v>1</v>
      </c>
      <c r="I385" s="28" t="n">
        <v>45604</v>
      </c>
      <c r="J385" s="28" t="n">
        <v>45687</v>
      </c>
      <c r="K385" t="n">
        <v>83</v>
      </c>
      <c r="L385" t="inlineStr">
        <is>
          <t>Promesa de compraventa firmada</t>
        </is>
      </c>
    </row>
    <row r="386" ht="15.75" customHeight="1" s="25">
      <c r="A386" t="inlineStr">
        <is>
          <t>NEG-0384</t>
        </is>
      </c>
      <c r="B386" t="inlineStr">
        <is>
          <t>Alejandra Montoya Gómez</t>
        </is>
      </c>
      <c r="C386" t="inlineStr">
        <is>
          <t>PRY-007</t>
        </is>
      </c>
      <c r="D386" t="inlineStr">
        <is>
          <t>Apto 1106</t>
        </is>
      </c>
      <c r="E386" t="inlineStr">
        <is>
          <t>Luis Bedoya</t>
        </is>
      </c>
      <c r="F386" t="inlineStr">
        <is>
          <t>Ganado</t>
        </is>
      </c>
      <c r="G386" t="n">
        <v>558000000</v>
      </c>
      <c r="H386" t="n">
        <v>1</v>
      </c>
      <c r="I386" s="28" t="n">
        <v>45604</v>
      </c>
      <c r="J386" s="28" t="n">
        <v>45668</v>
      </c>
      <c r="K386" t="n">
        <v>64</v>
      </c>
      <c r="L386" t="inlineStr">
        <is>
          <t>Promesa de compraventa firmada</t>
        </is>
      </c>
    </row>
    <row r="387" ht="15.75" customHeight="1" s="25">
      <c r="A387" t="inlineStr">
        <is>
          <t>NEG-0385</t>
        </is>
      </c>
      <c r="B387" t="inlineStr">
        <is>
          <t>Julián López Bedoya</t>
        </is>
      </c>
      <c r="C387" t="inlineStr">
        <is>
          <t>PRY-008</t>
        </is>
      </c>
      <c r="D387" t="inlineStr">
        <is>
          <t>Casa 70</t>
        </is>
      </c>
      <c r="E387" t="inlineStr">
        <is>
          <t>Ana Quintero</t>
        </is>
      </c>
      <c r="F387" t="inlineStr">
        <is>
          <t>Perdido</t>
        </is>
      </c>
      <c r="G387" t="n">
        <v>163000000</v>
      </c>
      <c r="H387" t="n">
        <v>0</v>
      </c>
      <c r="I387" s="28" t="n">
        <v>45606</v>
      </c>
      <c r="J387" s="28" t="n">
        <v>45650</v>
      </c>
      <c r="K387" t="n">
        <v>44</v>
      </c>
      <c r="L387" t="inlineStr">
        <is>
          <t>Eligió otro proyecto</t>
        </is>
      </c>
    </row>
    <row r="388" ht="15.75" customHeight="1" s="25">
      <c r="A388" t="inlineStr">
        <is>
          <t>NEG-0386</t>
        </is>
      </c>
      <c r="B388" t="inlineStr">
        <is>
          <t>Catalina Quintero Ramírez</t>
        </is>
      </c>
      <c r="C388" t="inlineStr">
        <is>
          <t>PRY-002</t>
        </is>
      </c>
      <c r="D388" t="inlineStr">
        <is>
          <t>Casa 35</t>
        </is>
      </c>
      <c r="E388" t="inlineStr">
        <is>
          <t>Paula Arenas</t>
        </is>
      </c>
      <c r="F388" t="inlineStr">
        <is>
          <t>Ganado</t>
        </is>
      </c>
      <c r="G388" t="n">
        <v>763000000</v>
      </c>
      <c r="H388" t="n">
        <v>1</v>
      </c>
      <c r="I388" s="28" t="n">
        <v>45607</v>
      </c>
      <c r="J388" s="28" t="n">
        <v>45748</v>
      </c>
      <c r="K388" t="n">
        <v>141</v>
      </c>
      <c r="L388" t="inlineStr">
        <is>
          <t>Promesa de compraventa firmada</t>
        </is>
      </c>
    </row>
    <row r="389" ht="15.75" customHeight="1" s="25">
      <c r="A389" t="inlineStr">
        <is>
          <t>NEG-0387</t>
        </is>
      </c>
      <c r="B389" t="inlineStr">
        <is>
          <t>Sebastián Peláez Higuita</t>
        </is>
      </c>
      <c r="C389" t="inlineStr">
        <is>
          <t>PRY-004</t>
        </is>
      </c>
      <c r="D389" t="inlineStr">
        <is>
          <t>Casa 30</t>
        </is>
      </c>
      <c r="E389" t="inlineStr">
        <is>
          <t>Santiago Muñoz</t>
        </is>
      </c>
      <c r="F389" t="inlineStr">
        <is>
          <t>Ganado</t>
        </is>
      </c>
      <c r="G389" t="n">
        <v>458000000</v>
      </c>
      <c r="H389" t="n">
        <v>1</v>
      </c>
      <c r="I389" s="28" t="n">
        <v>45608</v>
      </c>
      <c r="J389" s="28" t="n">
        <v>45714</v>
      </c>
      <c r="K389" t="n">
        <v>106</v>
      </c>
      <c r="L389" t="inlineStr">
        <is>
          <t>Promesa de compraventa firmada</t>
        </is>
      </c>
    </row>
    <row r="390" ht="15.75" customHeight="1" s="25">
      <c r="A390" t="inlineStr">
        <is>
          <t>NEG-0388</t>
        </is>
      </c>
      <c r="B390" t="inlineStr">
        <is>
          <t>Carlos Quintero Escobar</t>
        </is>
      </c>
      <c r="C390" t="inlineStr">
        <is>
          <t>PRY-003</t>
        </is>
      </c>
      <c r="D390" t="inlineStr">
        <is>
          <t>Apto 804</t>
        </is>
      </c>
      <c r="E390" t="inlineStr">
        <is>
          <t>Ana Quintero</t>
        </is>
      </c>
      <c r="F390" t="inlineStr">
        <is>
          <t>Perdido</t>
        </is>
      </c>
      <c r="G390" t="n">
        <v>375000000</v>
      </c>
      <c r="H390" t="n">
        <v>0</v>
      </c>
      <c r="I390" s="28" t="n">
        <v>45609</v>
      </c>
      <c r="J390" s="28" t="n">
        <v>45684</v>
      </c>
      <c r="K390" t="n">
        <v>75</v>
      </c>
      <c r="L390" t="inlineStr">
        <is>
          <t>Desistió de la compra</t>
        </is>
      </c>
    </row>
    <row r="391" ht="15.75" customHeight="1" s="25">
      <c r="A391" t="inlineStr">
        <is>
          <t>NEG-0389</t>
        </is>
      </c>
      <c r="B391" t="inlineStr">
        <is>
          <t>Sebastián Rojas Gómez</t>
        </is>
      </c>
      <c r="C391" t="inlineStr">
        <is>
          <t>PRY-002</t>
        </is>
      </c>
      <c r="D391" t="inlineStr">
        <is>
          <t>Casa 19</t>
        </is>
      </c>
      <c r="E391" t="inlineStr">
        <is>
          <t>Santiago Muñoz</t>
        </is>
      </c>
      <c r="F391" t="inlineStr">
        <is>
          <t>Ganado</t>
        </is>
      </c>
      <c r="G391" t="n">
        <v>783000000</v>
      </c>
      <c r="H391" t="n">
        <v>1</v>
      </c>
      <c r="I391" s="28" t="n">
        <v>45610</v>
      </c>
      <c r="J391" s="28" t="n">
        <v>45674</v>
      </c>
      <c r="K391" t="n">
        <v>64</v>
      </c>
      <c r="L391" t="inlineStr">
        <is>
          <t>Promesa de compraventa firmada</t>
        </is>
      </c>
    </row>
    <row r="392" ht="15.75" customHeight="1" s="25">
      <c r="A392" t="inlineStr">
        <is>
          <t>NEG-0390</t>
        </is>
      </c>
      <c r="B392" t="inlineStr">
        <is>
          <t>Esteban Salazar Hernández</t>
        </is>
      </c>
      <c r="C392" t="inlineStr">
        <is>
          <t>PRY-004</t>
        </is>
      </c>
      <c r="D392" t="inlineStr">
        <is>
          <t>Casa 50</t>
        </is>
      </c>
      <c r="E392" t="inlineStr">
        <is>
          <t>Juliana Vélez</t>
        </is>
      </c>
      <c r="F392" t="inlineStr">
        <is>
          <t>Ganado</t>
        </is>
      </c>
      <c r="G392" t="n">
        <v>529000000</v>
      </c>
      <c r="H392" t="n">
        <v>1</v>
      </c>
      <c r="I392" s="28" t="n">
        <v>45610</v>
      </c>
      <c r="J392" s="28" t="n">
        <v>45657</v>
      </c>
      <c r="K392" t="n">
        <v>47</v>
      </c>
      <c r="L392" t="inlineStr">
        <is>
          <t>Promesa de compraventa firmada</t>
        </is>
      </c>
    </row>
    <row r="393" ht="15.75" customHeight="1" s="25">
      <c r="A393" t="inlineStr">
        <is>
          <t>NEG-0391</t>
        </is>
      </c>
      <c r="B393" t="inlineStr">
        <is>
          <t>Jorge Gómez Escobar</t>
        </is>
      </c>
      <c r="C393" t="inlineStr">
        <is>
          <t>PRY-008</t>
        </is>
      </c>
      <c r="D393" t="inlineStr">
        <is>
          <t>Casa 64</t>
        </is>
      </c>
      <c r="E393" t="inlineStr">
        <is>
          <t>Miguel Salazar</t>
        </is>
      </c>
      <c r="F393" t="inlineStr">
        <is>
          <t>Ganado</t>
        </is>
      </c>
      <c r="G393" t="n">
        <v>134000000</v>
      </c>
      <c r="H393" t="n">
        <v>1</v>
      </c>
      <c r="I393" s="28" t="n">
        <v>45610</v>
      </c>
      <c r="J393" s="28" t="n">
        <v>45645</v>
      </c>
      <c r="K393" t="n">
        <v>35</v>
      </c>
      <c r="L393" t="inlineStr">
        <is>
          <t>Promesa de compraventa firmada</t>
        </is>
      </c>
    </row>
    <row r="394" ht="15.75" customHeight="1" s="25">
      <c r="A394" t="inlineStr">
        <is>
          <t>NEG-0392</t>
        </is>
      </c>
      <c r="B394" t="inlineStr">
        <is>
          <t>Gloria Pérez Valencia</t>
        </is>
      </c>
      <c r="C394" t="inlineStr">
        <is>
          <t>PRY-001</t>
        </is>
      </c>
      <c r="D394" t="inlineStr">
        <is>
          <t>Apto 1701</t>
        </is>
      </c>
      <c r="E394" t="inlineStr">
        <is>
          <t>Juliana Vélez</t>
        </is>
      </c>
      <c r="F394" t="inlineStr">
        <is>
          <t>Ganado</t>
        </is>
      </c>
      <c r="G394" t="n">
        <v>732000000</v>
      </c>
      <c r="H394" t="n">
        <v>1</v>
      </c>
      <c r="I394" s="28" t="n">
        <v>45611</v>
      </c>
      <c r="J394" s="28" t="n">
        <v>45670</v>
      </c>
      <c r="K394" t="n">
        <v>59</v>
      </c>
      <c r="L394" t="inlineStr">
        <is>
          <t>Promesa de compraventa firmada</t>
        </is>
      </c>
    </row>
    <row r="395" ht="15.75" customHeight="1" s="25">
      <c r="A395" t="inlineStr">
        <is>
          <t>NEG-0393</t>
        </is>
      </c>
      <c r="B395" t="inlineStr">
        <is>
          <t>Julián Zapata Jaramillo</t>
        </is>
      </c>
      <c r="C395" t="inlineStr">
        <is>
          <t>PRY-005</t>
        </is>
      </c>
      <c r="D395" t="inlineStr">
        <is>
          <t>Casa 17</t>
        </is>
      </c>
      <c r="E395" t="inlineStr">
        <is>
          <t>Luis Bedoya</t>
        </is>
      </c>
      <c r="F395" t="inlineStr">
        <is>
          <t>Ganado</t>
        </is>
      </c>
      <c r="G395" t="n">
        <v>387000000</v>
      </c>
      <c r="H395" t="n">
        <v>1</v>
      </c>
      <c r="I395" s="28" t="n">
        <v>45611</v>
      </c>
      <c r="J395" s="28" t="n">
        <v>45683</v>
      </c>
      <c r="K395" t="n">
        <v>72</v>
      </c>
      <c r="L395" t="inlineStr">
        <is>
          <t>Promesa de compraventa firmada</t>
        </is>
      </c>
    </row>
    <row r="396" ht="15.75" customHeight="1" s="25">
      <c r="A396" t="inlineStr">
        <is>
          <t>NEG-0394</t>
        </is>
      </c>
      <c r="B396" t="inlineStr">
        <is>
          <t>Diana Agudelo Restrepo</t>
        </is>
      </c>
      <c r="C396" t="inlineStr">
        <is>
          <t>PRY-008</t>
        </is>
      </c>
      <c r="D396" t="inlineStr">
        <is>
          <t>Casa 37</t>
        </is>
      </c>
      <c r="E396" t="inlineStr">
        <is>
          <t>Paula Arenas</t>
        </is>
      </c>
      <c r="F396" t="inlineStr">
        <is>
          <t>Ganado</t>
        </is>
      </c>
      <c r="G396" t="n">
        <v>161000000</v>
      </c>
      <c r="H396" t="n">
        <v>1</v>
      </c>
      <c r="I396" s="28" t="n">
        <v>45611</v>
      </c>
      <c r="J396" s="28" t="n">
        <v>45634</v>
      </c>
      <c r="K396" t="n">
        <v>23</v>
      </c>
      <c r="L396" t="inlineStr">
        <is>
          <t>Promesa de compraventa firmada</t>
        </is>
      </c>
    </row>
    <row r="397" ht="15.75" customHeight="1" s="25">
      <c r="A397" t="inlineStr">
        <is>
          <t>NEG-0395</t>
        </is>
      </c>
      <c r="B397" t="inlineStr">
        <is>
          <t>Felipe Zapata Álvarez</t>
        </is>
      </c>
      <c r="C397" t="inlineStr">
        <is>
          <t>PRY-001</t>
        </is>
      </c>
      <c r="D397" t="inlineStr">
        <is>
          <t>Apto 2003</t>
        </is>
      </c>
      <c r="E397" t="inlineStr">
        <is>
          <t>Santiago Muñoz</t>
        </is>
      </c>
      <c r="F397" t="inlineStr">
        <is>
          <t>Ganado</t>
        </is>
      </c>
      <c r="G397" t="n">
        <v>873000000</v>
      </c>
      <c r="H397" t="n">
        <v>1</v>
      </c>
      <c r="I397" s="28" t="n">
        <v>45613</v>
      </c>
      <c r="J397" s="28" t="n">
        <v>45706</v>
      </c>
      <c r="K397" t="n">
        <v>93</v>
      </c>
      <c r="L397" t="inlineStr">
        <is>
          <t>Promesa de compraventa firmada</t>
        </is>
      </c>
    </row>
    <row r="398" ht="15.75" customHeight="1" s="25">
      <c r="A398" t="inlineStr">
        <is>
          <t>NEG-0396</t>
        </is>
      </c>
      <c r="B398" t="inlineStr">
        <is>
          <t>Carolina Castaño Giraldo</t>
        </is>
      </c>
      <c r="C398" t="inlineStr">
        <is>
          <t>PRY-003</t>
        </is>
      </c>
      <c r="D398" t="inlineStr">
        <is>
          <t>Apto 1901</t>
        </is>
      </c>
      <c r="E398" t="inlineStr">
        <is>
          <t>Luis Bedoya</t>
        </is>
      </c>
      <c r="F398" t="inlineStr">
        <is>
          <t>Ganado</t>
        </is>
      </c>
      <c r="G398" t="n">
        <v>307000000</v>
      </c>
      <c r="H398" t="n">
        <v>1</v>
      </c>
      <c r="I398" s="28" t="n">
        <v>45613</v>
      </c>
      <c r="J398" s="28" t="n">
        <v>45702</v>
      </c>
      <c r="K398" t="n">
        <v>89</v>
      </c>
      <c r="L398" t="inlineStr">
        <is>
          <t>Promesa de compraventa firmada</t>
        </is>
      </c>
    </row>
    <row r="399" ht="15.75" customHeight="1" s="25">
      <c r="A399" t="inlineStr">
        <is>
          <t>NEG-0397</t>
        </is>
      </c>
      <c r="B399" t="inlineStr">
        <is>
          <t>Valeria Muñoz Cano</t>
        </is>
      </c>
      <c r="C399" t="inlineStr">
        <is>
          <t>PRY-003</t>
        </is>
      </c>
      <c r="D399" t="inlineStr">
        <is>
          <t>Apto 1504</t>
        </is>
      </c>
      <c r="E399" t="inlineStr">
        <is>
          <t>Sofía Prada</t>
        </is>
      </c>
      <c r="F399" t="inlineStr">
        <is>
          <t>Ganado</t>
        </is>
      </c>
      <c r="G399" t="n">
        <v>320000000</v>
      </c>
      <c r="H399" t="n">
        <v>1</v>
      </c>
      <c r="I399" s="28" t="n">
        <v>45615</v>
      </c>
      <c r="J399" s="28" t="n">
        <v>45674</v>
      </c>
      <c r="K399" t="n">
        <v>59</v>
      </c>
      <c r="L399" t="inlineStr">
        <is>
          <t>Promesa de compraventa firmada</t>
        </is>
      </c>
    </row>
    <row r="400" ht="15.75" customHeight="1" s="25">
      <c r="A400" t="inlineStr">
        <is>
          <t>NEG-0398</t>
        </is>
      </c>
      <c r="B400" t="inlineStr">
        <is>
          <t>Juliana Giraldo Pérez</t>
        </is>
      </c>
      <c r="C400" t="inlineStr">
        <is>
          <t>PRY-007</t>
        </is>
      </c>
      <c r="D400" t="inlineStr">
        <is>
          <t>Apto 204</t>
        </is>
      </c>
      <c r="E400" t="inlineStr">
        <is>
          <t>Juliana Vélez</t>
        </is>
      </c>
      <c r="F400" t="inlineStr">
        <is>
          <t>Perdido</t>
        </is>
      </c>
      <c r="G400" t="n">
        <v>569000000</v>
      </c>
      <c r="H400" t="n">
        <v>0</v>
      </c>
      <c r="I400" s="28" t="n">
        <v>45618</v>
      </c>
      <c r="J400" s="28" t="n">
        <v>45727</v>
      </c>
      <c r="K400" t="n">
        <v>109</v>
      </c>
      <c r="L400" t="inlineStr">
        <is>
          <t>Crédito no aprobado</t>
        </is>
      </c>
    </row>
    <row r="401" ht="15.75" customHeight="1" s="25">
      <c r="A401" t="inlineStr">
        <is>
          <t>NEG-0399</t>
        </is>
      </c>
      <c r="B401" t="inlineStr">
        <is>
          <t>Carolina Gaviria Duque</t>
        </is>
      </c>
      <c r="C401" t="inlineStr">
        <is>
          <t>PRY-008</t>
        </is>
      </c>
      <c r="D401" t="inlineStr">
        <is>
          <t>Casa 96</t>
        </is>
      </c>
      <c r="E401" t="inlineStr">
        <is>
          <t>Luis Bedoya</t>
        </is>
      </c>
      <c r="F401" t="inlineStr">
        <is>
          <t>Ganado</t>
        </is>
      </c>
      <c r="G401" t="n">
        <v>167000000</v>
      </c>
      <c r="H401" t="n">
        <v>1</v>
      </c>
      <c r="I401" s="28" t="n">
        <v>45618</v>
      </c>
      <c r="J401" s="28" t="n">
        <v>45649</v>
      </c>
      <c r="K401" t="n">
        <v>31</v>
      </c>
      <c r="L401" t="inlineStr">
        <is>
          <t>Promesa de compraventa firmada</t>
        </is>
      </c>
    </row>
    <row r="402" ht="15.75" customHeight="1" s="25">
      <c r="A402" t="inlineStr">
        <is>
          <t>NEG-0400</t>
        </is>
      </c>
      <c r="B402" t="inlineStr">
        <is>
          <t>Katherine Franco Giraldo</t>
        </is>
      </c>
      <c r="C402" t="inlineStr">
        <is>
          <t>PRY-001</t>
        </is>
      </c>
      <c r="D402" t="inlineStr">
        <is>
          <t>Apto 706</t>
        </is>
      </c>
      <c r="E402" t="inlineStr">
        <is>
          <t>Paula Arenas</t>
        </is>
      </c>
      <c r="F402" t="inlineStr">
        <is>
          <t>Perdido</t>
        </is>
      </c>
      <c r="G402" t="n">
        <v>717000000</v>
      </c>
      <c r="H402" t="n">
        <v>0</v>
      </c>
      <c r="I402" s="28" t="n">
        <v>45620</v>
      </c>
      <c r="J402" s="28" t="n">
        <v>45672</v>
      </c>
      <c r="K402" t="n">
        <v>52</v>
      </c>
      <c r="L402" t="inlineStr">
        <is>
          <t>Crédito no aprobado</t>
        </is>
      </c>
    </row>
    <row r="403" ht="15.75" customHeight="1" s="25">
      <c r="A403" t="inlineStr">
        <is>
          <t>NEG-0401</t>
        </is>
      </c>
      <c r="B403" t="inlineStr">
        <is>
          <t>Luisa Castaño Cifuentes</t>
        </is>
      </c>
      <c r="C403" t="inlineStr">
        <is>
          <t>PRY-004</t>
        </is>
      </c>
      <c r="D403" t="inlineStr">
        <is>
          <t>Casa 58</t>
        </is>
      </c>
      <c r="E403" t="inlineStr">
        <is>
          <t>Santiago Muñoz</t>
        </is>
      </c>
      <c r="F403" t="inlineStr">
        <is>
          <t>Ganado</t>
        </is>
      </c>
      <c r="G403" t="n">
        <v>577000000</v>
      </c>
      <c r="H403" t="n">
        <v>1</v>
      </c>
      <c r="I403" s="28" t="n">
        <v>45620</v>
      </c>
      <c r="J403" s="28" t="n">
        <v>45731</v>
      </c>
      <c r="K403" t="n">
        <v>111</v>
      </c>
      <c r="L403" t="inlineStr">
        <is>
          <t>Promesa de compraventa firmada</t>
        </is>
      </c>
    </row>
    <row r="404" ht="15.75" customHeight="1" s="25">
      <c r="A404" t="inlineStr">
        <is>
          <t>NEG-0402</t>
        </is>
      </c>
      <c r="B404" t="inlineStr">
        <is>
          <t>Sebastián Londoño Castaño</t>
        </is>
      </c>
      <c r="C404" t="inlineStr">
        <is>
          <t>PRY-005</t>
        </is>
      </c>
      <c r="D404" t="inlineStr">
        <is>
          <t>Apto 707</t>
        </is>
      </c>
      <c r="E404" t="inlineStr">
        <is>
          <t>Sofía Prada</t>
        </is>
      </c>
      <c r="F404" t="inlineStr">
        <is>
          <t>Perdido</t>
        </is>
      </c>
      <c r="G404" t="n">
        <v>367000000</v>
      </c>
      <c r="H404" t="n">
        <v>0</v>
      </c>
      <c r="I404" s="28" t="n">
        <v>45620</v>
      </c>
      <c r="J404" s="28" t="n">
        <v>45726</v>
      </c>
      <c r="K404" t="n">
        <v>106</v>
      </c>
      <c r="L404" t="inlineStr">
        <is>
          <t>Eligió otro proyecto</t>
        </is>
      </c>
    </row>
    <row r="405" ht="15.75" customHeight="1" s="25">
      <c r="A405" t="inlineStr">
        <is>
          <t>NEG-0403</t>
        </is>
      </c>
      <c r="B405" t="inlineStr">
        <is>
          <t>Juan Pablo Vásquez Arango</t>
        </is>
      </c>
      <c r="C405" t="inlineStr">
        <is>
          <t>PRY-001</t>
        </is>
      </c>
      <c r="D405" t="inlineStr">
        <is>
          <t>Apto 2002</t>
        </is>
      </c>
      <c r="E405" t="inlineStr">
        <is>
          <t>Miguel Salazar</t>
        </is>
      </c>
      <c r="F405" t="inlineStr">
        <is>
          <t>Ganado</t>
        </is>
      </c>
      <c r="G405" t="n">
        <v>717000000</v>
      </c>
      <c r="H405" t="n">
        <v>1</v>
      </c>
      <c r="I405" s="28" t="n">
        <v>45623</v>
      </c>
      <c r="J405" s="28" t="n">
        <v>45729</v>
      </c>
      <c r="K405" t="n">
        <v>106</v>
      </c>
      <c r="L405" t="inlineStr">
        <is>
          <t>Promesa de compraventa firmada</t>
        </is>
      </c>
    </row>
    <row r="406" ht="15.75" customHeight="1" s="25">
      <c r="A406" t="inlineStr">
        <is>
          <t>NEG-0404</t>
        </is>
      </c>
      <c r="B406" t="inlineStr">
        <is>
          <t>Cristian Mejía Valencia</t>
        </is>
      </c>
      <c r="C406" t="inlineStr">
        <is>
          <t>PRY-005</t>
        </is>
      </c>
      <c r="D406" t="inlineStr">
        <is>
          <t>Casa 29</t>
        </is>
      </c>
      <c r="E406" t="inlineStr">
        <is>
          <t>Sofía Prada</t>
        </is>
      </c>
      <c r="F406" t="inlineStr">
        <is>
          <t>Ganado</t>
        </is>
      </c>
      <c r="G406" t="n">
        <v>441000000</v>
      </c>
      <c r="H406" t="n">
        <v>1</v>
      </c>
      <c r="I406" s="28" t="n">
        <v>45624</v>
      </c>
      <c r="J406" s="28" t="n">
        <v>45715</v>
      </c>
      <c r="K406" t="n">
        <v>91</v>
      </c>
      <c r="L406" t="inlineStr">
        <is>
          <t>Promesa de compraventa firmada</t>
        </is>
      </c>
    </row>
    <row r="407" ht="15.75" customHeight="1" s="25">
      <c r="A407" t="inlineStr">
        <is>
          <t>NEG-0405</t>
        </is>
      </c>
      <c r="B407" t="inlineStr">
        <is>
          <t>Diana Jaramillo Mejía</t>
        </is>
      </c>
      <c r="C407" t="inlineStr">
        <is>
          <t>PRY-008</t>
        </is>
      </c>
      <c r="D407" t="inlineStr">
        <is>
          <t>Casa 20</t>
        </is>
      </c>
      <c r="E407" t="inlineStr">
        <is>
          <t>Paula Arenas</t>
        </is>
      </c>
      <c r="F407" t="inlineStr">
        <is>
          <t>Ganado</t>
        </is>
      </c>
      <c r="G407" t="n">
        <v>165000000</v>
      </c>
      <c r="H407" t="n">
        <v>1</v>
      </c>
      <c r="I407" s="28" t="n">
        <v>45624</v>
      </c>
      <c r="J407" s="28" t="n">
        <v>45694</v>
      </c>
      <c r="K407" t="n">
        <v>70</v>
      </c>
      <c r="L407" t="inlineStr">
        <is>
          <t>Promesa de compraventa firmada</t>
        </is>
      </c>
    </row>
    <row r="408" ht="15.75" customHeight="1" s="25">
      <c r="A408" t="inlineStr">
        <is>
          <t>NEG-0406</t>
        </is>
      </c>
      <c r="B408" t="inlineStr">
        <is>
          <t>Isabel Cardona Valencia</t>
        </is>
      </c>
      <c r="C408" t="inlineStr">
        <is>
          <t>PRY-004</t>
        </is>
      </c>
      <c r="D408" t="inlineStr">
        <is>
          <t>Casa 42</t>
        </is>
      </c>
      <c r="E408" t="inlineStr">
        <is>
          <t>Miguel Salazar</t>
        </is>
      </c>
      <c r="F408" t="inlineStr">
        <is>
          <t>Ganado</t>
        </is>
      </c>
      <c r="G408" t="n">
        <v>493000000</v>
      </c>
      <c r="H408" t="n">
        <v>1</v>
      </c>
      <c r="I408" s="28" t="n">
        <v>45625</v>
      </c>
      <c r="J408" s="28" t="n">
        <v>45725</v>
      </c>
      <c r="K408" t="n">
        <v>100</v>
      </c>
      <c r="L408" t="inlineStr">
        <is>
          <t>Promesa de compraventa firmada</t>
        </is>
      </c>
    </row>
    <row r="409" ht="15.75" customHeight="1" s="25">
      <c r="A409" t="inlineStr">
        <is>
          <t>NEG-0407</t>
        </is>
      </c>
      <c r="B409" t="inlineStr">
        <is>
          <t>Nicolás Agudelo Salcedo</t>
        </is>
      </c>
      <c r="C409" t="inlineStr">
        <is>
          <t>PRY-008</t>
        </is>
      </c>
      <c r="D409" t="inlineStr">
        <is>
          <t>Casa 36</t>
        </is>
      </c>
      <c r="E409" t="inlineStr">
        <is>
          <t>Sofía Prada</t>
        </is>
      </c>
      <c r="F409" t="inlineStr">
        <is>
          <t>Ganado</t>
        </is>
      </c>
      <c r="G409" t="n">
        <v>144000000</v>
      </c>
      <c r="H409" t="n">
        <v>1</v>
      </c>
      <c r="I409" s="28" t="n">
        <v>45625</v>
      </c>
      <c r="J409" s="28" t="n">
        <v>45671</v>
      </c>
      <c r="K409" t="n">
        <v>46</v>
      </c>
      <c r="L409" t="inlineStr">
        <is>
          <t>Promesa de compraventa firmada</t>
        </is>
      </c>
    </row>
    <row r="410" ht="15.75" customHeight="1" s="25">
      <c r="A410" t="inlineStr">
        <is>
          <t>NEG-0408</t>
        </is>
      </c>
      <c r="B410" t="inlineStr">
        <is>
          <t>Carolina Espinosa Rojas</t>
        </is>
      </c>
      <c r="C410" t="inlineStr">
        <is>
          <t>PRY-004</t>
        </is>
      </c>
      <c r="D410" t="inlineStr">
        <is>
          <t>Casa 72</t>
        </is>
      </c>
      <c r="E410" t="inlineStr">
        <is>
          <t>Santiago Muñoz</t>
        </is>
      </c>
      <c r="F410" t="inlineStr">
        <is>
          <t>Ganado</t>
        </is>
      </c>
      <c r="G410" t="n">
        <v>526000000</v>
      </c>
      <c r="H410" t="n">
        <v>1</v>
      </c>
      <c r="I410" s="28" t="n">
        <v>45626</v>
      </c>
      <c r="J410" s="28" t="n">
        <v>45715</v>
      </c>
      <c r="K410" t="n">
        <v>89</v>
      </c>
      <c r="L410" t="inlineStr">
        <is>
          <t>Promesa de compraventa firmada</t>
        </is>
      </c>
    </row>
    <row r="411" ht="15.75" customHeight="1" s="25">
      <c r="A411" t="inlineStr">
        <is>
          <t>NEG-0409</t>
        </is>
      </c>
      <c r="B411" t="inlineStr">
        <is>
          <t>Mateo Vélez Valencia</t>
        </is>
      </c>
      <c r="C411" t="inlineStr">
        <is>
          <t>PRY-008</t>
        </is>
      </c>
      <c r="D411" t="inlineStr">
        <is>
          <t>Casa 94</t>
        </is>
      </c>
      <c r="E411" t="inlineStr">
        <is>
          <t>Miguel Salazar</t>
        </is>
      </c>
      <c r="F411" t="inlineStr">
        <is>
          <t>Ganado</t>
        </is>
      </c>
      <c r="G411" t="n">
        <v>156000000</v>
      </c>
      <c r="H411" t="n">
        <v>1</v>
      </c>
      <c r="I411" s="28" t="n">
        <v>45627</v>
      </c>
      <c r="J411" s="28" t="n">
        <v>45697</v>
      </c>
      <c r="K411" t="n">
        <v>70</v>
      </c>
      <c r="L411" t="inlineStr">
        <is>
          <t>Promesa de compraventa firmada</t>
        </is>
      </c>
    </row>
    <row r="412" ht="15.75" customHeight="1" s="25">
      <c r="A412" t="inlineStr">
        <is>
          <t>NEG-0410</t>
        </is>
      </c>
      <c r="B412" t="inlineStr">
        <is>
          <t>Daniel Cifuentes Castaño</t>
        </is>
      </c>
      <c r="C412" t="inlineStr">
        <is>
          <t>PRY-001</t>
        </is>
      </c>
      <c r="D412" t="inlineStr">
        <is>
          <t>Apto 1305</t>
        </is>
      </c>
      <c r="E412" t="inlineStr">
        <is>
          <t>Paula Arenas</t>
        </is>
      </c>
      <c r="F412" t="inlineStr">
        <is>
          <t>Ganado</t>
        </is>
      </c>
      <c r="G412" t="n">
        <v>858000000</v>
      </c>
      <c r="H412" t="n">
        <v>1</v>
      </c>
      <c r="I412" s="28" t="n">
        <v>45628</v>
      </c>
      <c r="J412" s="28" t="n">
        <v>45702</v>
      </c>
      <c r="K412" t="n">
        <v>74</v>
      </c>
      <c r="L412" t="inlineStr">
        <is>
          <t>Promesa de compraventa firmada</t>
        </is>
      </c>
    </row>
    <row r="413" ht="15.75" customHeight="1" s="25">
      <c r="A413" t="inlineStr">
        <is>
          <t>NEG-0411</t>
        </is>
      </c>
      <c r="B413" t="inlineStr">
        <is>
          <t>Laura Vásquez Duque</t>
        </is>
      </c>
      <c r="C413" t="inlineStr">
        <is>
          <t>PRY-004</t>
        </is>
      </c>
      <c r="D413" t="inlineStr">
        <is>
          <t>Casa 2</t>
        </is>
      </c>
      <c r="E413" t="inlineStr">
        <is>
          <t>Paula Arenas</t>
        </is>
      </c>
      <c r="F413" t="inlineStr">
        <is>
          <t>Perdido</t>
        </is>
      </c>
      <c r="G413" t="n">
        <v>441000000</v>
      </c>
      <c r="H413" t="n">
        <v>0</v>
      </c>
      <c r="I413" s="28" t="n">
        <v>45630</v>
      </c>
      <c r="J413" s="28" t="n">
        <v>45708</v>
      </c>
      <c r="K413" t="n">
        <v>78</v>
      </c>
      <c r="L413" t="inlineStr">
        <is>
          <t>Desistió de la compra</t>
        </is>
      </c>
    </row>
    <row r="414" ht="15.75" customHeight="1" s="25">
      <c r="A414" t="inlineStr">
        <is>
          <t>NEG-0412</t>
        </is>
      </c>
      <c r="B414" t="inlineStr">
        <is>
          <t>Fernando Cifuentes Gómez</t>
        </is>
      </c>
      <c r="C414" t="inlineStr">
        <is>
          <t>PRY-005</t>
        </is>
      </c>
      <c r="D414" t="inlineStr">
        <is>
          <t>Casa 33</t>
        </is>
      </c>
      <c r="E414" t="inlineStr">
        <is>
          <t>Luis Bedoya</t>
        </is>
      </c>
      <c r="F414" t="inlineStr">
        <is>
          <t>Perdido</t>
        </is>
      </c>
      <c r="G414" t="n">
        <v>430000000</v>
      </c>
      <c r="H414" t="n">
        <v>0</v>
      </c>
      <c r="I414" s="28" t="n">
        <v>45630</v>
      </c>
      <c r="J414" s="28" t="n">
        <v>45722</v>
      </c>
      <c r="K414" t="n">
        <v>92</v>
      </c>
      <c r="L414" t="inlineStr">
        <is>
          <t>Desistió de la compra</t>
        </is>
      </c>
    </row>
    <row r="415" ht="15.75" customHeight="1" s="25">
      <c r="A415" t="inlineStr">
        <is>
          <t>NEG-0413</t>
        </is>
      </c>
      <c r="B415" t="inlineStr">
        <is>
          <t>Andrés Montoya Palacio</t>
        </is>
      </c>
      <c r="C415" t="inlineStr">
        <is>
          <t>PRY-003</t>
        </is>
      </c>
      <c r="D415" t="inlineStr">
        <is>
          <t>Apto 2604</t>
        </is>
      </c>
      <c r="E415" t="inlineStr">
        <is>
          <t>Ana Quintero</t>
        </is>
      </c>
      <c r="F415" t="inlineStr">
        <is>
          <t>Perdido</t>
        </is>
      </c>
      <c r="G415" t="n">
        <v>315000000</v>
      </c>
      <c r="H415" t="n">
        <v>0</v>
      </c>
      <c r="I415" s="28" t="n">
        <v>45631</v>
      </c>
      <c r="J415" s="28" t="n">
        <v>45698</v>
      </c>
      <c r="K415" t="n">
        <v>67</v>
      </c>
      <c r="L415" t="inlineStr">
        <is>
          <t>Precio fuera de presupuesto</t>
        </is>
      </c>
    </row>
    <row r="416" ht="15.75" customHeight="1" s="25">
      <c r="A416" t="inlineStr">
        <is>
          <t>NEG-0414</t>
        </is>
      </c>
      <c r="B416" t="inlineStr">
        <is>
          <t>Alejandro Gómez Cifuentes</t>
        </is>
      </c>
      <c r="C416" t="inlineStr">
        <is>
          <t>PRY-005</t>
        </is>
      </c>
      <c r="D416" t="inlineStr">
        <is>
          <t>Apto 305</t>
        </is>
      </c>
      <c r="E416" t="inlineStr">
        <is>
          <t>Sofía Prada</t>
        </is>
      </c>
      <c r="F416" t="inlineStr">
        <is>
          <t>Ganado</t>
        </is>
      </c>
      <c r="G416" t="n">
        <v>388000000</v>
      </c>
      <c r="H416" t="n">
        <v>1</v>
      </c>
      <c r="I416" s="28" t="n">
        <v>45631</v>
      </c>
      <c r="J416" s="28" t="n">
        <v>45715</v>
      </c>
      <c r="K416" t="n">
        <v>84</v>
      </c>
      <c r="L416" t="inlineStr">
        <is>
          <t>Promesa de compraventa firmada</t>
        </is>
      </c>
    </row>
    <row r="417" ht="15.75" customHeight="1" s="25">
      <c r="A417" t="inlineStr">
        <is>
          <t>NEG-0415</t>
        </is>
      </c>
      <c r="B417" t="inlineStr">
        <is>
          <t>Gabriel Zuluaga Quintero</t>
        </is>
      </c>
      <c r="C417" t="inlineStr">
        <is>
          <t>PRY-003</t>
        </is>
      </c>
      <c r="D417" t="inlineStr">
        <is>
          <t>Apto 806</t>
        </is>
      </c>
      <c r="E417" t="inlineStr">
        <is>
          <t>Juliana Vélez</t>
        </is>
      </c>
      <c r="F417" t="inlineStr">
        <is>
          <t>Ganado</t>
        </is>
      </c>
      <c r="G417" t="n">
        <v>361000000</v>
      </c>
      <c r="H417" t="n">
        <v>1</v>
      </c>
      <c r="I417" s="28" t="n">
        <v>45633</v>
      </c>
      <c r="J417" s="28" t="n">
        <v>45673</v>
      </c>
      <c r="K417" t="n">
        <v>40</v>
      </c>
      <c r="L417" t="inlineStr">
        <is>
          <t>Promesa de compraventa firmada</t>
        </is>
      </c>
    </row>
    <row r="418" ht="15.75" customHeight="1" s="25">
      <c r="A418" t="inlineStr">
        <is>
          <t>NEG-0416</t>
        </is>
      </c>
      <c r="B418" t="inlineStr">
        <is>
          <t>Simón Correa Ochoa</t>
        </is>
      </c>
      <c r="C418" t="inlineStr">
        <is>
          <t>PRY-003</t>
        </is>
      </c>
      <c r="D418" t="inlineStr">
        <is>
          <t>Apto 1805</t>
        </is>
      </c>
      <c r="E418" t="inlineStr">
        <is>
          <t>Paula Arenas</t>
        </is>
      </c>
      <c r="F418" t="inlineStr">
        <is>
          <t>Ganado</t>
        </is>
      </c>
      <c r="G418" t="n">
        <v>313000000</v>
      </c>
      <c r="H418" t="n">
        <v>1</v>
      </c>
      <c r="I418" s="28" t="n">
        <v>45633</v>
      </c>
      <c r="J418" s="28" t="n">
        <v>45711</v>
      </c>
      <c r="K418" t="n">
        <v>78</v>
      </c>
      <c r="L418" t="inlineStr">
        <is>
          <t>Promesa de compraventa firmada</t>
        </is>
      </c>
    </row>
    <row r="419" ht="15.75" customHeight="1" s="25">
      <c r="A419" t="inlineStr">
        <is>
          <t>NEG-0417</t>
        </is>
      </c>
      <c r="B419" t="inlineStr">
        <is>
          <t>Diana López Cifuentes</t>
        </is>
      </c>
      <c r="C419" t="inlineStr">
        <is>
          <t>PRY-004</t>
        </is>
      </c>
      <c r="D419" t="inlineStr">
        <is>
          <t>Casa 17</t>
        </is>
      </c>
      <c r="E419" t="inlineStr">
        <is>
          <t>Luis Bedoya</t>
        </is>
      </c>
      <c r="F419" t="inlineStr">
        <is>
          <t>Ganado</t>
        </is>
      </c>
      <c r="G419" t="n">
        <v>463000000</v>
      </c>
      <c r="H419" t="n">
        <v>1</v>
      </c>
      <c r="I419" s="28" t="n">
        <v>45633</v>
      </c>
      <c r="J419" s="28" t="n">
        <v>45703</v>
      </c>
      <c r="K419" t="n">
        <v>70</v>
      </c>
      <c r="L419" t="inlineStr">
        <is>
          <t>Promesa de compraventa firmada</t>
        </is>
      </c>
    </row>
    <row r="420" ht="15.75" customHeight="1" s="25">
      <c r="A420" t="inlineStr">
        <is>
          <t>NEG-0418</t>
        </is>
      </c>
      <c r="B420" t="inlineStr">
        <is>
          <t>Juliana Marín Muñoz</t>
        </is>
      </c>
      <c r="C420" t="inlineStr">
        <is>
          <t>PRY-004</t>
        </is>
      </c>
      <c r="D420" t="inlineStr">
        <is>
          <t>Casa 13</t>
        </is>
      </c>
      <c r="E420" t="inlineStr">
        <is>
          <t>Paula Arenas</t>
        </is>
      </c>
      <c r="F420" t="inlineStr">
        <is>
          <t>Perdido</t>
        </is>
      </c>
      <c r="G420" t="n">
        <v>472000000</v>
      </c>
      <c r="H420" t="n">
        <v>0</v>
      </c>
      <c r="I420" s="28" t="n">
        <v>45633</v>
      </c>
      <c r="J420" s="28" t="n">
        <v>45720</v>
      </c>
      <c r="K420" t="n">
        <v>87</v>
      </c>
      <c r="L420" t="inlineStr">
        <is>
          <t>Desistió de la compra</t>
        </is>
      </c>
    </row>
    <row r="421" ht="15.75" customHeight="1" s="25">
      <c r="A421" t="inlineStr">
        <is>
          <t>NEG-0419</t>
        </is>
      </c>
      <c r="B421" t="inlineStr">
        <is>
          <t>Isabel Montoya Salazar</t>
        </is>
      </c>
      <c r="C421" t="inlineStr">
        <is>
          <t>PRY-007</t>
        </is>
      </c>
      <c r="D421" t="inlineStr">
        <is>
          <t>Apto 603</t>
        </is>
      </c>
      <c r="E421" t="inlineStr">
        <is>
          <t>Sofía Prada</t>
        </is>
      </c>
      <c r="F421" t="inlineStr">
        <is>
          <t>Perdido</t>
        </is>
      </c>
      <c r="G421" t="n">
        <v>610000000</v>
      </c>
      <c r="H421" t="n">
        <v>0</v>
      </c>
      <c r="I421" s="28" t="n">
        <v>45634</v>
      </c>
      <c r="J421" s="28" t="n">
        <v>45753</v>
      </c>
      <c r="K421" t="n">
        <v>119</v>
      </c>
      <c r="L421" t="inlineStr">
        <is>
          <t>Precio fuera de presupuesto</t>
        </is>
      </c>
    </row>
    <row r="422" ht="15.75" customHeight="1" s="25">
      <c r="A422" t="inlineStr">
        <is>
          <t>NEG-0420</t>
        </is>
      </c>
      <c r="B422" t="inlineStr">
        <is>
          <t>Óscar Zuluaga Valencia</t>
        </is>
      </c>
      <c r="C422" t="inlineStr">
        <is>
          <t>PRY-007</t>
        </is>
      </c>
      <c r="D422" t="inlineStr">
        <is>
          <t>Apto 1602</t>
        </is>
      </c>
      <c r="E422" t="inlineStr">
        <is>
          <t>Miguel Salazar</t>
        </is>
      </c>
      <c r="F422" t="inlineStr">
        <is>
          <t>Ganado</t>
        </is>
      </c>
      <c r="G422" t="n">
        <v>779000000</v>
      </c>
      <c r="H422" t="n">
        <v>1</v>
      </c>
      <c r="I422" s="28" t="n">
        <v>45635</v>
      </c>
      <c r="J422" s="28" t="n">
        <v>45732</v>
      </c>
      <c r="K422" t="n">
        <v>97</v>
      </c>
      <c r="L422" t="inlineStr">
        <is>
          <t>Promesa de compraventa firmada</t>
        </is>
      </c>
    </row>
    <row r="423" ht="15.75" customHeight="1" s="25">
      <c r="A423" t="inlineStr">
        <is>
          <t>NEG-0421</t>
        </is>
      </c>
      <c r="B423" t="inlineStr">
        <is>
          <t>Valentina Palacio Salcedo</t>
        </is>
      </c>
      <c r="C423" t="inlineStr">
        <is>
          <t>PRY-005</t>
        </is>
      </c>
      <c r="D423" t="inlineStr">
        <is>
          <t>Apto 204</t>
        </is>
      </c>
      <c r="E423" t="inlineStr">
        <is>
          <t>Miguel Salazar</t>
        </is>
      </c>
      <c r="F423" t="inlineStr">
        <is>
          <t>Ganado</t>
        </is>
      </c>
      <c r="G423" t="n">
        <v>436000000</v>
      </c>
      <c r="H423" t="n">
        <v>1</v>
      </c>
      <c r="I423" s="28" t="n">
        <v>45636</v>
      </c>
      <c r="J423" s="28" t="n">
        <v>45724</v>
      </c>
      <c r="K423" t="n">
        <v>88</v>
      </c>
      <c r="L423" t="inlineStr">
        <is>
          <t>Promesa de compraventa firmada</t>
        </is>
      </c>
    </row>
    <row r="424" ht="15.75" customHeight="1" s="25">
      <c r="A424" t="inlineStr">
        <is>
          <t>NEG-0422</t>
        </is>
      </c>
      <c r="B424" t="inlineStr">
        <is>
          <t>Liliana Muñoz López</t>
        </is>
      </c>
      <c r="C424" t="inlineStr">
        <is>
          <t>PRY-003</t>
        </is>
      </c>
      <c r="D424" t="inlineStr">
        <is>
          <t>Apto 1108</t>
        </is>
      </c>
      <c r="E424" t="inlineStr">
        <is>
          <t>Ana Quintero</t>
        </is>
      </c>
      <c r="F424" t="inlineStr">
        <is>
          <t>Ganado</t>
        </is>
      </c>
      <c r="G424" t="n">
        <v>394000000</v>
      </c>
      <c r="H424" t="n">
        <v>1</v>
      </c>
      <c r="I424" s="28" t="n">
        <v>45639</v>
      </c>
      <c r="J424" s="28" t="n">
        <v>45671</v>
      </c>
      <c r="K424" t="n">
        <v>32</v>
      </c>
      <c r="L424" t="inlineStr">
        <is>
          <t>Promesa de compraventa firmada</t>
        </is>
      </c>
    </row>
    <row r="425" ht="15.75" customHeight="1" s="25">
      <c r="A425" t="inlineStr">
        <is>
          <t>NEG-0423</t>
        </is>
      </c>
      <c r="B425" t="inlineStr">
        <is>
          <t>Jorge Cifuentes Giraldo</t>
        </is>
      </c>
      <c r="C425" t="inlineStr">
        <is>
          <t>PRY-003</t>
        </is>
      </c>
      <c r="D425" t="inlineStr">
        <is>
          <t>Apto 1801</t>
        </is>
      </c>
      <c r="E425" t="inlineStr">
        <is>
          <t>Paula Arenas</t>
        </is>
      </c>
      <c r="F425" t="inlineStr">
        <is>
          <t>Perdido</t>
        </is>
      </c>
      <c r="G425" t="n">
        <v>372000000</v>
      </c>
      <c r="H425" t="n">
        <v>0</v>
      </c>
      <c r="I425" s="28" t="n">
        <v>45639</v>
      </c>
      <c r="J425" s="28" t="n">
        <v>45725</v>
      </c>
      <c r="K425" t="n">
        <v>86</v>
      </c>
      <c r="L425" t="inlineStr">
        <is>
          <t>Precio fuera de presupuesto</t>
        </is>
      </c>
    </row>
    <row r="426" ht="15.75" customHeight="1" s="25">
      <c r="A426" t="inlineStr">
        <is>
          <t>NEG-0424</t>
        </is>
      </c>
      <c r="B426" t="inlineStr">
        <is>
          <t>Alejandro Mejía Betancur</t>
        </is>
      </c>
      <c r="C426" t="inlineStr">
        <is>
          <t>PRY-004</t>
        </is>
      </c>
      <c r="D426" t="inlineStr">
        <is>
          <t>Casa 52</t>
        </is>
      </c>
      <c r="E426" t="inlineStr">
        <is>
          <t>Sofía Prada</t>
        </is>
      </c>
      <c r="F426" t="inlineStr">
        <is>
          <t>Ganado</t>
        </is>
      </c>
      <c r="G426" t="n">
        <v>456000000</v>
      </c>
      <c r="H426" t="n">
        <v>1</v>
      </c>
      <c r="I426" s="28" t="n">
        <v>45639</v>
      </c>
      <c r="J426" s="28" t="n">
        <v>45735</v>
      </c>
      <c r="K426" t="n">
        <v>96</v>
      </c>
      <c r="L426" t="inlineStr">
        <is>
          <t>Promesa de compraventa firmada</t>
        </is>
      </c>
    </row>
    <row r="427" ht="15.75" customHeight="1" s="25">
      <c r="A427" t="inlineStr">
        <is>
          <t>NEG-0425</t>
        </is>
      </c>
      <c r="B427" t="inlineStr">
        <is>
          <t>Cristian Cano Uribe</t>
        </is>
      </c>
      <c r="C427" t="inlineStr">
        <is>
          <t>PRY-008</t>
        </is>
      </c>
      <c r="D427" t="inlineStr">
        <is>
          <t>Casa 18</t>
        </is>
      </c>
      <c r="E427" t="inlineStr">
        <is>
          <t>Luis Bedoya</t>
        </is>
      </c>
      <c r="F427" t="inlineStr">
        <is>
          <t>Perdido</t>
        </is>
      </c>
      <c r="G427" t="n">
        <v>143000000</v>
      </c>
      <c r="H427" t="n">
        <v>0</v>
      </c>
      <c r="I427" s="28" t="n">
        <v>45639</v>
      </c>
      <c r="J427" s="28" t="n">
        <v>45679</v>
      </c>
      <c r="K427" t="n">
        <v>40</v>
      </c>
      <c r="L427" t="inlineStr">
        <is>
          <t>Desistió de la compra</t>
        </is>
      </c>
    </row>
    <row r="428" ht="15.75" customHeight="1" s="25">
      <c r="A428" t="inlineStr">
        <is>
          <t>NEG-0426</t>
        </is>
      </c>
      <c r="B428" t="inlineStr">
        <is>
          <t>Valeria Toro Restrepo</t>
        </is>
      </c>
      <c r="C428" t="inlineStr">
        <is>
          <t>PRY-001</t>
        </is>
      </c>
      <c r="D428" t="inlineStr">
        <is>
          <t>Apto 601</t>
        </is>
      </c>
      <c r="E428" t="inlineStr">
        <is>
          <t>Paula Arenas</t>
        </is>
      </c>
      <c r="F428" t="inlineStr">
        <is>
          <t>Perdido</t>
        </is>
      </c>
      <c r="G428" t="n">
        <v>804000000</v>
      </c>
      <c r="H428" t="n">
        <v>0</v>
      </c>
      <c r="I428" s="28" t="n">
        <v>45643</v>
      </c>
      <c r="J428" s="28" t="n">
        <v>45721</v>
      </c>
      <c r="K428" t="n">
        <v>78</v>
      </c>
      <c r="L428" t="inlineStr">
        <is>
          <t>Eligió otro proyecto</t>
        </is>
      </c>
    </row>
    <row r="429" ht="15.75" customHeight="1" s="25">
      <c r="A429" t="inlineStr">
        <is>
          <t>NEG-0427</t>
        </is>
      </c>
      <c r="B429" t="inlineStr">
        <is>
          <t>Patricia Ochoa Echeverri</t>
        </is>
      </c>
      <c r="C429" t="inlineStr">
        <is>
          <t>PRY-004</t>
        </is>
      </c>
      <c r="D429" t="inlineStr">
        <is>
          <t>Casa 11</t>
        </is>
      </c>
      <c r="E429" t="inlineStr">
        <is>
          <t>Sofía Prada</t>
        </is>
      </c>
      <c r="F429" t="inlineStr">
        <is>
          <t>Ganado</t>
        </is>
      </c>
      <c r="G429" t="n">
        <v>515000000</v>
      </c>
      <c r="H429" t="n">
        <v>1</v>
      </c>
      <c r="I429" s="28" t="n">
        <v>45643</v>
      </c>
      <c r="J429" s="28" t="n">
        <v>45692</v>
      </c>
      <c r="K429" t="n">
        <v>49</v>
      </c>
      <c r="L429" t="inlineStr">
        <is>
          <t>Promesa de compraventa firmada</t>
        </is>
      </c>
    </row>
    <row r="430" ht="15.75" customHeight="1" s="25">
      <c r="A430" t="inlineStr">
        <is>
          <t>NEG-0428</t>
        </is>
      </c>
      <c r="B430" t="inlineStr">
        <is>
          <t>Patricia Cano Zapata</t>
        </is>
      </c>
      <c r="C430" t="inlineStr">
        <is>
          <t>PRY-001</t>
        </is>
      </c>
      <c r="D430" t="inlineStr">
        <is>
          <t>Apto 301</t>
        </is>
      </c>
      <c r="E430" t="inlineStr">
        <is>
          <t>Ana Quintero</t>
        </is>
      </c>
      <c r="F430" t="inlineStr">
        <is>
          <t>Perdido</t>
        </is>
      </c>
      <c r="G430" t="n">
        <v>714000000</v>
      </c>
      <c r="H430" t="n">
        <v>0</v>
      </c>
      <c r="I430" s="28" t="n">
        <v>45644</v>
      </c>
      <c r="J430" s="28" t="n">
        <v>45703</v>
      </c>
      <c r="K430" t="n">
        <v>59</v>
      </c>
      <c r="L430" t="inlineStr">
        <is>
          <t>Precio fuera de presupuesto</t>
        </is>
      </c>
    </row>
    <row r="431" ht="15.75" customHeight="1" s="25">
      <c r="A431" t="inlineStr">
        <is>
          <t>NEG-0429</t>
        </is>
      </c>
      <c r="B431" t="inlineStr">
        <is>
          <t>Carlos Mejía Vargas</t>
        </is>
      </c>
      <c r="C431" t="inlineStr">
        <is>
          <t>PRY-003</t>
        </is>
      </c>
      <c r="D431" t="inlineStr">
        <is>
          <t>Apto 1704</t>
        </is>
      </c>
      <c r="E431" t="inlineStr">
        <is>
          <t>Miguel Salazar</t>
        </is>
      </c>
      <c r="F431" t="inlineStr">
        <is>
          <t>Ganado</t>
        </is>
      </c>
      <c r="G431" t="n">
        <v>406000000</v>
      </c>
      <c r="H431" t="n">
        <v>1</v>
      </c>
      <c r="I431" s="28" t="n">
        <v>45644</v>
      </c>
      <c r="J431" s="28" t="n">
        <v>45734</v>
      </c>
      <c r="K431" t="n">
        <v>90</v>
      </c>
      <c r="L431" t="inlineStr">
        <is>
          <t>Promesa de compraventa firmada</t>
        </is>
      </c>
    </row>
    <row r="432" ht="15.75" customHeight="1" s="25">
      <c r="A432" t="inlineStr">
        <is>
          <t>NEG-0430</t>
        </is>
      </c>
      <c r="B432" t="inlineStr">
        <is>
          <t>Patricia Vargas Higuita</t>
        </is>
      </c>
      <c r="C432" t="inlineStr">
        <is>
          <t>PRY-003</t>
        </is>
      </c>
      <c r="D432" t="inlineStr">
        <is>
          <t>Apto 1704</t>
        </is>
      </c>
      <c r="E432" t="inlineStr">
        <is>
          <t>Santiago Muñoz</t>
        </is>
      </c>
      <c r="F432" t="inlineStr">
        <is>
          <t>Perdido</t>
        </is>
      </c>
      <c r="G432" t="n">
        <v>397000000</v>
      </c>
      <c r="H432" t="n">
        <v>0</v>
      </c>
      <c r="I432" s="28" t="n">
        <v>45645</v>
      </c>
      <c r="J432" s="28" t="n">
        <v>45677</v>
      </c>
      <c r="K432" t="n">
        <v>32</v>
      </c>
      <c r="L432" t="inlineStr">
        <is>
          <t>Precio fuera de presupuesto</t>
        </is>
      </c>
    </row>
    <row r="433" ht="15.75" customHeight="1" s="25">
      <c r="A433" t="inlineStr">
        <is>
          <t>NEG-0431</t>
        </is>
      </c>
      <c r="B433" t="inlineStr">
        <is>
          <t>Sara Salazar Álvarez</t>
        </is>
      </c>
      <c r="C433" t="inlineStr">
        <is>
          <t>PRY-004</t>
        </is>
      </c>
      <c r="D433" t="inlineStr">
        <is>
          <t>Casa 13</t>
        </is>
      </c>
      <c r="E433" t="inlineStr">
        <is>
          <t>Luis Bedoya</t>
        </is>
      </c>
      <c r="F433" t="inlineStr">
        <is>
          <t>Ganado</t>
        </is>
      </c>
      <c r="G433" t="n">
        <v>486000000</v>
      </c>
      <c r="H433" t="n">
        <v>1</v>
      </c>
      <c r="I433" s="28" t="n">
        <v>45645</v>
      </c>
      <c r="J433" s="28" t="n">
        <v>45751</v>
      </c>
      <c r="K433" t="n">
        <v>106</v>
      </c>
      <c r="L433" t="inlineStr">
        <is>
          <t>Promesa de compraventa firmada</t>
        </is>
      </c>
    </row>
    <row r="434" ht="15.75" customHeight="1" s="25">
      <c r="A434" t="inlineStr">
        <is>
          <t>NEG-0432</t>
        </is>
      </c>
      <c r="B434" t="inlineStr">
        <is>
          <t>Patricia Betancur Jaramillo</t>
        </is>
      </c>
      <c r="C434" t="inlineStr">
        <is>
          <t>PRY-003</t>
        </is>
      </c>
      <c r="D434" t="inlineStr">
        <is>
          <t>Apto 306</t>
        </is>
      </c>
      <c r="E434" t="inlineStr">
        <is>
          <t>Santiago Muñoz</t>
        </is>
      </c>
      <c r="F434" t="inlineStr">
        <is>
          <t>Ganado</t>
        </is>
      </c>
      <c r="G434" t="n">
        <v>290000000</v>
      </c>
      <c r="H434" t="n">
        <v>1</v>
      </c>
      <c r="I434" s="28" t="n">
        <v>45646</v>
      </c>
      <c r="J434" s="28" t="n">
        <v>45730</v>
      </c>
      <c r="K434" t="n">
        <v>84</v>
      </c>
      <c r="L434" t="inlineStr">
        <is>
          <t>Promesa de compraventa firmada</t>
        </is>
      </c>
    </row>
    <row r="435" ht="15.75" customHeight="1" s="25">
      <c r="A435" t="inlineStr">
        <is>
          <t>NEG-0433</t>
        </is>
      </c>
      <c r="B435" t="inlineStr">
        <is>
          <t>Alejandra Restrepo Osorio</t>
        </is>
      </c>
      <c r="C435" t="inlineStr">
        <is>
          <t>PRY-005</t>
        </is>
      </c>
      <c r="D435" t="inlineStr">
        <is>
          <t>Casa 34</t>
        </is>
      </c>
      <c r="E435" t="inlineStr">
        <is>
          <t>Luis Bedoya</t>
        </is>
      </c>
      <c r="F435" t="inlineStr">
        <is>
          <t>Perdido</t>
        </is>
      </c>
      <c r="G435" t="n">
        <v>426000000</v>
      </c>
      <c r="H435" t="n">
        <v>0</v>
      </c>
      <c r="I435" s="28" t="n">
        <v>45646</v>
      </c>
      <c r="J435" s="28" t="n">
        <v>45681</v>
      </c>
      <c r="K435" t="n">
        <v>35</v>
      </c>
      <c r="L435" t="inlineStr">
        <is>
          <t>No volvió a responder</t>
        </is>
      </c>
    </row>
    <row r="436" ht="15.75" customHeight="1" s="25">
      <c r="A436" t="inlineStr">
        <is>
          <t>NEG-0434</t>
        </is>
      </c>
      <c r="B436" t="inlineStr">
        <is>
          <t>Ximena Uribe Osorio</t>
        </is>
      </c>
      <c r="C436" t="inlineStr">
        <is>
          <t>PRY-007</t>
        </is>
      </c>
      <c r="D436" t="inlineStr">
        <is>
          <t>Apto 1103</t>
        </is>
      </c>
      <c r="E436" t="inlineStr">
        <is>
          <t>Ana Quintero</t>
        </is>
      </c>
      <c r="F436" t="inlineStr">
        <is>
          <t>Ganado</t>
        </is>
      </c>
      <c r="G436" t="n">
        <v>695000000</v>
      </c>
      <c r="H436" t="n">
        <v>1</v>
      </c>
      <c r="I436" s="28" t="n">
        <v>45646</v>
      </c>
      <c r="J436" s="28" t="n">
        <v>45698</v>
      </c>
      <c r="K436" t="n">
        <v>52</v>
      </c>
      <c r="L436" t="inlineStr">
        <is>
          <t>Promesa de compraventa firmada</t>
        </is>
      </c>
    </row>
    <row r="437" ht="15.75" customHeight="1" s="25">
      <c r="A437" t="inlineStr">
        <is>
          <t>NEG-0435</t>
        </is>
      </c>
      <c r="B437" t="inlineStr">
        <is>
          <t>Ricardo Vásquez Giraldo</t>
        </is>
      </c>
      <c r="C437" t="inlineStr">
        <is>
          <t>PRY-007</t>
        </is>
      </c>
      <c r="D437" t="inlineStr">
        <is>
          <t>Apto 1006</t>
        </is>
      </c>
      <c r="E437" t="inlineStr">
        <is>
          <t>Paula Arenas</t>
        </is>
      </c>
      <c r="F437" t="inlineStr">
        <is>
          <t>Ganado</t>
        </is>
      </c>
      <c r="G437" t="n">
        <v>765000000</v>
      </c>
      <c r="H437" t="n">
        <v>1</v>
      </c>
      <c r="I437" s="28" t="n">
        <v>45648</v>
      </c>
      <c r="J437" s="28" t="n">
        <v>45694</v>
      </c>
      <c r="K437" t="n">
        <v>46</v>
      </c>
      <c r="L437" t="inlineStr">
        <is>
          <t>Promesa de compraventa firmada</t>
        </is>
      </c>
    </row>
    <row r="438" ht="15.75" customHeight="1" s="25">
      <c r="A438" t="inlineStr">
        <is>
          <t>NEG-0436</t>
        </is>
      </c>
      <c r="B438" t="inlineStr">
        <is>
          <t>Paula Echeverri Vélez</t>
        </is>
      </c>
      <c r="C438" t="inlineStr">
        <is>
          <t>PRY-008</t>
        </is>
      </c>
      <c r="D438" t="inlineStr">
        <is>
          <t>Casa 74</t>
        </is>
      </c>
      <c r="E438" t="inlineStr">
        <is>
          <t>Paula Arenas</t>
        </is>
      </c>
      <c r="F438" t="inlineStr">
        <is>
          <t>Ganado</t>
        </is>
      </c>
      <c r="G438" t="n">
        <v>147000000</v>
      </c>
      <c r="H438" t="n">
        <v>1</v>
      </c>
      <c r="I438" s="28" t="n">
        <v>45651</v>
      </c>
      <c r="J438" s="28" t="n">
        <v>45686</v>
      </c>
      <c r="K438" t="n">
        <v>35</v>
      </c>
      <c r="L438" t="inlineStr">
        <is>
          <t>Promesa de compraventa firmada</t>
        </is>
      </c>
    </row>
    <row r="439" ht="15.75" customHeight="1" s="25">
      <c r="A439" t="inlineStr">
        <is>
          <t>NEG-0437</t>
        </is>
      </c>
      <c r="B439" t="inlineStr">
        <is>
          <t>Juan Pablo Jaramillo Escobar</t>
        </is>
      </c>
      <c r="C439" t="inlineStr">
        <is>
          <t>PRY-008</t>
        </is>
      </c>
      <c r="D439" t="inlineStr">
        <is>
          <t>Casa 102</t>
        </is>
      </c>
      <c r="E439" t="inlineStr">
        <is>
          <t>Santiago Muñoz</t>
        </is>
      </c>
      <c r="F439" t="inlineStr">
        <is>
          <t>Ganado</t>
        </is>
      </c>
      <c r="G439" t="n">
        <v>147000000</v>
      </c>
      <c r="H439" t="n">
        <v>1</v>
      </c>
      <c r="I439" s="28" t="n">
        <v>45651</v>
      </c>
      <c r="J439" s="28" t="n">
        <v>45698</v>
      </c>
      <c r="K439" t="n">
        <v>47</v>
      </c>
      <c r="L439" t="inlineStr">
        <is>
          <t>Promesa de compraventa firmada</t>
        </is>
      </c>
    </row>
    <row r="440" ht="15.75" customHeight="1" s="25">
      <c r="A440" t="inlineStr">
        <is>
          <t>NEG-0438</t>
        </is>
      </c>
      <c r="B440" t="inlineStr">
        <is>
          <t>Gabriel Osorio Londoño</t>
        </is>
      </c>
      <c r="C440" t="inlineStr">
        <is>
          <t>PRY-001</t>
        </is>
      </c>
      <c r="D440" t="inlineStr">
        <is>
          <t>Apto 1903</t>
        </is>
      </c>
      <c r="E440" t="inlineStr">
        <is>
          <t>Miguel Salazar</t>
        </is>
      </c>
      <c r="F440" t="inlineStr">
        <is>
          <t>Perdido</t>
        </is>
      </c>
      <c r="G440" t="n">
        <v>660000000</v>
      </c>
      <c r="H440" t="n">
        <v>0</v>
      </c>
      <c r="I440" s="28" t="n">
        <v>45653</v>
      </c>
      <c r="J440" s="28" t="n">
        <v>45736</v>
      </c>
      <c r="K440" t="n">
        <v>83</v>
      </c>
      <c r="L440" t="inlineStr">
        <is>
          <t>Eligió otro proyecto</t>
        </is>
      </c>
    </row>
    <row r="441" ht="15.75" customHeight="1" s="25">
      <c r="A441" t="inlineStr">
        <is>
          <t>NEG-0439</t>
        </is>
      </c>
      <c r="B441" t="inlineStr">
        <is>
          <t>Wilson Zuluaga Rojas</t>
        </is>
      </c>
      <c r="C441" t="inlineStr">
        <is>
          <t>PRY-003</t>
        </is>
      </c>
      <c r="D441" t="inlineStr">
        <is>
          <t>Apto 1308</t>
        </is>
      </c>
      <c r="E441" t="inlineStr">
        <is>
          <t>Paula Arenas</t>
        </is>
      </c>
      <c r="F441" t="inlineStr">
        <is>
          <t>Ganado</t>
        </is>
      </c>
      <c r="G441" t="n">
        <v>293000000</v>
      </c>
      <c r="H441" t="n">
        <v>1</v>
      </c>
      <c r="I441" s="28" t="n">
        <v>45653</v>
      </c>
      <c r="J441" s="28" t="n">
        <v>45721</v>
      </c>
      <c r="K441" t="n">
        <v>68</v>
      </c>
      <c r="L441" t="inlineStr">
        <is>
          <t>Promesa de compraventa firmada</t>
        </is>
      </c>
    </row>
    <row r="442" ht="15.75" customHeight="1" s="25">
      <c r="A442" t="inlineStr">
        <is>
          <t>NEG-0440</t>
        </is>
      </c>
      <c r="B442" t="inlineStr">
        <is>
          <t>Simón Cardona Mejía</t>
        </is>
      </c>
      <c r="C442" t="inlineStr">
        <is>
          <t>PRY-004</t>
        </is>
      </c>
      <c r="D442" t="inlineStr">
        <is>
          <t>Casa 44</t>
        </is>
      </c>
      <c r="E442" t="inlineStr">
        <is>
          <t>Luis Bedoya</t>
        </is>
      </c>
      <c r="F442" t="inlineStr">
        <is>
          <t>Perdido</t>
        </is>
      </c>
      <c r="G442" t="n">
        <v>560000000</v>
      </c>
      <c r="H442" t="n">
        <v>0</v>
      </c>
      <c r="I442" s="28" t="n">
        <v>45654</v>
      </c>
      <c r="J442" s="28" t="n">
        <v>45727</v>
      </c>
      <c r="K442" t="n">
        <v>73</v>
      </c>
      <c r="L442" t="inlineStr">
        <is>
          <t>Precio fuera de presupuesto</t>
        </is>
      </c>
    </row>
    <row r="443" ht="15.75" customHeight="1" s="25">
      <c r="A443" t="inlineStr">
        <is>
          <t>NEG-0441</t>
        </is>
      </c>
      <c r="B443" t="inlineStr">
        <is>
          <t>Alejandra Higuita Marín</t>
        </is>
      </c>
      <c r="C443" t="inlineStr">
        <is>
          <t>PRY-003</t>
        </is>
      </c>
      <c r="D443" t="inlineStr">
        <is>
          <t>Apto 1401</t>
        </is>
      </c>
      <c r="E443" t="inlineStr">
        <is>
          <t>Andrés Torres</t>
        </is>
      </c>
      <c r="F443" t="inlineStr">
        <is>
          <t>Ganado</t>
        </is>
      </c>
      <c r="G443" t="n">
        <v>397000000</v>
      </c>
      <c r="H443" t="n">
        <v>1</v>
      </c>
      <c r="I443" s="28" t="n">
        <v>45655</v>
      </c>
      <c r="J443" s="28" t="n">
        <v>45695</v>
      </c>
      <c r="K443" t="n">
        <v>40</v>
      </c>
      <c r="L443" t="inlineStr">
        <is>
          <t>Promesa de compraventa firmada</t>
        </is>
      </c>
    </row>
    <row r="444" ht="15.75" customHeight="1" s="25">
      <c r="A444" t="inlineStr">
        <is>
          <t>NEG-0442</t>
        </is>
      </c>
      <c r="B444" t="inlineStr">
        <is>
          <t>Daniela Valencia Zapata</t>
        </is>
      </c>
      <c r="C444" t="inlineStr">
        <is>
          <t>PRY-005</t>
        </is>
      </c>
      <c r="D444" t="inlineStr">
        <is>
          <t>Apto 702</t>
        </is>
      </c>
      <c r="E444" t="inlineStr">
        <is>
          <t>Ana Quintero</t>
        </is>
      </c>
      <c r="F444" t="inlineStr">
        <is>
          <t>Ganado</t>
        </is>
      </c>
      <c r="G444" t="n">
        <v>422000000</v>
      </c>
      <c r="H444" t="n">
        <v>1</v>
      </c>
      <c r="I444" s="28" t="n">
        <v>45655</v>
      </c>
      <c r="J444" s="28" t="n">
        <v>45732</v>
      </c>
      <c r="K444" t="n">
        <v>77</v>
      </c>
      <c r="L444" t="inlineStr">
        <is>
          <t>Promesa de compraventa firmada</t>
        </is>
      </c>
    </row>
    <row r="445" ht="15.75" customHeight="1" s="25">
      <c r="A445" t="inlineStr">
        <is>
          <t>NEG-0443</t>
        </is>
      </c>
      <c r="B445" t="inlineStr">
        <is>
          <t>Daniel Gómez Zuluaga</t>
        </is>
      </c>
      <c r="C445" t="inlineStr">
        <is>
          <t>PRY-003</t>
        </is>
      </c>
      <c r="D445" t="inlineStr">
        <is>
          <t>Apto 1906</t>
        </is>
      </c>
      <c r="E445" t="inlineStr">
        <is>
          <t>Luis Bedoya</t>
        </is>
      </c>
      <c r="F445" t="inlineStr">
        <is>
          <t>Perdido</t>
        </is>
      </c>
      <c r="G445" t="n">
        <v>423000000</v>
      </c>
      <c r="H445" t="n">
        <v>0</v>
      </c>
      <c r="I445" s="28" t="n">
        <v>45656</v>
      </c>
      <c r="J445" s="28" t="n">
        <v>45727</v>
      </c>
      <c r="K445" t="n">
        <v>71</v>
      </c>
      <c r="L445" t="inlineStr">
        <is>
          <t>Precio fuera de presupuesto</t>
        </is>
      </c>
    </row>
    <row r="446" ht="15.75" customHeight="1" s="25">
      <c r="A446" t="inlineStr">
        <is>
          <t>NEG-0444</t>
        </is>
      </c>
      <c r="B446" t="inlineStr">
        <is>
          <t>Ximena Gómez Correa</t>
        </is>
      </c>
      <c r="C446" t="inlineStr">
        <is>
          <t>PRY-004</t>
        </is>
      </c>
      <c r="D446" t="inlineStr">
        <is>
          <t>Casa 53</t>
        </is>
      </c>
      <c r="E446" t="inlineStr">
        <is>
          <t>Sofía Prada</t>
        </is>
      </c>
      <c r="F446" t="inlineStr">
        <is>
          <t>Perdido</t>
        </is>
      </c>
      <c r="G446" t="n">
        <v>498000000</v>
      </c>
      <c r="H446" t="n">
        <v>0</v>
      </c>
      <c r="I446" s="28" t="n">
        <v>45657</v>
      </c>
      <c r="J446" s="28" t="n">
        <v>45703</v>
      </c>
      <c r="K446" t="n">
        <v>46</v>
      </c>
      <c r="L446" t="inlineStr">
        <is>
          <t>Desistió de la compra</t>
        </is>
      </c>
    </row>
    <row r="447" ht="15.75" customHeight="1" s="25">
      <c r="A447" t="inlineStr">
        <is>
          <t>NEG-0445</t>
        </is>
      </c>
      <c r="B447" t="inlineStr">
        <is>
          <t>Catalina Cano Pérez</t>
        </is>
      </c>
      <c r="C447" t="inlineStr">
        <is>
          <t>PRY-007</t>
        </is>
      </c>
      <c r="D447" t="inlineStr">
        <is>
          <t>Apto 1306</t>
        </is>
      </c>
      <c r="E447" t="inlineStr">
        <is>
          <t>Ana Quintero</t>
        </is>
      </c>
      <c r="F447" t="inlineStr">
        <is>
          <t>Perdido</t>
        </is>
      </c>
      <c r="G447" t="n">
        <v>684000000</v>
      </c>
      <c r="H447" t="n">
        <v>0</v>
      </c>
      <c r="I447" s="28" t="n">
        <v>45657</v>
      </c>
      <c r="J447" s="28" t="n">
        <v>45707</v>
      </c>
      <c r="K447" t="n">
        <v>50</v>
      </c>
      <c r="L447" t="inlineStr">
        <is>
          <t>Crédito no aprobado</t>
        </is>
      </c>
    </row>
    <row r="448" ht="15.75" customHeight="1" s="25">
      <c r="A448" t="inlineStr">
        <is>
          <t>NEG-0446</t>
        </is>
      </c>
      <c r="B448" t="inlineStr">
        <is>
          <t>Simón Hernández Correa</t>
        </is>
      </c>
      <c r="C448" t="inlineStr">
        <is>
          <t>PRY-004</t>
        </is>
      </c>
      <c r="D448" t="inlineStr">
        <is>
          <t>Casa 70</t>
        </is>
      </c>
      <c r="E448" t="inlineStr">
        <is>
          <t>Paula Arenas</t>
        </is>
      </c>
      <c r="F448" t="inlineStr">
        <is>
          <t>Perdido</t>
        </is>
      </c>
      <c r="G448" t="n">
        <v>480000000</v>
      </c>
      <c r="H448" t="n">
        <v>0</v>
      </c>
      <c r="I448" s="28" t="n">
        <v>45658</v>
      </c>
      <c r="J448" s="28" t="n">
        <v>45733</v>
      </c>
      <c r="K448" t="n">
        <v>75</v>
      </c>
      <c r="L448" t="inlineStr">
        <is>
          <t>Crédito no aprobado</t>
        </is>
      </c>
    </row>
    <row r="449" ht="15.75" customHeight="1" s="25">
      <c r="A449" t="inlineStr">
        <is>
          <t>NEG-0447</t>
        </is>
      </c>
      <c r="B449" t="inlineStr">
        <is>
          <t>Marcela Correa Henao</t>
        </is>
      </c>
      <c r="C449" t="inlineStr">
        <is>
          <t>PRY-005</t>
        </is>
      </c>
      <c r="D449" t="inlineStr">
        <is>
          <t>Casa 50</t>
        </is>
      </c>
      <c r="E449" t="inlineStr">
        <is>
          <t>Ana Quintero</t>
        </is>
      </c>
      <c r="F449" t="inlineStr">
        <is>
          <t>Ganado</t>
        </is>
      </c>
      <c r="G449" t="n">
        <v>408000000</v>
      </c>
      <c r="H449" t="n">
        <v>1</v>
      </c>
      <c r="I449" s="28" t="n">
        <v>45658</v>
      </c>
      <c r="J449" s="28" t="n">
        <v>45776</v>
      </c>
      <c r="K449" t="n">
        <v>118</v>
      </c>
      <c r="L449" t="inlineStr">
        <is>
          <t>Promesa de compraventa firmada</t>
        </is>
      </c>
    </row>
    <row r="450" ht="15.75" customHeight="1" s="25">
      <c r="A450" t="inlineStr">
        <is>
          <t>NEG-0448</t>
        </is>
      </c>
      <c r="B450" t="inlineStr">
        <is>
          <t>Paola Rojas Salcedo</t>
        </is>
      </c>
      <c r="C450" t="inlineStr">
        <is>
          <t>PRY-001</t>
        </is>
      </c>
      <c r="D450" t="inlineStr">
        <is>
          <t>Apto 904</t>
        </is>
      </c>
      <c r="E450" t="inlineStr">
        <is>
          <t>Andrés Torres</t>
        </is>
      </c>
      <c r="F450" t="inlineStr">
        <is>
          <t>Ganado</t>
        </is>
      </c>
      <c r="G450" t="n">
        <v>800000000</v>
      </c>
      <c r="H450" t="n">
        <v>1</v>
      </c>
      <c r="I450" s="28" t="n">
        <v>45659</v>
      </c>
      <c r="J450" s="28" t="n">
        <v>45723</v>
      </c>
      <c r="K450" t="n">
        <v>64</v>
      </c>
      <c r="L450" t="inlineStr">
        <is>
          <t>Promesa de compraventa firmada</t>
        </is>
      </c>
    </row>
    <row r="451" ht="15.75" customHeight="1" s="25">
      <c r="A451" t="inlineStr">
        <is>
          <t>NEG-0449</t>
        </is>
      </c>
      <c r="B451" t="inlineStr">
        <is>
          <t>Gabriel Cardona Hernández</t>
        </is>
      </c>
      <c r="C451" t="inlineStr">
        <is>
          <t>PRY-003</t>
        </is>
      </c>
      <c r="D451" t="inlineStr">
        <is>
          <t>Apto 2402</t>
        </is>
      </c>
      <c r="E451" t="inlineStr">
        <is>
          <t>Juliana Vélez</t>
        </is>
      </c>
      <c r="F451" t="inlineStr">
        <is>
          <t>Ganado</t>
        </is>
      </c>
      <c r="G451" t="n">
        <v>429000000</v>
      </c>
      <c r="H451" t="n">
        <v>1</v>
      </c>
      <c r="I451" s="28" t="n">
        <v>45659</v>
      </c>
      <c r="J451" s="28" t="n">
        <v>45718</v>
      </c>
      <c r="K451" t="n">
        <v>59</v>
      </c>
      <c r="L451" t="inlineStr">
        <is>
          <t>Promesa de compraventa firmada</t>
        </is>
      </c>
    </row>
    <row r="452" ht="15.75" customHeight="1" s="25">
      <c r="A452" t="inlineStr">
        <is>
          <t>NEG-0450</t>
        </is>
      </c>
      <c r="B452" t="inlineStr">
        <is>
          <t>Daniel Arango Peláez</t>
        </is>
      </c>
      <c r="C452" t="inlineStr">
        <is>
          <t>PRY-003</t>
        </is>
      </c>
      <c r="D452" t="inlineStr">
        <is>
          <t>Apto 807</t>
        </is>
      </c>
      <c r="E452" t="inlineStr">
        <is>
          <t>Miguel Salazar</t>
        </is>
      </c>
      <c r="F452" t="inlineStr">
        <is>
          <t>Ganado</t>
        </is>
      </c>
      <c r="G452" t="n">
        <v>386000000</v>
      </c>
      <c r="H452" t="n">
        <v>1</v>
      </c>
      <c r="I452" s="28" t="n">
        <v>45659</v>
      </c>
      <c r="J452" s="28" t="n">
        <v>45730</v>
      </c>
      <c r="K452" t="n">
        <v>71</v>
      </c>
      <c r="L452" t="inlineStr">
        <is>
          <t>Promesa de compraventa firmada</t>
        </is>
      </c>
    </row>
    <row r="453" ht="15.75" customHeight="1" s="25">
      <c r="A453" t="inlineStr">
        <is>
          <t>NEG-0451</t>
        </is>
      </c>
      <c r="B453" t="inlineStr">
        <is>
          <t>Lorena Montes Ramírez</t>
        </is>
      </c>
      <c r="C453" t="inlineStr">
        <is>
          <t>PRY-008</t>
        </is>
      </c>
      <c r="D453" t="inlineStr">
        <is>
          <t>Casa 1</t>
        </is>
      </c>
      <c r="E453" t="inlineStr">
        <is>
          <t>Ana Quintero</t>
        </is>
      </c>
      <c r="F453" t="inlineStr">
        <is>
          <t>Perdido</t>
        </is>
      </c>
      <c r="G453" t="n">
        <v>141000000</v>
      </c>
      <c r="H453" t="n">
        <v>0</v>
      </c>
      <c r="I453" s="28" t="n">
        <v>45661</v>
      </c>
      <c r="J453" s="28" t="n">
        <v>45722</v>
      </c>
      <c r="K453" t="n">
        <v>61</v>
      </c>
      <c r="L453" t="inlineStr">
        <is>
          <t>Eligió otro proyecto</t>
        </is>
      </c>
    </row>
    <row r="454" ht="15.75" customHeight="1" s="25">
      <c r="A454" t="inlineStr">
        <is>
          <t>NEG-0452</t>
        </is>
      </c>
      <c r="B454" t="inlineStr">
        <is>
          <t>Sandra Salcedo Marín</t>
        </is>
      </c>
      <c r="C454" t="inlineStr">
        <is>
          <t>PRY-003</t>
        </is>
      </c>
      <c r="D454" t="inlineStr">
        <is>
          <t>Apto 2501</t>
        </is>
      </c>
      <c r="E454" t="inlineStr">
        <is>
          <t>Miguel Salazar</t>
        </is>
      </c>
      <c r="F454" t="inlineStr">
        <is>
          <t>Ganado</t>
        </is>
      </c>
      <c r="G454" t="n">
        <v>436000000</v>
      </c>
      <c r="H454" t="n">
        <v>1</v>
      </c>
      <c r="I454" s="28" t="n">
        <v>45663</v>
      </c>
      <c r="J454" s="28" t="n">
        <v>45713</v>
      </c>
      <c r="K454" t="n">
        <v>50</v>
      </c>
      <c r="L454" t="inlineStr">
        <is>
          <t>Promesa de compraventa firmada</t>
        </is>
      </c>
    </row>
    <row r="455" ht="15.75" customHeight="1" s="25">
      <c r="A455" t="inlineStr">
        <is>
          <t>NEG-0453</t>
        </is>
      </c>
      <c r="B455" t="inlineStr">
        <is>
          <t>Natalia Espinosa Salazar</t>
        </is>
      </c>
      <c r="C455" t="inlineStr">
        <is>
          <t>PRY-008</t>
        </is>
      </c>
      <c r="D455" t="inlineStr">
        <is>
          <t>Casa 90</t>
        </is>
      </c>
      <c r="E455" t="inlineStr">
        <is>
          <t>Paula Arenas</t>
        </is>
      </c>
      <c r="F455" t="inlineStr">
        <is>
          <t>Ganado</t>
        </is>
      </c>
      <c r="G455" t="n">
        <v>171000000</v>
      </c>
      <c r="H455" t="n">
        <v>1</v>
      </c>
      <c r="I455" s="28" t="n">
        <v>45663</v>
      </c>
      <c r="J455" s="28" t="n">
        <v>45704</v>
      </c>
      <c r="K455" t="n">
        <v>41</v>
      </c>
      <c r="L455" t="inlineStr">
        <is>
          <t>Promesa de compraventa firmada</t>
        </is>
      </c>
    </row>
    <row r="456" ht="15.75" customHeight="1" s="25">
      <c r="A456" t="inlineStr">
        <is>
          <t>NEG-0454</t>
        </is>
      </c>
      <c r="B456" t="inlineStr">
        <is>
          <t>Mauricio Bedoya Henao</t>
        </is>
      </c>
      <c r="C456" t="inlineStr">
        <is>
          <t>PRY-003</t>
        </is>
      </c>
      <c r="D456" t="inlineStr">
        <is>
          <t>Apto 2205</t>
        </is>
      </c>
      <c r="E456" t="inlineStr">
        <is>
          <t>Luis Bedoya</t>
        </is>
      </c>
      <c r="F456" t="inlineStr">
        <is>
          <t>Perdido</t>
        </is>
      </c>
      <c r="G456" t="n">
        <v>310000000</v>
      </c>
      <c r="H456" t="n">
        <v>0</v>
      </c>
      <c r="I456" s="28" t="n">
        <v>45664</v>
      </c>
      <c r="J456" s="28" t="n">
        <v>45746</v>
      </c>
      <c r="K456" t="n">
        <v>82</v>
      </c>
      <c r="L456" t="inlineStr">
        <is>
          <t>Crédito no aprobado</t>
        </is>
      </c>
    </row>
    <row r="457" ht="15.75" customHeight="1" s="25">
      <c r="A457" t="inlineStr">
        <is>
          <t>NEG-0455</t>
        </is>
      </c>
      <c r="B457" t="inlineStr">
        <is>
          <t>Natalia Álvarez Vargas</t>
        </is>
      </c>
      <c r="C457" t="inlineStr">
        <is>
          <t>PRY-005</t>
        </is>
      </c>
      <c r="D457" t="inlineStr">
        <is>
          <t>Apto 1001</t>
        </is>
      </c>
      <c r="E457" t="inlineStr">
        <is>
          <t>Ana Quintero</t>
        </is>
      </c>
      <c r="F457" t="inlineStr">
        <is>
          <t>Perdido</t>
        </is>
      </c>
      <c r="G457" t="n">
        <v>473000000</v>
      </c>
      <c r="H457" t="n">
        <v>0</v>
      </c>
      <c r="I457" s="28" t="n">
        <v>45664</v>
      </c>
      <c r="J457" s="28" t="n">
        <v>45700</v>
      </c>
      <c r="K457" t="n">
        <v>36</v>
      </c>
      <c r="L457" t="inlineStr">
        <is>
          <t>Eligió otro proyecto</t>
        </is>
      </c>
    </row>
    <row r="458" ht="15.75" customHeight="1" s="25">
      <c r="A458" t="inlineStr">
        <is>
          <t>NEG-0456</t>
        </is>
      </c>
      <c r="B458" t="inlineStr">
        <is>
          <t>Fernando Higuita Toro</t>
        </is>
      </c>
      <c r="C458" t="inlineStr">
        <is>
          <t>PRY-001</t>
        </is>
      </c>
      <c r="D458" t="inlineStr">
        <is>
          <t>Apto 1905</t>
        </is>
      </c>
      <c r="E458" t="inlineStr">
        <is>
          <t>Santiago Muñoz</t>
        </is>
      </c>
      <c r="F458" t="inlineStr">
        <is>
          <t>Ganado</t>
        </is>
      </c>
      <c r="G458" t="n">
        <v>874000000</v>
      </c>
      <c r="H458" t="n">
        <v>1</v>
      </c>
      <c r="I458" s="28" t="n">
        <v>45665</v>
      </c>
      <c r="J458" s="28" t="n">
        <v>45721</v>
      </c>
      <c r="K458" t="n">
        <v>56</v>
      </c>
      <c r="L458" t="inlineStr">
        <is>
          <t>Promesa de compraventa firmada</t>
        </is>
      </c>
    </row>
    <row r="459" ht="15.75" customHeight="1" s="25">
      <c r="A459" t="inlineStr">
        <is>
          <t>NEG-0457</t>
        </is>
      </c>
      <c r="B459" t="inlineStr">
        <is>
          <t>Iván Muñoz Gaviria</t>
        </is>
      </c>
      <c r="C459" t="inlineStr">
        <is>
          <t>PRY-002</t>
        </is>
      </c>
      <c r="D459" t="inlineStr">
        <is>
          <t>Casa 9</t>
        </is>
      </c>
      <c r="E459" t="inlineStr">
        <is>
          <t>Sofía Prada</t>
        </is>
      </c>
      <c r="F459" t="inlineStr">
        <is>
          <t>Perdido</t>
        </is>
      </c>
      <c r="G459" t="n">
        <v>716000000</v>
      </c>
      <c r="H459" t="n">
        <v>0</v>
      </c>
      <c r="I459" s="28" t="n">
        <v>45665</v>
      </c>
      <c r="J459" s="28" t="n">
        <v>45739</v>
      </c>
      <c r="K459" t="n">
        <v>74</v>
      </c>
      <c r="L459" t="inlineStr">
        <is>
          <t>Eligió otro proyecto</t>
        </is>
      </c>
    </row>
    <row r="460" ht="15.75" customHeight="1" s="25">
      <c r="A460" t="inlineStr">
        <is>
          <t>NEG-0458</t>
        </is>
      </c>
      <c r="B460" t="inlineStr">
        <is>
          <t>Laura Sánchez Salazar</t>
        </is>
      </c>
      <c r="C460" t="inlineStr">
        <is>
          <t>PRY-008</t>
        </is>
      </c>
      <c r="D460" t="inlineStr">
        <is>
          <t>Casa 27</t>
        </is>
      </c>
      <c r="E460" t="inlineStr">
        <is>
          <t>Miguel Salazar</t>
        </is>
      </c>
      <c r="F460" t="inlineStr">
        <is>
          <t>Perdido</t>
        </is>
      </c>
      <c r="G460" t="n">
        <v>167000000</v>
      </c>
      <c r="H460" t="n">
        <v>0</v>
      </c>
      <c r="I460" s="28" t="n">
        <v>45670</v>
      </c>
      <c r="J460" s="28" t="n">
        <v>45731</v>
      </c>
      <c r="K460" t="n">
        <v>61</v>
      </c>
      <c r="L460" t="inlineStr">
        <is>
          <t>Precio fuera de presupuesto</t>
        </is>
      </c>
    </row>
    <row r="461" ht="15.75" customHeight="1" s="25">
      <c r="A461" t="inlineStr">
        <is>
          <t>NEG-0459</t>
        </is>
      </c>
      <c r="B461" t="inlineStr">
        <is>
          <t>Óscar Palacio Sánchez</t>
        </is>
      </c>
      <c r="C461" t="inlineStr">
        <is>
          <t>PRY-007</t>
        </is>
      </c>
      <c r="D461" t="inlineStr">
        <is>
          <t>Apto 1204</t>
        </is>
      </c>
      <c r="E461" t="inlineStr">
        <is>
          <t>Juliana Vélez</t>
        </is>
      </c>
      <c r="F461" t="inlineStr">
        <is>
          <t>Ganado</t>
        </is>
      </c>
      <c r="G461" t="n">
        <v>569000000</v>
      </c>
      <c r="H461" t="n">
        <v>1</v>
      </c>
      <c r="I461" s="28" t="n">
        <v>45671</v>
      </c>
      <c r="J461" s="28" t="n">
        <v>45732</v>
      </c>
      <c r="K461" t="n">
        <v>61</v>
      </c>
      <c r="L461" t="inlineStr">
        <is>
          <t>Promesa de compraventa firmada</t>
        </is>
      </c>
    </row>
    <row r="462" ht="15.75" customHeight="1" s="25">
      <c r="A462" t="inlineStr">
        <is>
          <t>NEG-0460</t>
        </is>
      </c>
      <c r="B462" t="inlineStr">
        <is>
          <t>Emilio Bedoya Higuita</t>
        </is>
      </c>
      <c r="C462" t="inlineStr">
        <is>
          <t>PRY-001</t>
        </is>
      </c>
      <c r="D462" t="inlineStr">
        <is>
          <t>Apto 1205</t>
        </is>
      </c>
      <c r="E462" t="inlineStr">
        <is>
          <t>Sofía Prada</t>
        </is>
      </c>
      <c r="F462" t="inlineStr">
        <is>
          <t>Ganado</t>
        </is>
      </c>
      <c r="G462" t="n">
        <v>668000000</v>
      </c>
      <c r="H462" t="n">
        <v>1</v>
      </c>
      <c r="I462" s="28" t="n">
        <v>45672</v>
      </c>
      <c r="J462" s="28" t="n">
        <v>45730</v>
      </c>
      <c r="K462" t="n">
        <v>58</v>
      </c>
      <c r="L462" t="inlineStr">
        <is>
          <t>Promesa de compraventa firmada</t>
        </is>
      </c>
    </row>
    <row r="463" ht="15.75" customHeight="1" s="25">
      <c r="A463" t="inlineStr">
        <is>
          <t>NEG-0461</t>
        </is>
      </c>
      <c r="B463" t="inlineStr">
        <is>
          <t>Natalia Ríos Vélez</t>
        </is>
      </c>
      <c r="C463" t="inlineStr">
        <is>
          <t>PRY-005</t>
        </is>
      </c>
      <c r="D463" t="inlineStr">
        <is>
          <t>Apto 1001</t>
        </is>
      </c>
      <c r="E463" t="inlineStr">
        <is>
          <t>Juliana Vélez</t>
        </is>
      </c>
      <c r="F463" t="inlineStr">
        <is>
          <t>Ganado</t>
        </is>
      </c>
      <c r="G463" t="n">
        <v>480000000</v>
      </c>
      <c r="H463" t="n">
        <v>1</v>
      </c>
      <c r="I463" s="28" t="n">
        <v>45674</v>
      </c>
      <c r="J463" s="28" t="n">
        <v>45741</v>
      </c>
      <c r="K463" t="n">
        <v>67</v>
      </c>
      <c r="L463" t="inlineStr">
        <is>
          <t>Promesa de compraventa firmada</t>
        </is>
      </c>
    </row>
    <row r="464" ht="15.75" customHeight="1" s="25">
      <c r="A464" t="inlineStr">
        <is>
          <t>NEG-0462</t>
        </is>
      </c>
      <c r="B464" t="inlineStr">
        <is>
          <t>Verónica Jaramillo Marín</t>
        </is>
      </c>
      <c r="C464" t="inlineStr">
        <is>
          <t>PRY-005</t>
        </is>
      </c>
      <c r="D464" t="inlineStr">
        <is>
          <t>Casa 44</t>
        </is>
      </c>
      <c r="E464" t="inlineStr">
        <is>
          <t>Andrés Torres</t>
        </is>
      </c>
      <c r="F464" t="inlineStr">
        <is>
          <t>Ganado</t>
        </is>
      </c>
      <c r="G464" t="n">
        <v>447000000</v>
      </c>
      <c r="H464" t="n">
        <v>1</v>
      </c>
      <c r="I464" s="28" t="n">
        <v>45674</v>
      </c>
      <c r="J464" s="28" t="n">
        <v>45757</v>
      </c>
      <c r="K464" t="n">
        <v>83</v>
      </c>
      <c r="L464" t="inlineStr">
        <is>
          <t>Promesa de compraventa firmada</t>
        </is>
      </c>
    </row>
    <row r="465" ht="15.75" customHeight="1" s="25">
      <c r="A465" t="inlineStr">
        <is>
          <t>NEG-0463</t>
        </is>
      </c>
      <c r="B465" t="inlineStr">
        <is>
          <t>Wilson Cano Álvarez</t>
        </is>
      </c>
      <c r="C465" t="inlineStr">
        <is>
          <t>PRY-002</t>
        </is>
      </c>
      <c r="D465" t="inlineStr">
        <is>
          <t>Casa 24</t>
        </is>
      </c>
      <c r="E465" t="inlineStr">
        <is>
          <t>Ana Quintero</t>
        </is>
      </c>
      <c r="F465" t="inlineStr">
        <is>
          <t>Perdido</t>
        </is>
      </c>
      <c r="G465" t="n">
        <v>776000000</v>
      </c>
      <c r="H465" t="n">
        <v>0</v>
      </c>
      <c r="I465" s="28" t="n">
        <v>45675</v>
      </c>
      <c r="J465" s="28" t="n">
        <v>45792</v>
      </c>
      <c r="K465" t="n">
        <v>117</v>
      </c>
      <c r="L465" t="inlineStr">
        <is>
          <t>Precio fuera de presupuesto</t>
        </is>
      </c>
    </row>
    <row r="466" ht="15.75" customHeight="1" s="25">
      <c r="A466" t="inlineStr">
        <is>
          <t>NEG-0464</t>
        </is>
      </c>
      <c r="B466" t="inlineStr">
        <is>
          <t>Luisa Peláez Zuluaga</t>
        </is>
      </c>
      <c r="C466" t="inlineStr">
        <is>
          <t>PRY-008</t>
        </is>
      </c>
      <c r="D466" t="inlineStr">
        <is>
          <t>Casa 80</t>
        </is>
      </c>
      <c r="E466" t="inlineStr">
        <is>
          <t>Luis Bedoya</t>
        </is>
      </c>
      <c r="F466" t="inlineStr">
        <is>
          <t>Perdido</t>
        </is>
      </c>
      <c r="G466" t="n">
        <v>173000000</v>
      </c>
      <c r="H466" t="n">
        <v>0</v>
      </c>
      <c r="I466" s="28" t="n">
        <v>45676</v>
      </c>
      <c r="J466" s="28" t="n">
        <v>45707</v>
      </c>
      <c r="K466" t="n">
        <v>31</v>
      </c>
      <c r="L466" t="inlineStr">
        <is>
          <t>Precio fuera de presupuesto</t>
        </is>
      </c>
    </row>
    <row r="467" ht="15.75" customHeight="1" s="25">
      <c r="A467" t="inlineStr">
        <is>
          <t>NEG-0465</t>
        </is>
      </c>
      <c r="B467" t="inlineStr">
        <is>
          <t>David Marín Vélez</t>
        </is>
      </c>
      <c r="C467" t="inlineStr">
        <is>
          <t>PRY-002</t>
        </is>
      </c>
      <c r="D467" t="inlineStr">
        <is>
          <t>Casa 44</t>
        </is>
      </c>
      <c r="E467" t="inlineStr">
        <is>
          <t>Luis Bedoya</t>
        </is>
      </c>
      <c r="F467" t="inlineStr">
        <is>
          <t>Perdido</t>
        </is>
      </c>
      <c r="G467" t="n">
        <v>764000000</v>
      </c>
      <c r="H467" t="n">
        <v>0</v>
      </c>
      <c r="I467" s="28" t="n">
        <v>45678</v>
      </c>
      <c r="J467" s="28" t="n">
        <v>45770</v>
      </c>
      <c r="K467" t="n">
        <v>92</v>
      </c>
      <c r="L467" t="inlineStr">
        <is>
          <t>Desistió de la compra</t>
        </is>
      </c>
    </row>
    <row r="468" ht="15.75" customHeight="1" s="25">
      <c r="A468" t="inlineStr">
        <is>
          <t>NEG-0466</t>
        </is>
      </c>
      <c r="B468" t="inlineStr">
        <is>
          <t>Lorena Vélez Zapata</t>
        </is>
      </c>
      <c r="C468" t="inlineStr">
        <is>
          <t>PRY-003</t>
        </is>
      </c>
      <c r="D468" t="inlineStr">
        <is>
          <t>Apto 708</t>
        </is>
      </c>
      <c r="E468" t="inlineStr">
        <is>
          <t>Santiago Muñoz</t>
        </is>
      </c>
      <c r="F468" t="inlineStr">
        <is>
          <t>Ganado</t>
        </is>
      </c>
      <c r="G468" t="n">
        <v>283000000</v>
      </c>
      <c r="H468" t="n">
        <v>1</v>
      </c>
      <c r="I468" s="28" t="n">
        <v>45678</v>
      </c>
      <c r="J468" s="28" t="n">
        <v>45742</v>
      </c>
      <c r="K468" t="n">
        <v>64</v>
      </c>
      <c r="L468" t="inlineStr">
        <is>
          <t>Promesa de compraventa firmada</t>
        </is>
      </c>
    </row>
    <row r="469" ht="15.75" customHeight="1" s="25">
      <c r="A469" t="inlineStr">
        <is>
          <t>NEG-0467</t>
        </is>
      </c>
      <c r="B469" t="inlineStr">
        <is>
          <t>Liliana Rojas Agudelo</t>
        </is>
      </c>
      <c r="C469" t="inlineStr">
        <is>
          <t>PRY-004</t>
        </is>
      </c>
      <c r="D469" t="inlineStr">
        <is>
          <t>Casa 40</t>
        </is>
      </c>
      <c r="E469" t="inlineStr">
        <is>
          <t>Ana Quintero</t>
        </is>
      </c>
      <c r="F469" t="inlineStr">
        <is>
          <t>Ganado</t>
        </is>
      </c>
      <c r="G469" t="n">
        <v>464000000</v>
      </c>
      <c r="H469" t="n">
        <v>1</v>
      </c>
      <c r="I469" s="28" t="n">
        <v>45678</v>
      </c>
      <c r="J469" s="28" t="n">
        <v>45770</v>
      </c>
      <c r="K469" t="n">
        <v>92</v>
      </c>
      <c r="L469" t="inlineStr">
        <is>
          <t>Promesa de compraventa firmada</t>
        </is>
      </c>
    </row>
    <row r="470" ht="15.75" customHeight="1" s="25">
      <c r="A470" t="inlineStr">
        <is>
          <t>NEG-0468</t>
        </is>
      </c>
      <c r="B470" t="inlineStr">
        <is>
          <t>Juliana Londoño Ramírez</t>
        </is>
      </c>
      <c r="C470" t="inlineStr">
        <is>
          <t>PRY-008</t>
        </is>
      </c>
      <c r="D470" t="inlineStr">
        <is>
          <t>Casa 67</t>
        </is>
      </c>
      <c r="E470" t="inlineStr">
        <is>
          <t>Andrés Torres</t>
        </is>
      </c>
      <c r="F470" t="inlineStr">
        <is>
          <t>Perdido</t>
        </is>
      </c>
      <c r="G470" t="n">
        <v>152000000</v>
      </c>
      <c r="H470" t="n">
        <v>0</v>
      </c>
      <c r="I470" s="28" t="n">
        <v>45678</v>
      </c>
      <c r="J470" s="28" t="n">
        <v>45698</v>
      </c>
      <c r="K470" t="n">
        <v>20</v>
      </c>
      <c r="L470" t="inlineStr">
        <is>
          <t>Precio fuera de presupuesto</t>
        </is>
      </c>
    </row>
    <row r="471" ht="15.75" customHeight="1" s="25">
      <c r="A471" t="inlineStr">
        <is>
          <t>NEG-0469</t>
        </is>
      </c>
      <c r="B471" t="inlineStr">
        <is>
          <t>Jhon Escobar Echeverri</t>
        </is>
      </c>
      <c r="C471" t="inlineStr">
        <is>
          <t>PRY-002</t>
        </is>
      </c>
      <c r="D471" t="inlineStr">
        <is>
          <t>Casa 3</t>
        </is>
      </c>
      <c r="E471" t="inlineStr">
        <is>
          <t>Sofía Prada</t>
        </is>
      </c>
      <c r="F471" t="inlineStr">
        <is>
          <t>Ganado</t>
        </is>
      </c>
      <c r="G471" t="n">
        <v>719000000</v>
      </c>
      <c r="H471" t="n">
        <v>1</v>
      </c>
      <c r="I471" s="28" t="n">
        <v>45679</v>
      </c>
      <c r="J471" s="28" t="n">
        <v>45790</v>
      </c>
      <c r="K471" t="n">
        <v>111</v>
      </c>
      <c r="L471" t="inlineStr">
        <is>
          <t>Promesa de compraventa firmada</t>
        </is>
      </c>
    </row>
    <row r="472" ht="15.75" customHeight="1" s="25">
      <c r="A472" t="inlineStr">
        <is>
          <t>NEG-0470</t>
        </is>
      </c>
      <c r="B472" t="inlineStr">
        <is>
          <t>Diego Ramírez Salcedo</t>
        </is>
      </c>
      <c r="C472" t="inlineStr">
        <is>
          <t>PRY-004</t>
        </is>
      </c>
      <c r="D472" t="inlineStr">
        <is>
          <t>Casa 67</t>
        </is>
      </c>
      <c r="E472" t="inlineStr">
        <is>
          <t>Miguel Salazar</t>
        </is>
      </c>
      <c r="F472" t="inlineStr">
        <is>
          <t>Ganado</t>
        </is>
      </c>
      <c r="G472" t="n">
        <v>466000000</v>
      </c>
      <c r="H472" t="n">
        <v>1</v>
      </c>
      <c r="I472" s="28" t="n">
        <v>45680</v>
      </c>
      <c r="J472" s="28" t="n">
        <v>45741</v>
      </c>
      <c r="K472" t="n">
        <v>61</v>
      </c>
      <c r="L472" t="inlineStr">
        <is>
          <t>Promesa de compraventa firmada</t>
        </is>
      </c>
    </row>
    <row r="473" ht="15.75" customHeight="1" s="25">
      <c r="A473" t="inlineStr">
        <is>
          <t>NEG-0471</t>
        </is>
      </c>
      <c r="B473" t="inlineStr">
        <is>
          <t>Sebastián Rojas Bedoya</t>
        </is>
      </c>
      <c r="C473" t="inlineStr">
        <is>
          <t>PRY-004</t>
        </is>
      </c>
      <c r="D473" t="inlineStr">
        <is>
          <t>Casa 49</t>
        </is>
      </c>
      <c r="E473" t="inlineStr">
        <is>
          <t>Juliana Vélez</t>
        </is>
      </c>
      <c r="F473" t="inlineStr">
        <is>
          <t>Ganado</t>
        </is>
      </c>
      <c r="G473" t="n">
        <v>498000000</v>
      </c>
      <c r="H473" t="n">
        <v>1</v>
      </c>
      <c r="I473" s="28" t="n">
        <v>45681</v>
      </c>
      <c r="J473" s="28" t="n">
        <v>45741</v>
      </c>
      <c r="K473" t="n">
        <v>60</v>
      </c>
      <c r="L473" t="inlineStr">
        <is>
          <t>Promesa de compraventa firmada</t>
        </is>
      </c>
    </row>
    <row r="474" ht="15.75" customHeight="1" s="25">
      <c r="A474" t="inlineStr">
        <is>
          <t>NEG-0472</t>
        </is>
      </c>
      <c r="B474" t="inlineStr">
        <is>
          <t>Cristian Toro Gómez</t>
        </is>
      </c>
      <c r="C474" t="inlineStr">
        <is>
          <t>PRY-004</t>
        </is>
      </c>
      <c r="D474" t="inlineStr">
        <is>
          <t>Casa 3</t>
        </is>
      </c>
      <c r="E474" t="inlineStr">
        <is>
          <t>Sofía Prada</t>
        </is>
      </c>
      <c r="F474" t="inlineStr">
        <is>
          <t>Perdido</t>
        </is>
      </c>
      <c r="G474" t="n">
        <v>569000000</v>
      </c>
      <c r="H474" t="n">
        <v>0</v>
      </c>
      <c r="I474" s="28" t="n">
        <v>45681</v>
      </c>
      <c r="J474" s="28" t="n">
        <v>45752</v>
      </c>
      <c r="K474" t="n">
        <v>71</v>
      </c>
      <c r="L474" t="inlineStr">
        <is>
          <t>Desistió de la compra</t>
        </is>
      </c>
    </row>
    <row r="475" ht="15.75" customHeight="1" s="25">
      <c r="A475" t="inlineStr">
        <is>
          <t>NEG-0473</t>
        </is>
      </c>
      <c r="B475" t="inlineStr">
        <is>
          <t>Carlos Montes Jaramillo</t>
        </is>
      </c>
      <c r="C475" t="inlineStr">
        <is>
          <t>PRY-003</t>
        </is>
      </c>
      <c r="D475" t="inlineStr">
        <is>
          <t>Apto 1608</t>
        </is>
      </c>
      <c r="E475" t="inlineStr">
        <is>
          <t>Andrés Torres</t>
        </is>
      </c>
      <c r="F475" t="inlineStr">
        <is>
          <t>Ganado</t>
        </is>
      </c>
      <c r="G475" t="n">
        <v>380000000</v>
      </c>
      <c r="H475" t="n">
        <v>1</v>
      </c>
      <c r="I475" s="28" t="n">
        <v>45682</v>
      </c>
      <c r="J475" s="28" t="n">
        <v>45709</v>
      </c>
      <c r="K475" t="n">
        <v>27</v>
      </c>
      <c r="L475" t="inlineStr">
        <is>
          <t>Promesa de compraventa firmada</t>
        </is>
      </c>
    </row>
    <row r="476" ht="15.75" customHeight="1" s="25">
      <c r="A476" t="inlineStr">
        <is>
          <t>NEG-0474</t>
        </is>
      </c>
      <c r="B476" t="inlineStr">
        <is>
          <t>Katherine Franco Sánchez</t>
        </is>
      </c>
      <c r="C476" t="inlineStr">
        <is>
          <t>PRY-007</t>
        </is>
      </c>
      <c r="D476" t="inlineStr">
        <is>
          <t>Apto 201</t>
        </is>
      </c>
      <c r="E476" t="inlineStr">
        <is>
          <t>Juliana Vélez</t>
        </is>
      </c>
      <c r="F476" t="inlineStr">
        <is>
          <t>Perdido</t>
        </is>
      </c>
      <c r="G476" t="n">
        <v>740000000</v>
      </c>
      <c r="H476" t="n">
        <v>0</v>
      </c>
      <c r="I476" s="28" t="n">
        <v>45682</v>
      </c>
      <c r="J476" s="28" t="n">
        <v>45786</v>
      </c>
      <c r="K476" t="n">
        <v>104</v>
      </c>
      <c r="L476" t="inlineStr">
        <is>
          <t>Eligió otro proyecto</t>
        </is>
      </c>
    </row>
    <row r="477" ht="15.75" customHeight="1" s="25">
      <c r="A477" t="inlineStr">
        <is>
          <t>NEG-0475</t>
        </is>
      </c>
      <c r="B477" t="inlineStr">
        <is>
          <t>Felipe Higuita Osorio</t>
        </is>
      </c>
      <c r="C477" t="inlineStr">
        <is>
          <t>PRY-008</t>
        </is>
      </c>
      <c r="D477" t="inlineStr">
        <is>
          <t>Casa 48</t>
        </is>
      </c>
      <c r="E477" t="inlineStr">
        <is>
          <t>Paula Arenas</t>
        </is>
      </c>
      <c r="F477" t="inlineStr">
        <is>
          <t>Ganado</t>
        </is>
      </c>
      <c r="G477" t="n">
        <v>178000000</v>
      </c>
      <c r="H477" t="n">
        <v>1</v>
      </c>
      <c r="I477" s="28" t="n">
        <v>45682</v>
      </c>
      <c r="J477" s="28" t="n">
        <v>45717</v>
      </c>
      <c r="K477" t="n">
        <v>35</v>
      </c>
      <c r="L477" t="inlineStr">
        <is>
          <t>Promesa de compraventa firmada</t>
        </is>
      </c>
    </row>
    <row r="478" ht="15.75" customHeight="1" s="25">
      <c r="A478" t="inlineStr">
        <is>
          <t>NEG-0476</t>
        </is>
      </c>
      <c r="B478" t="inlineStr">
        <is>
          <t>Manuela Hernández Hernández</t>
        </is>
      </c>
      <c r="C478" t="inlineStr">
        <is>
          <t>PRY-003</t>
        </is>
      </c>
      <c r="D478" t="inlineStr">
        <is>
          <t>Apto 1002</t>
        </is>
      </c>
      <c r="E478" t="inlineStr">
        <is>
          <t>Santiago Muñoz</t>
        </is>
      </c>
      <c r="F478" t="inlineStr">
        <is>
          <t>Ganado</t>
        </is>
      </c>
      <c r="G478" t="n">
        <v>311000000</v>
      </c>
      <c r="H478" t="n">
        <v>1</v>
      </c>
      <c r="I478" s="28" t="n">
        <v>45684</v>
      </c>
      <c r="J478" s="28" t="n">
        <v>45771</v>
      </c>
      <c r="K478" t="n">
        <v>87</v>
      </c>
      <c r="L478" t="inlineStr">
        <is>
          <t>Promesa de compraventa firmada</t>
        </is>
      </c>
    </row>
    <row r="479" ht="15.75" customHeight="1" s="25">
      <c r="A479" t="inlineStr">
        <is>
          <t>NEG-0477</t>
        </is>
      </c>
      <c r="B479" t="inlineStr">
        <is>
          <t>Felipe Ochoa Mejía</t>
        </is>
      </c>
      <c r="C479" t="inlineStr">
        <is>
          <t>PRY-001</t>
        </is>
      </c>
      <c r="D479" t="inlineStr">
        <is>
          <t>Apto 1006</t>
        </is>
      </c>
      <c r="E479" t="inlineStr">
        <is>
          <t>Andrés Torres</t>
        </is>
      </c>
      <c r="F479" t="inlineStr">
        <is>
          <t>Ganado</t>
        </is>
      </c>
      <c r="G479" t="n">
        <v>865000000</v>
      </c>
      <c r="H479" t="n">
        <v>1</v>
      </c>
      <c r="I479" s="28" t="n">
        <v>45686</v>
      </c>
      <c r="J479" s="28" t="n">
        <v>45777</v>
      </c>
      <c r="K479" t="n">
        <v>91</v>
      </c>
      <c r="L479" t="inlineStr">
        <is>
          <t>Promesa de compraventa firmada</t>
        </is>
      </c>
    </row>
    <row r="480" ht="15.75" customHeight="1" s="25">
      <c r="A480" t="inlineStr">
        <is>
          <t>NEG-0478</t>
        </is>
      </c>
      <c r="B480" t="inlineStr">
        <is>
          <t>Mateo Agudelo Ríos</t>
        </is>
      </c>
      <c r="C480" t="inlineStr">
        <is>
          <t>PRY-003</t>
        </is>
      </c>
      <c r="D480" t="inlineStr">
        <is>
          <t>Apto 707</t>
        </is>
      </c>
      <c r="E480" t="inlineStr">
        <is>
          <t>Luis Bedoya</t>
        </is>
      </c>
      <c r="F480" t="inlineStr">
        <is>
          <t>Perdido</t>
        </is>
      </c>
      <c r="G480" t="n">
        <v>379000000</v>
      </c>
      <c r="H480" t="n">
        <v>0</v>
      </c>
      <c r="I480" s="28" t="n">
        <v>45686</v>
      </c>
      <c r="J480" s="28" t="n">
        <v>45713</v>
      </c>
      <c r="K480" t="n">
        <v>27</v>
      </c>
      <c r="L480" t="inlineStr">
        <is>
          <t>No volvió a responder</t>
        </is>
      </c>
    </row>
    <row r="481" ht="15.75" customHeight="1" s="25">
      <c r="A481" t="inlineStr">
        <is>
          <t>NEG-0479</t>
        </is>
      </c>
      <c r="B481" t="inlineStr">
        <is>
          <t>Andrés Gómez Hernández</t>
        </is>
      </c>
      <c r="C481" t="inlineStr">
        <is>
          <t>PRY-004</t>
        </is>
      </c>
      <c r="D481" t="inlineStr">
        <is>
          <t>Casa 44</t>
        </is>
      </c>
      <c r="E481" t="inlineStr">
        <is>
          <t>Ana Quintero</t>
        </is>
      </c>
      <c r="F481" t="inlineStr">
        <is>
          <t>Ganado</t>
        </is>
      </c>
      <c r="G481" t="n">
        <v>572000000</v>
      </c>
      <c r="H481" t="n">
        <v>1</v>
      </c>
      <c r="I481" s="28" t="n">
        <v>45686</v>
      </c>
      <c r="J481" s="28" t="n">
        <v>45739</v>
      </c>
      <c r="K481" t="n">
        <v>53</v>
      </c>
      <c r="L481" t="inlineStr">
        <is>
          <t>Promesa de compraventa firmada</t>
        </is>
      </c>
    </row>
    <row r="482" ht="15.75" customHeight="1" s="25">
      <c r="A482" t="inlineStr">
        <is>
          <t>NEG-0480</t>
        </is>
      </c>
      <c r="B482" t="inlineStr">
        <is>
          <t>Mateo Echeverri Quintero</t>
        </is>
      </c>
      <c r="C482" t="inlineStr">
        <is>
          <t>PRY-005</t>
        </is>
      </c>
      <c r="D482" t="inlineStr">
        <is>
          <t>Apto 1403</t>
        </is>
      </c>
      <c r="E482" t="inlineStr">
        <is>
          <t>Luis Bedoya</t>
        </is>
      </c>
      <c r="F482" t="inlineStr">
        <is>
          <t>Perdido</t>
        </is>
      </c>
      <c r="G482" t="n">
        <v>373000000</v>
      </c>
      <c r="H482" t="n">
        <v>0</v>
      </c>
      <c r="I482" s="28" t="n">
        <v>45686</v>
      </c>
      <c r="J482" s="28" t="n">
        <v>45748</v>
      </c>
      <c r="K482" t="n">
        <v>62</v>
      </c>
      <c r="L482" t="inlineStr">
        <is>
          <t>Crédito no aprobado</t>
        </is>
      </c>
    </row>
    <row r="483" ht="15.75" customHeight="1" s="25">
      <c r="A483" t="inlineStr">
        <is>
          <t>NEG-0481</t>
        </is>
      </c>
      <c r="B483" t="inlineStr">
        <is>
          <t>Manuela Zuluaga Henao</t>
        </is>
      </c>
      <c r="C483" t="inlineStr">
        <is>
          <t>PRY-001</t>
        </is>
      </c>
      <c r="D483" t="inlineStr">
        <is>
          <t>Apto 1704</t>
        </is>
      </c>
      <c r="E483" t="inlineStr">
        <is>
          <t>Miguel Salazar</t>
        </is>
      </c>
      <c r="F483" t="inlineStr">
        <is>
          <t>Perdido</t>
        </is>
      </c>
      <c r="G483" t="n">
        <v>714000000</v>
      </c>
      <c r="H483" t="n">
        <v>0</v>
      </c>
      <c r="I483" s="28" t="n">
        <v>45688</v>
      </c>
      <c r="J483" s="28" t="n">
        <v>45753</v>
      </c>
      <c r="K483" t="n">
        <v>65</v>
      </c>
      <c r="L483" t="inlineStr">
        <is>
          <t>Desistió de la compra</t>
        </is>
      </c>
    </row>
    <row r="484" ht="15.75" customHeight="1" s="25">
      <c r="A484" t="inlineStr">
        <is>
          <t>NEG-0482</t>
        </is>
      </c>
      <c r="B484" t="inlineStr">
        <is>
          <t>Alejandra Mejía Franco</t>
        </is>
      </c>
      <c r="C484" t="inlineStr">
        <is>
          <t>PRY-003</t>
        </is>
      </c>
      <c r="D484" t="inlineStr">
        <is>
          <t>Apto 601</t>
        </is>
      </c>
      <c r="E484" t="inlineStr">
        <is>
          <t>Sofía Prada</t>
        </is>
      </c>
      <c r="F484" t="inlineStr">
        <is>
          <t>Perdido</t>
        </is>
      </c>
      <c r="G484" t="n">
        <v>337000000</v>
      </c>
      <c r="H484" t="n">
        <v>0</v>
      </c>
      <c r="I484" s="28" t="n">
        <v>45688</v>
      </c>
      <c r="J484" s="28" t="n">
        <v>45748</v>
      </c>
      <c r="K484" t="n">
        <v>60</v>
      </c>
      <c r="L484" t="inlineStr">
        <is>
          <t>Precio fuera de presupuesto</t>
        </is>
      </c>
    </row>
    <row r="485" ht="15.75" customHeight="1" s="25">
      <c r="A485" t="inlineStr">
        <is>
          <t>NEG-0483</t>
        </is>
      </c>
      <c r="B485" t="inlineStr">
        <is>
          <t>Natalia Henao Toro</t>
        </is>
      </c>
      <c r="C485" t="inlineStr">
        <is>
          <t>PRY-004</t>
        </is>
      </c>
      <c r="D485" t="inlineStr">
        <is>
          <t>Casa 20</t>
        </is>
      </c>
      <c r="E485" t="inlineStr">
        <is>
          <t>Andrés Torres</t>
        </is>
      </c>
      <c r="F485" t="inlineStr">
        <is>
          <t>Ganado</t>
        </is>
      </c>
      <c r="G485" t="n">
        <v>582000000</v>
      </c>
      <c r="H485" t="n">
        <v>1</v>
      </c>
      <c r="I485" s="28" t="n">
        <v>45689</v>
      </c>
      <c r="J485" s="28" t="n">
        <v>45749</v>
      </c>
      <c r="K485" t="n">
        <v>60</v>
      </c>
      <c r="L485" t="inlineStr">
        <is>
          <t>Promesa de compraventa firmada</t>
        </is>
      </c>
    </row>
    <row r="486" ht="15.75" customHeight="1" s="25">
      <c r="A486" t="inlineStr">
        <is>
          <t>NEG-0484</t>
        </is>
      </c>
      <c r="B486" t="inlineStr">
        <is>
          <t>Valeria Ramírez Salcedo</t>
        </is>
      </c>
      <c r="C486" t="inlineStr">
        <is>
          <t>PRY-005</t>
        </is>
      </c>
      <c r="D486" t="inlineStr">
        <is>
          <t>Apto 1308</t>
        </is>
      </c>
      <c r="E486" t="inlineStr">
        <is>
          <t>Sofía Prada</t>
        </is>
      </c>
      <c r="F486" t="inlineStr">
        <is>
          <t>Ganado</t>
        </is>
      </c>
      <c r="G486" t="n">
        <v>457000000</v>
      </c>
      <c r="H486" t="n">
        <v>1</v>
      </c>
      <c r="I486" s="28" t="n">
        <v>45689</v>
      </c>
      <c r="J486" s="28" t="n">
        <v>45804</v>
      </c>
      <c r="K486" t="n">
        <v>115</v>
      </c>
      <c r="L486" t="inlineStr">
        <is>
          <t>Promesa de compraventa firmada</t>
        </is>
      </c>
    </row>
    <row r="487" ht="15.75" customHeight="1" s="25">
      <c r="A487" t="inlineStr">
        <is>
          <t>NEG-0485</t>
        </is>
      </c>
      <c r="B487" t="inlineStr">
        <is>
          <t>Marcela Jaramillo Cano</t>
        </is>
      </c>
      <c r="C487" t="inlineStr">
        <is>
          <t>PRY-004</t>
        </is>
      </c>
      <c r="D487" t="inlineStr">
        <is>
          <t>Casa 39</t>
        </is>
      </c>
      <c r="E487" t="inlineStr">
        <is>
          <t>Paula Arenas</t>
        </is>
      </c>
      <c r="F487" t="inlineStr">
        <is>
          <t>Ganado</t>
        </is>
      </c>
      <c r="G487" t="n">
        <v>507000000</v>
      </c>
      <c r="H487" t="n">
        <v>1</v>
      </c>
      <c r="I487" s="28" t="n">
        <v>45691</v>
      </c>
      <c r="J487" s="28" t="n">
        <v>45759</v>
      </c>
      <c r="K487" t="n">
        <v>68</v>
      </c>
      <c r="L487" t="inlineStr">
        <is>
          <t>Promesa de compraventa firmada</t>
        </is>
      </c>
    </row>
    <row r="488" ht="15.75" customHeight="1" s="25">
      <c r="A488" t="inlineStr">
        <is>
          <t>NEG-0486</t>
        </is>
      </c>
      <c r="B488" t="inlineStr">
        <is>
          <t>David Arango López</t>
        </is>
      </c>
      <c r="C488" t="inlineStr">
        <is>
          <t>PRY-005</t>
        </is>
      </c>
      <c r="D488" t="inlineStr">
        <is>
          <t>Casa 16</t>
        </is>
      </c>
      <c r="E488" t="inlineStr">
        <is>
          <t>Juliana Vélez</t>
        </is>
      </c>
      <c r="F488" t="inlineStr">
        <is>
          <t>Perdido</t>
        </is>
      </c>
      <c r="G488" t="n">
        <v>394000000</v>
      </c>
      <c r="H488" t="n">
        <v>0</v>
      </c>
      <c r="I488" s="28" t="n">
        <v>45691</v>
      </c>
      <c r="J488" s="28" t="n">
        <v>45807</v>
      </c>
      <c r="K488" t="n">
        <v>116</v>
      </c>
      <c r="L488" t="inlineStr">
        <is>
          <t>Crédito no aprobado</t>
        </is>
      </c>
    </row>
    <row r="489" ht="15.75" customHeight="1" s="25">
      <c r="A489" t="inlineStr">
        <is>
          <t>NEG-0487</t>
        </is>
      </c>
      <c r="B489" t="inlineStr">
        <is>
          <t>Mauricio López Castaño</t>
        </is>
      </c>
      <c r="C489" t="inlineStr">
        <is>
          <t>PRY-007</t>
        </is>
      </c>
      <c r="D489" t="inlineStr">
        <is>
          <t>Apto 1603</t>
        </is>
      </c>
      <c r="E489" t="inlineStr">
        <is>
          <t>Miguel Salazar</t>
        </is>
      </c>
      <c r="F489" t="inlineStr">
        <is>
          <t>Ganado</t>
        </is>
      </c>
      <c r="G489" t="n">
        <v>759000000</v>
      </c>
      <c r="H489" t="n">
        <v>1</v>
      </c>
      <c r="I489" s="28" t="n">
        <v>45691</v>
      </c>
      <c r="J489" s="28" t="n">
        <v>45767</v>
      </c>
      <c r="K489" t="n">
        <v>76</v>
      </c>
      <c r="L489" t="inlineStr">
        <is>
          <t>Promesa de compraventa firmada</t>
        </is>
      </c>
    </row>
    <row r="490" ht="15.75" customHeight="1" s="25">
      <c r="A490" t="inlineStr">
        <is>
          <t>NEG-0488</t>
        </is>
      </c>
      <c r="B490" t="inlineStr">
        <is>
          <t>Daniela Higuita Salcedo</t>
        </is>
      </c>
      <c r="C490" t="inlineStr">
        <is>
          <t>PRY-003</t>
        </is>
      </c>
      <c r="D490" t="inlineStr">
        <is>
          <t>Apto 1601</t>
        </is>
      </c>
      <c r="E490" t="inlineStr">
        <is>
          <t>Luis Bedoya</t>
        </is>
      </c>
      <c r="F490" t="inlineStr">
        <is>
          <t>Ganado</t>
        </is>
      </c>
      <c r="G490" t="n">
        <v>414000000</v>
      </c>
      <c r="H490" t="n">
        <v>1</v>
      </c>
      <c r="I490" s="28" t="n">
        <v>45694</v>
      </c>
      <c r="J490" s="28" t="n">
        <v>45751</v>
      </c>
      <c r="K490" t="n">
        <v>57</v>
      </c>
      <c r="L490" t="inlineStr">
        <is>
          <t>Promesa de compraventa firmada</t>
        </is>
      </c>
    </row>
    <row r="491" ht="15.75" customHeight="1" s="25">
      <c r="A491" t="inlineStr">
        <is>
          <t>NEG-0489</t>
        </is>
      </c>
      <c r="B491" t="inlineStr">
        <is>
          <t>Gloria Franco Uribe</t>
        </is>
      </c>
      <c r="C491" t="inlineStr">
        <is>
          <t>PRY-005</t>
        </is>
      </c>
      <c r="D491" t="inlineStr">
        <is>
          <t>Apto 703</t>
        </is>
      </c>
      <c r="E491" t="inlineStr">
        <is>
          <t>Juliana Vélez</t>
        </is>
      </c>
      <c r="F491" t="inlineStr">
        <is>
          <t>Ganado</t>
        </is>
      </c>
      <c r="G491" t="n">
        <v>475000000</v>
      </c>
      <c r="H491" t="n">
        <v>1</v>
      </c>
      <c r="I491" s="28" t="n">
        <v>45694</v>
      </c>
      <c r="J491" s="28" t="n">
        <v>45777</v>
      </c>
      <c r="K491" t="n">
        <v>83</v>
      </c>
      <c r="L491" t="inlineStr">
        <is>
          <t>Promesa de compraventa firmada</t>
        </is>
      </c>
    </row>
    <row r="492" ht="15.75" customHeight="1" s="25">
      <c r="A492" t="inlineStr">
        <is>
          <t>NEG-0490</t>
        </is>
      </c>
      <c r="B492" t="inlineStr">
        <is>
          <t>Natalia Echeverri Salcedo</t>
        </is>
      </c>
      <c r="C492" t="inlineStr">
        <is>
          <t>PRY-008</t>
        </is>
      </c>
      <c r="D492" t="inlineStr">
        <is>
          <t>Casa 92</t>
        </is>
      </c>
      <c r="E492" t="inlineStr">
        <is>
          <t>Juliana Vélez</t>
        </is>
      </c>
      <c r="F492" t="inlineStr">
        <is>
          <t>Ganado</t>
        </is>
      </c>
      <c r="G492" t="n">
        <v>163000000</v>
      </c>
      <c r="H492" t="n">
        <v>1</v>
      </c>
      <c r="I492" s="28" t="n">
        <v>45695</v>
      </c>
      <c r="J492" s="28" t="n">
        <v>45743</v>
      </c>
      <c r="K492" t="n">
        <v>48</v>
      </c>
      <c r="L492" t="inlineStr">
        <is>
          <t>Promesa de compraventa firmada</t>
        </is>
      </c>
    </row>
    <row r="493" ht="15.75" customHeight="1" s="25">
      <c r="A493" t="inlineStr">
        <is>
          <t>NEG-0491</t>
        </is>
      </c>
      <c r="B493" t="inlineStr">
        <is>
          <t>Julián Restrepo Cardona</t>
        </is>
      </c>
      <c r="C493" t="inlineStr">
        <is>
          <t>PRY-004</t>
        </is>
      </c>
      <c r="D493" t="inlineStr">
        <is>
          <t>Casa 25</t>
        </is>
      </c>
      <c r="E493" t="inlineStr">
        <is>
          <t>Daniela Ríos</t>
        </is>
      </c>
      <c r="F493" t="inlineStr">
        <is>
          <t>Ganado</t>
        </is>
      </c>
      <c r="G493" t="n">
        <v>480000000</v>
      </c>
      <c r="H493" t="n">
        <v>1</v>
      </c>
      <c r="I493" s="28" t="n">
        <v>45697</v>
      </c>
      <c r="J493" s="28" t="n">
        <v>45777</v>
      </c>
      <c r="K493" t="n">
        <v>80</v>
      </c>
      <c r="L493" t="inlineStr">
        <is>
          <t>Promesa de compraventa firmada</t>
        </is>
      </c>
    </row>
    <row r="494" ht="15.75" customHeight="1" s="25">
      <c r="A494" t="inlineStr">
        <is>
          <t>NEG-0492</t>
        </is>
      </c>
      <c r="B494" t="inlineStr">
        <is>
          <t>María Hernández Vásquez</t>
        </is>
      </c>
      <c r="C494" t="inlineStr">
        <is>
          <t>PRY-001</t>
        </is>
      </c>
      <c r="D494" t="inlineStr">
        <is>
          <t>Apto 1401</t>
        </is>
      </c>
      <c r="E494" t="inlineStr">
        <is>
          <t>Ana Quintero</t>
        </is>
      </c>
      <c r="F494" t="inlineStr">
        <is>
          <t>Ganado</t>
        </is>
      </c>
      <c r="G494" t="n">
        <v>860000000</v>
      </c>
      <c r="H494" t="n">
        <v>1</v>
      </c>
      <c r="I494" s="28" t="n">
        <v>45698</v>
      </c>
      <c r="J494" s="28" t="n">
        <v>45809</v>
      </c>
      <c r="K494" t="n">
        <v>111</v>
      </c>
      <c r="L494" t="inlineStr">
        <is>
          <t>Promesa de compraventa firmada</t>
        </is>
      </c>
    </row>
    <row r="495" ht="15.75" customHeight="1" s="25">
      <c r="A495" t="inlineStr">
        <is>
          <t>NEG-0493</t>
        </is>
      </c>
      <c r="B495" t="inlineStr">
        <is>
          <t>Jhon Arango Giraldo</t>
        </is>
      </c>
      <c r="C495" t="inlineStr">
        <is>
          <t>PRY-005</t>
        </is>
      </c>
      <c r="D495" t="inlineStr">
        <is>
          <t>Apto 808</t>
        </is>
      </c>
      <c r="E495" t="inlineStr">
        <is>
          <t>Santiago Muñoz</t>
        </is>
      </c>
      <c r="F495" t="inlineStr">
        <is>
          <t>Ganado</t>
        </is>
      </c>
      <c r="G495" t="n">
        <v>449000000</v>
      </c>
      <c r="H495" t="n">
        <v>1</v>
      </c>
      <c r="I495" s="28" t="n">
        <v>45698</v>
      </c>
      <c r="J495" s="28" t="n">
        <v>45791</v>
      </c>
      <c r="K495" t="n">
        <v>93</v>
      </c>
      <c r="L495" t="inlineStr">
        <is>
          <t>Promesa de compraventa firmada</t>
        </is>
      </c>
    </row>
    <row r="496" ht="15.75" customHeight="1" s="25">
      <c r="A496" t="inlineStr">
        <is>
          <t>NEG-0494</t>
        </is>
      </c>
      <c r="B496" t="inlineStr">
        <is>
          <t>Manuela Escobar Castaño</t>
        </is>
      </c>
      <c r="C496" t="inlineStr">
        <is>
          <t>PRY-001</t>
        </is>
      </c>
      <c r="D496" t="inlineStr">
        <is>
          <t>Apto 901</t>
        </is>
      </c>
      <c r="E496" t="inlineStr">
        <is>
          <t>Luis Bedoya</t>
        </is>
      </c>
      <c r="F496" t="inlineStr">
        <is>
          <t>Ganado</t>
        </is>
      </c>
      <c r="G496" t="n">
        <v>697000000</v>
      </c>
      <c r="H496" t="n">
        <v>1</v>
      </c>
      <c r="I496" s="28" t="n">
        <v>45699</v>
      </c>
      <c r="J496" s="28" t="n">
        <v>45764</v>
      </c>
      <c r="K496" t="n">
        <v>65</v>
      </c>
      <c r="L496" t="inlineStr">
        <is>
          <t>Promesa de compraventa firmada</t>
        </is>
      </c>
    </row>
    <row r="497" ht="15.75" customHeight="1" s="25">
      <c r="A497" t="inlineStr">
        <is>
          <t>NEG-0495</t>
        </is>
      </c>
      <c r="B497" t="inlineStr">
        <is>
          <t>Mauricio Salazar Osorio</t>
        </is>
      </c>
      <c r="C497" t="inlineStr">
        <is>
          <t>PRY-008</t>
        </is>
      </c>
      <c r="D497" t="inlineStr">
        <is>
          <t>Casa 16</t>
        </is>
      </c>
      <c r="E497" t="inlineStr">
        <is>
          <t>Paula Arenas</t>
        </is>
      </c>
      <c r="F497" t="inlineStr">
        <is>
          <t>Ganado</t>
        </is>
      </c>
      <c r="G497" t="n">
        <v>148000000</v>
      </c>
      <c r="H497" t="n">
        <v>1</v>
      </c>
      <c r="I497" s="28" t="n">
        <v>45699</v>
      </c>
      <c r="J497" s="28" t="n">
        <v>45733</v>
      </c>
      <c r="K497" t="n">
        <v>34</v>
      </c>
      <c r="L497" t="inlineStr">
        <is>
          <t>Promesa de compraventa firmada</t>
        </is>
      </c>
    </row>
    <row r="498" ht="15.75" customHeight="1" s="25">
      <c r="A498" t="inlineStr">
        <is>
          <t>NEG-0496</t>
        </is>
      </c>
      <c r="B498" t="inlineStr">
        <is>
          <t>Santiago Londoño Peláez</t>
        </is>
      </c>
      <c r="C498" t="inlineStr">
        <is>
          <t>PRY-006</t>
        </is>
      </c>
      <c r="D498" t="inlineStr">
        <is>
          <t>Local 11</t>
        </is>
      </c>
      <c r="E498" t="inlineStr">
        <is>
          <t>Andrés Torres</t>
        </is>
      </c>
      <c r="F498" t="inlineStr">
        <is>
          <t>Ganado</t>
        </is>
      </c>
      <c r="G498" t="n">
        <v>409000000</v>
      </c>
      <c r="H498" t="n">
        <v>1</v>
      </c>
      <c r="I498" s="28" t="n">
        <v>45702</v>
      </c>
      <c r="J498" s="28" t="n">
        <v>45819</v>
      </c>
      <c r="K498" t="n">
        <v>117</v>
      </c>
      <c r="L498" t="inlineStr">
        <is>
          <t>Promesa de compraventa firmada</t>
        </is>
      </c>
    </row>
    <row r="499" ht="15.75" customHeight="1" s="25">
      <c r="A499" t="inlineStr">
        <is>
          <t>NEG-0497</t>
        </is>
      </c>
      <c r="B499" t="inlineStr">
        <is>
          <t>Óscar Palacio Uribe</t>
        </is>
      </c>
      <c r="C499" t="inlineStr">
        <is>
          <t>PRY-008</t>
        </is>
      </c>
      <c r="D499" t="inlineStr">
        <is>
          <t>Casa 89</t>
        </is>
      </c>
      <c r="E499" t="inlineStr">
        <is>
          <t>Luis Bedoya</t>
        </is>
      </c>
      <c r="F499" t="inlineStr">
        <is>
          <t>Perdido</t>
        </is>
      </c>
      <c r="G499" t="n">
        <v>153000000</v>
      </c>
      <c r="H499" t="n">
        <v>0</v>
      </c>
      <c r="I499" s="28" t="n">
        <v>45702</v>
      </c>
      <c r="J499" s="28" t="n">
        <v>45772</v>
      </c>
      <c r="K499" t="n">
        <v>70</v>
      </c>
      <c r="L499" t="inlineStr">
        <is>
          <t>Desistió de la compra</t>
        </is>
      </c>
    </row>
    <row r="500" ht="15.75" customHeight="1" s="25">
      <c r="A500" t="inlineStr">
        <is>
          <t>NEG-0498</t>
        </is>
      </c>
      <c r="B500" t="inlineStr">
        <is>
          <t>Óscar Zuluaga Duque</t>
        </is>
      </c>
      <c r="C500" t="inlineStr">
        <is>
          <t>PRY-007</t>
        </is>
      </c>
      <c r="D500" t="inlineStr">
        <is>
          <t>Apto 604</t>
        </is>
      </c>
      <c r="E500" t="inlineStr">
        <is>
          <t>Ana Quintero</t>
        </is>
      </c>
      <c r="F500" t="inlineStr">
        <is>
          <t>Ganado</t>
        </is>
      </c>
      <c r="G500" t="n">
        <v>672000000</v>
      </c>
      <c r="H500" t="n">
        <v>1</v>
      </c>
      <c r="I500" s="28" t="n">
        <v>45703</v>
      </c>
      <c r="J500" s="28" t="n">
        <v>45745</v>
      </c>
      <c r="K500" t="n">
        <v>42</v>
      </c>
      <c r="L500" t="inlineStr">
        <is>
          <t>Promesa de compraventa firmada</t>
        </is>
      </c>
    </row>
    <row r="501" ht="15.75" customHeight="1" s="25">
      <c r="A501" t="inlineStr">
        <is>
          <t>NEG-0499</t>
        </is>
      </c>
      <c r="B501" t="inlineStr">
        <is>
          <t>Carolina Rojas Duque</t>
        </is>
      </c>
      <c r="C501" t="inlineStr">
        <is>
          <t>PRY-003</t>
        </is>
      </c>
      <c r="D501" t="inlineStr">
        <is>
          <t>Apto 403</t>
        </is>
      </c>
      <c r="E501" t="inlineStr">
        <is>
          <t>Paula Arenas</t>
        </is>
      </c>
      <c r="F501" t="inlineStr">
        <is>
          <t>Ganado</t>
        </is>
      </c>
      <c r="G501" t="n">
        <v>313000000</v>
      </c>
      <c r="H501" t="n">
        <v>1</v>
      </c>
      <c r="I501" s="28" t="n">
        <v>45705</v>
      </c>
      <c r="J501" s="28" t="n">
        <v>45757</v>
      </c>
      <c r="K501" t="n">
        <v>52</v>
      </c>
      <c r="L501" t="inlineStr">
        <is>
          <t>Promesa de compraventa firmada</t>
        </is>
      </c>
    </row>
    <row r="502" ht="15.75" customHeight="1" s="25">
      <c r="A502" t="inlineStr">
        <is>
          <t>NEG-0500</t>
        </is>
      </c>
      <c r="B502" t="inlineStr">
        <is>
          <t>Diana Uribe Zuluaga</t>
        </is>
      </c>
      <c r="C502" t="inlineStr">
        <is>
          <t>PRY-007</t>
        </is>
      </c>
      <c r="D502" t="inlineStr">
        <is>
          <t>Apto 904</t>
        </is>
      </c>
      <c r="E502" t="inlineStr">
        <is>
          <t>Sofía Prada</t>
        </is>
      </c>
      <c r="F502" t="inlineStr">
        <is>
          <t>Ganado</t>
        </is>
      </c>
      <c r="G502" t="n">
        <v>547000000</v>
      </c>
      <c r="H502" t="n">
        <v>1</v>
      </c>
      <c r="I502" s="28" t="n">
        <v>45705</v>
      </c>
      <c r="J502" s="28" t="n">
        <v>45756</v>
      </c>
      <c r="K502" t="n">
        <v>51</v>
      </c>
      <c r="L502" t="inlineStr">
        <is>
          <t>Promesa de compraventa firmada</t>
        </is>
      </c>
    </row>
    <row r="503" ht="15.75" customHeight="1" s="25">
      <c r="A503" t="inlineStr">
        <is>
          <t>NEG-0501</t>
        </is>
      </c>
      <c r="B503" t="inlineStr">
        <is>
          <t>Rodrigo Jaramillo Zuluaga</t>
        </is>
      </c>
      <c r="C503" t="inlineStr">
        <is>
          <t>PRY-008</t>
        </is>
      </c>
      <c r="D503" t="inlineStr">
        <is>
          <t>Casa 40</t>
        </is>
      </c>
      <c r="E503" t="inlineStr">
        <is>
          <t>Andrés Torres</t>
        </is>
      </c>
      <c r="F503" t="inlineStr">
        <is>
          <t>Ganado</t>
        </is>
      </c>
      <c r="G503" t="n">
        <v>136000000</v>
      </c>
      <c r="H503" t="n">
        <v>1</v>
      </c>
      <c r="I503" s="28" t="n">
        <v>45708</v>
      </c>
      <c r="J503" s="28" t="n">
        <v>45746</v>
      </c>
      <c r="K503" t="n">
        <v>38</v>
      </c>
      <c r="L503" t="inlineStr">
        <is>
          <t>Promesa de compraventa firmada</t>
        </is>
      </c>
    </row>
    <row r="504" ht="15.75" customHeight="1" s="25">
      <c r="A504" t="inlineStr">
        <is>
          <t>NEG-0502</t>
        </is>
      </c>
      <c r="B504" t="inlineStr">
        <is>
          <t>Alejandro Cifuentes Cifuentes</t>
        </is>
      </c>
      <c r="C504" t="inlineStr">
        <is>
          <t>PRY-001</t>
        </is>
      </c>
      <c r="D504" t="inlineStr">
        <is>
          <t>Apto 2005</t>
        </is>
      </c>
      <c r="E504" t="inlineStr">
        <is>
          <t>Miguel Salazar</t>
        </is>
      </c>
      <c r="F504" t="inlineStr">
        <is>
          <t>Ganado</t>
        </is>
      </c>
      <c r="G504" t="n">
        <v>770000000</v>
      </c>
      <c r="H504" t="n">
        <v>1</v>
      </c>
      <c r="I504" s="28" t="n">
        <v>45711</v>
      </c>
      <c r="J504" s="28" t="n">
        <v>45757</v>
      </c>
      <c r="K504" t="n">
        <v>46</v>
      </c>
      <c r="L504" t="inlineStr">
        <is>
          <t>Promesa de compraventa firmada</t>
        </is>
      </c>
    </row>
    <row r="505" ht="15.75" customHeight="1" s="25">
      <c r="A505" t="inlineStr">
        <is>
          <t>NEG-0503</t>
        </is>
      </c>
      <c r="B505" t="inlineStr">
        <is>
          <t>Catalina Muñoz Hernández</t>
        </is>
      </c>
      <c r="C505" t="inlineStr">
        <is>
          <t>PRY-003</t>
        </is>
      </c>
      <c r="D505" t="inlineStr">
        <is>
          <t>Apto 2105</t>
        </is>
      </c>
      <c r="E505" t="inlineStr">
        <is>
          <t>Ana Quintero</t>
        </is>
      </c>
      <c r="F505" t="inlineStr">
        <is>
          <t>Ganado</t>
        </is>
      </c>
      <c r="G505" t="n">
        <v>403000000</v>
      </c>
      <c r="H505" t="n">
        <v>1</v>
      </c>
      <c r="I505" s="28" t="n">
        <v>45711</v>
      </c>
      <c r="J505" s="28" t="n">
        <v>45773</v>
      </c>
      <c r="K505" t="n">
        <v>62</v>
      </c>
      <c r="L505" t="inlineStr">
        <is>
          <t>Promesa de compraventa firmada</t>
        </is>
      </c>
    </row>
    <row r="506" ht="15.75" customHeight="1" s="25">
      <c r="A506" t="inlineStr">
        <is>
          <t>NEG-0504</t>
        </is>
      </c>
      <c r="B506" t="inlineStr">
        <is>
          <t>Santiago Montoya Vásquez</t>
        </is>
      </c>
      <c r="C506" t="inlineStr">
        <is>
          <t>PRY-005</t>
        </is>
      </c>
      <c r="D506" t="inlineStr">
        <is>
          <t>Casa 26</t>
        </is>
      </c>
      <c r="E506" t="inlineStr">
        <is>
          <t>Ana Quintero</t>
        </is>
      </c>
      <c r="F506" t="inlineStr">
        <is>
          <t>Ganado</t>
        </is>
      </c>
      <c r="G506" t="n">
        <v>410000000</v>
      </c>
      <c r="H506" t="n">
        <v>1</v>
      </c>
      <c r="I506" s="28" t="n">
        <v>45712</v>
      </c>
      <c r="J506" s="28" t="n">
        <v>45826</v>
      </c>
      <c r="K506" t="n">
        <v>114</v>
      </c>
      <c r="L506" t="inlineStr">
        <is>
          <t>Promesa de compraventa firmada</t>
        </is>
      </c>
    </row>
    <row r="507" ht="15.75" customHeight="1" s="25">
      <c r="A507" t="inlineStr">
        <is>
          <t>NEG-0505</t>
        </is>
      </c>
      <c r="B507" t="inlineStr">
        <is>
          <t>Gabriel Jaramillo Vásquez</t>
        </is>
      </c>
      <c r="C507" t="inlineStr">
        <is>
          <t>PRY-002</t>
        </is>
      </c>
      <c r="D507" t="inlineStr">
        <is>
          <t>Casa 41</t>
        </is>
      </c>
      <c r="E507" t="inlineStr">
        <is>
          <t>Santiago Muñoz</t>
        </is>
      </c>
      <c r="F507" t="inlineStr">
        <is>
          <t>Ganado</t>
        </is>
      </c>
      <c r="G507" t="n">
        <v>768000000</v>
      </c>
      <c r="H507" t="n">
        <v>1</v>
      </c>
      <c r="I507" s="28" t="n">
        <v>45713</v>
      </c>
      <c r="J507" s="28" t="n">
        <v>45789</v>
      </c>
      <c r="K507" t="n">
        <v>76</v>
      </c>
      <c r="L507" t="inlineStr">
        <is>
          <t>Promesa de compraventa firmada</t>
        </is>
      </c>
    </row>
    <row r="508" ht="15.75" customHeight="1" s="25">
      <c r="A508" t="inlineStr">
        <is>
          <t>NEG-0506</t>
        </is>
      </c>
      <c r="B508" t="inlineStr">
        <is>
          <t>Jorge Henao Sánchez</t>
        </is>
      </c>
      <c r="C508" t="inlineStr">
        <is>
          <t>PRY-003</t>
        </is>
      </c>
      <c r="D508" t="inlineStr">
        <is>
          <t>Apto 2101</t>
        </is>
      </c>
      <c r="E508" t="inlineStr">
        <is>
          <t>Miguel Salazar</t>
        </is>
      </c>
      <c r="F508" t="inlineStr">
        <is>
          <t>Ganado</t>
        </is>
      </c>
      <c r="G508" t="n">
        <v>399000000</v>
      </c>
      <c r="H508" t="n">
        <v>1</v>
      </c>
      <c r="I508" s="28" t="n">
        <v>45713</v>
      </c>
      <c r="J508" s="28" t="n">
        <v>45789</v>
      </c>
      <c r="K508" t="n">
        <v>76</v>
      </c>
      <c r="L508" t="inlineStr">
        <is>
          <t>Promesa de compraventa firmada</t>
        </is>
      </c>
    </row>
    <row r="509" ht="15.75" customHeight="1" s="25">
      <c r="A509" t="inlineStr">
        <is>
          <t>NEG-0507</t>
        </is>
      </c>
      <c r="B509" t="inlineStr">
        <is>
          <t>Tomás Zapata Salcedo</t>
        </is>
      </c>
      <c r="C509" t="inlineStr">
        <is>
          <t>PRY-008</t>
        </is>
      </c>
      <c r="D509" t="inlineStr">
        <is>
          <t>Casa 10</t>
        </is>
      </c>
      <c r="E509" t="inlineStr">
        <is>
          <t>Juliana Vélez</t>
        </is>
      </c>
      <c r="F509" t="inlineStr">
        <is>
          <t>Ganado</t>
        </is>
      </c>
      <c r="G509" t="n">
        <v>176000000</v>
      </c>
      <c r="H509" t="n">
        <v>1</v>
      </c>
      <c r="I509" s="28" t="n">
        <v>45713</v>
      </c>
      <c r="J509" s="28" t="n">
        <v>45766</v>
      </c>
      <c r="K509" t="n">
        <v>53</v>
      </c>
      <c r="L509" t="inlineStr">
        <is>
          <t>Promesa de compraventa firmada</t>
        </is>
      </c>
    </row>
    <row r="510" ht="15.75" customHeight="1" s="25">
      <c r="A510" t="inlineStr">
        <is>
          <t>NEG-0508</t>
        </is>
      </c>
      <c r="B510" t="inlineStr">
        <is>
          <t>Ximena Betancur Mejía</t>
        </is>
      </c>
      <c r="C510" t="inlineStr">
        <is>
          <t>PRY-008</t>
        </is>
      </c>
      <c r="D510" t="inlineStr">
        <is>
          <t>Casa 25</t>
        </is>
      </c>
      <c r="E510" t="inlineStr">
        <is>
          <t>Luis Bedoya</t>
        </is>
      </c>
      <c r="F510" t="inlineStr">
        <is>
          <t>Perdido</t>
        </is>
      </c>
      <c r="G510" t="n">
        <v>171000000</v>
      </c>
      <c r="H510" t="n">
        <v>0</v>
      </c>
      <c r="I510" s="28" t="n">
        <v>45713</v>
      </c>
      <c r="J510" s="28" t="n">
        <v>45783</v>
      </c>
      <c r="K510" t="n">
        <v>70</v>
      </c>
      <c r="L510" t="inlineStr">
        <is>
          <t>Precio fuera de presupuesto</t>
        </is>
      </c>
    </row>
    <row r="511" ht="15.75" customHeight="1" s="25">
      <c r="A511" t="inlineStr">
        <is>
          <t>NEG-0509</t>
        </is>
      </c>
      <c r="B511" t="inlineStr">
        <is>
          <t>David Correa Toro</t>
        </is>
      </c>
      <c r="C511" t="inlineStr">
        <is>
          <t>PRY-001</t>
        </is>
      </c>
      <c r="D511" t="inlineStr">
        <is>
          <t>Apto 1704</t>
        </is>
      </c>
      <c r="E511" t="inlineStr">
        <is>
          <t>Sofía Prada</t>
        </is>
      </c>
      <c r="F511" t="inlineStr">
        <is>
          <t>Ganado</t>
        </is>
      </c>
      <c r="G511" t="n">
        <v>734000000</v>
      </c>
      <c r="H511" t="n">
        <v>1</v>
      </c>
      <c r="I511" s="28" t="n">
        <v>45714</v>
      </c>
      <c r="J511" s="28" t="n">
        <v>45796</v>
      </c>
      <c r="K511" t="n">
        <v>82</v>
      </c>
      <c r="L511" t="inlineStr">
        <is>
          <t>Promesa de compraventa firmada</t>
        </is>
      </c>
    </row>
    <row r="512" ht="15.75" customHeight="1" s="25">
      <c r="A512" t="inlineStr">
        <is>
          <t>NEG-0510</t>
        </is>
      </c>
      <c r="B512" t="inlineStr">
        <is>
          <t>Diego Peláez Vásquez</t>
        </is>
      </c>
      <c r="C512" t="inlineStr">
        <is>
          <t>PRY-001</t>
        </is>
      </c>
      <c r="D512" t="inlineStr">
        <is>
          <t>Apto 1605</t>
        </is>
      </c>
      <c r="E512" t="inlineStr">
        <is>
          <t>Luis Bedoya</t>
        </is>
      </c>
      <c r="F512" t="inlineStr">
        <is>
          <t>Ganado</t>
        </is>
      </c>
      <c r="G512" t="n">
        <v>617000000</v>
      </c>
      <c r="H512" t="n">
        <v>1</v>
      </c>
      <c r="I512" s="28" t="n">
        <v>45714</v>
      </c>
      <c r="J512" s="28" t="n">
        <v>45808</v>
      </c>
      <c r="K512" t="n">
        <v>94</v>
      </c>
      <c r="L512" t="inlineStr">
        <is>
          <t>Promesa de compraventa firmada</t>
        </is>
      </c>
    </row>
    <row r="513" ht="15.75" customHeight="1" s="25">
      <c r="A513" t="inlineStr">
        <is>
          <t>NEG-0511</t>
        </is>
      </c>
      <c r="B513" t="inlineStr">
        <is>
          <t>Valeria Ríos Espinosa</t>
        </is>
      </c>
      <c r="C513" t="inlineStr">
        <is>
          <t>PRY-002</t>
        </is>
      </c>
      <c r="D513" t="inlineStr">
        <is>
          <t>Casa 5</t>
        </is>
      </c>
      <c r="E513" t="inlineStr">
        <is>
          <t>Juliana Vélez</t>
        </is>
      </c>
      <c r="F513" t="inlineStr">
        <is>
          <t>Ganado</t>
        </is>
      </c>
      <c r="G513" t="n">
        <v>779000000</v>
      </c>
      <c r="H513" t="n">
        <v>1</v>
      </c>
      <c r="I513" s="28" t="n">
        <v>45715</v>
      </c>
      <c r="J513" s="28" t="n">
        <v>45839</v>
      </c>
      <c r="K513" t="n">
        <v>124</v>
      </c>
      <c r="L513" t="inlineStr">
        <is>
          <t>Promesa de compraventa firmada</t>
        </is>
      </c>
    </row>
    <row r="514" ht="15.75" customHeight="1" s="25">
      <c r="A514" t="inlineStr">
        <is>
          <t>NEG-0512</t>
        </is>
      </c>
      <c r="B514" t="inlineStr">
        <is>
          <t>Camila Castaño Henao</t>
        </is>
      </c>
      <c r="C514" t="inlineStr">
        <is>
          <t>PRY-008</t>
        </is>
      </c>
      <c r="D514" t="inlineStr">
        <is>
          <t>Casa 89</t>
        </is>
      </c>
      <c r="E514" t="inlineStr">
        <is>
          <t>Sofía Prada</t>
        </is>
      </c>
      <c r="F514" t="inlineStr">
        <is>
          <t>Ganado</t>
        </is>
      </c>
      <c r="G514" t="n">
        <v>154000000</v>
      </c>
      <c r="H514" t="n">
        <v>1</v>
      </c>
      <c r="I514" s="28" t="n">
        <v>45715</v>
      </c>
      <c r="J514" s="28" t="n">
        <v>45775</v>
      </c>
      <c r="K514" t="n">
        <v>60</v>
      </c>
      <c r="L514" t="inlineStr">
        <is>
          <t>Promesa de compraventa firmada</t>
        </is>
      </c>
    </row>
    <row r="515" ht="15.75" customHeight="1" s="25">
      <c r="A515" t="inlineStr">
        <is>
          <t>NEG-0513</t>
        </is>
      </c>
      <c r="B515" t="inlineStr">
        <is>
          <t>David Henao Cardona</t>
        </is>
      </c>
      <c r="C515" t="inlineStr">
        <is>
          <t>PRY-005</t>
        </is>
      </c>
      <c r="D515" t="inlineStr">
        <is>
          <t>Casa 30</t>
        </is>
      </c>
      <c r="E515" t="inlineStr">
        <is>
          <t>Luis Bedoya</t>
        </is>
      </c>
      <c r="F515" t="inlineStr">
        <is>
          <t>Perdido</t>
        </is>
      </c>
      <c r="G515" t="n">
        <v>325000000</v>
      </c>
      <c r="H515" t="n">
        <v>0</v>
      </c>
      <c r="I515" s="28" t="n">
        <v>45716</v>
      </c>
      <c r="J515" s="28" t="n">
        <v>45813</v>
      </c>
      <c r="K515" t="n">
        <v>97</v>
      </c>
      <c r="L515" t="inlineStr">
        <is>
          <t>Eligió otro proyecto</t>
        </is>
      </c>
    </row>
    <row r="516" ht="15.75" customHeight="1" s="25">
      <c r="A516" t="inlineStr">
        <is>
          <t>NEG-0514</t>
        </is>
      </c>
      <c r="B516" t="inlineStr">
        <is>
          <t>Valeria Ríos Álvarez</t>
        </is>
      </c>
      <c r="C516" t="inlineStr">
        <is>
          <t>PRY-002</t>
        </is>
      </c>
      <c r="D516" t="inlineStr">
        <is>
          <t>Casa 2</t>
        </is>
      </c>
      <c r="E516" t="inlineStr">
        <is>
          <t>Miguel Salazar</t>
        </is>
      </c>
      <c r="F516" t="inlineStr">
        <is>
          <t>Perdido</t>
        </is>
      </c>
      <c r="G516" t="n">
        <v>690000000</v>
      </c>
      <c r="H516" t="n">
        <v>0</v>
      </c>
      <c r="I516" s="28" t="n">
        <v>45719</v>
      </c>
      <c r="J516" s="28" t="n">
        <v>45838</v>
      </c>
      <c r="K516" t="n">
        <v>119</v>
      </c>
      <c r="L516" t="inlineStr">
        <is>
          <t>Desistió de la compra</t>
        </is>
      </c>
    </row>
    <row r="517" ht="15.75" customHeight="1" s="25">
      <c r="A517" t="inlineStr">
        <is>
          <t>NEG-0515</t>
        </is>
      </c>
      <c r="B517" t="inlineStr">
        <is>
          <t>Alejandra Peláez Bedoya</t>
        </is>
      </c>
      <c r="C517" t="inlineStr">
        <is>
          <t>PRY-007</t>
        </is>
      </c>
      <c r="D517" t="inlineStr">
        <is>
          <t>Apto 903</t>
        </is>
      </c>
      <c r="E517" t="inlineStr">
        <is>
          <t>Ana Quintero</t>
        </is>
      </c>
      <c r="F517" t="inlineStr">
        <is>
          <t>Ganado</t>
        </is>
      </c>
      <c r="G517" t="n">
        <v>782000000</v>
      </c>
      <c r="H517" t="n">
        <v>1</v>
      </c>
      <c r="I517" s="28" t="n">
        <v>45719</v>
      </c>
      <c r="J517" s="28" t="n">
        <v>45821</v>
      </c>
      <c r="K517" t="n">
        <v>102</v>
      </c>
      <c r="L517" t="inlineStr">
        <is>
          <t>Promesa de compraventa firmada</t>
        </is>
      </c>
    </row>
    <row r="518" ht="15.75" customHeight="1" s="25">
      <c r="A518" t="inlineStr">
        <is>
          <t>NEG-0516</t>
        </is>
      </c>
      <c r="B518" t="inlineStr">
        <is>
          <t>Fernando Álvarez Zuluaga</t>
        </is>
      </c>
      <c r="C518" t="inlineStr">
        <is>
          <t>PRY-007</t>
        </is>
      </c>
      <c r="D518" t="inlineStr">
        <is>
          <t>Apto 802</t>
        </is>
      </c>
      <c r="E518" t="inlineStr">
        <is>
          <t>Ana Quintero</t>
        </is>
      </c>
      <c r="F518" t="inlineStr">
        <is>
          <t>Ganado</t>
        </is>
      </c>
      <c r="G518" t="n">
        <v>748000000</v>
      </c>
      <c r="H518" t="n">
        <v>1</v>
      </c>
      <c r="I518" s="28" t="n">
        <v>45721</v>
      </c>
      <c r="J518" s="28" t="n">
        <v>45796</v>
      </c>
      <c r="K518" t="n">
        <v>75</v>
      </c>
      <c r="L518" t="inlineStr">
        <is>
          <t>Promesa de compraventa firmada</t>
        </is>
      </c>
    </row>
    <row r="519" ht="15.75" customHeight="1" s="25">
      <c r="A519" t="inlineStr">
        <is>
          <t>NEG-0517</t>
        </is>
      </c>
      <c r="B519" t="inlineStr">
        <is>
          <t>Julián Uribe Sánchez</t>
        </is>
      </c>
      <c r="C519" t="inlineStr">
        <is>
          <t>PRY-003</t>
        </is>
      </c>
      <c r="D519" t="inlineStr">
        <is>
          <t>Apto 2001</t>
        </is>
      </c>
      <c r="E519" t="inlineStr">
        <is>
          <t>Andrés Torres</t>
        </is>
      </c>
      <c r="F519" t="inlineStr">
        <is>
          <t>Perdido</t>
        </is>
      </c>
      <c r="G519" t="n">
        <v>427000000</v>
      </c>
      <c r="H519" t="n">
        <v>0</v>
      </c>
      <c r="I519" s="28" t="n">
        <v>45722</v>
      </c>
      <c r="J519" s="28" t="n">
        <v>45784</v>
      </c>
      <c r="K519" t="n">
        <v>62</v>
      </c>
      <c r="L519" t="inlineStr">
        <is>
          <t>No volvió a responder</t>
        </is>
      </c>
    </row>
    <row r="520" ht="15.75" customHeight="1" s="25">
      <c r="A520" t="inlineStr">
        <is>
          <t>NEG-0518</t>
        </is>
      </c>
      <c r="B520" t="inlineStr">
        <is>
          <t>Diego Gómez Salcedo</t>
        </is>
      </c>
      <c r="C520" t="inlineStr">
        <is>
          <t>PRY-003</t>
        </is>
      </c>
      <c r="D520" t="inlineStr">
        <is>
          <t>Apto 1008</t>
        </is>
      </c>
      <c r="E520" t="inlineStr">
        <is>
          <t>Paula Arenas</t>
        </is>
      </c>
      <c r="F520" t="inlineStr">
        <is>
          <t>Ganado</t>
        </is>
      </c>
      <c r="G520" t="n">
        <v>338000000</v>
      </c>
      <c r="H520" t="n">
        <v>1</v>
      </c>
      <c r="I520" s="28" t="n">
        <v>45723</v>
      </c>
      <c r="J520" s="28" t="n">
        <v>45752</v>
      </c>
      <c r="K520" t="n">
        <v>29</v>
      </c>
      <c r="L520" t="inlineStr">
        <is>
          <t>Promesa de compraventa firmada</t>
        </is>
      </c>
    </row>
    <row r="521" ht="15.75" customHeight="1" s="25">
      <c r="A521" t="inlineStr">
        <is>
          <t>NEG-0519</t>
        </is>
      </c>
      <c r="B521" t="inlineStr">
        <is>
          <t>Manuela Zapata Ramírez</t>
        </is>
      </c>
      <c r="C521" t="inlineStr">
        <is>
          <t>PRY-004</t>
        </is>
      </c>
      <c r="D521" t="inlineStr">
        <is>
          <t>Casa 30</t>
        </is>
      </c>
      <c r="E521" t="inlineStr">
        <is>
          <t>Sofía Prada</t>
        </is>
      </c>
      <c r="F521" t="inlineStr">
        <is>
          <t>Perdido</t>
        </is>
      </c>
      <c r="G521" t="n">
        <v>461000000</v>
      </c>
      <c r="H521" t="n">
        <v>0</v>
      </c>
      <c r="I521" s="28" t="n">
        <v>45723</v>
      </c>
      <c r="J521" s="28" t="n">
        <v>45769</v>
      </c>
      <c r="K521" t="n">
        <v>46</v>
      </c>
      <c r="L521" t="inlineStr">
        <is>
          <t>Eligió otro proyecto</t>
        </is>
      </c>
    </row>
    <row r="522" ht="15.75" customHeight="1" s="25">
      <c r="A522" t="inlineStr">
        <is>
          <t>NEG-0520</t>
        </is>
      </c>
      <c r="B522" t="inlineStr">
        <is>
          <t>Rodrigo Toro Montes</t>
        </is>
      </c>
      <c r="C522" t="inlineStr">
        <is>
          <t>PRY-008</t>
        </is>
      </c>
      <c r="D522" t="inlineStr">
        <is>
          <t>Casa 97</t>
        </is>
      </c>
      <c r="E522" t="inlineStr">
        <is>
          <t>Miguel Salazar</t>
        </is>
      </c>
      <c r="F522" t="inlineStr">
        <is>
          <t>Ganado</t>
        </is>
      </c>
      <c r="G522" t="n">
        <v>176000000</v>
      </c>
      <c r="H522" t="n">
        <v>1</v>
      </c>
      <c r="I522" s="28" t="n">
        <v>45723</v>
      </c>
      <c r="J522" s="28" t="n">
        <v>45793</v>
      </c>
      <c r="K522" t="n">
        <v>70</v>
      </c>
      <c r="L522" t="inlineStr">
        <is>
          <t>Promesa de compraventa firmada</t>
        </is>
      </c>
    </row>
    <row r="523" ht="15.75" customHeight="1" s="25">
      <c r="A523" t="inlineStr">
        <is>
          <t>NEG-0521</t>
        </is>
      </c>
      <c r="B523" t="inlineStr">
        <is>
          <t>María Higuita Londoño</t>
        </is>
      </c>
      <c r="C523" t="inlineStr">
        <is>
          <t>PRY-005</t>
        </is>
      </c>
      <c r="D523" t="inlineStr">
        <is>
          <t>Casa 37</t>
        </is>
      </c>
      <c r="E523" t="inlineStr">
        <is>
          <t>Sofía Prada</t>
        </is>
      </c>
      <c r="F523" t="inlineStr">
        <is>
          <t>Ganado</t>
        </is>
      </c>
      <c r="G523" t="n">
        <v>459000000</v>
      </c>
      <c r="H523" t="n">
        <v>1</v>
      </c>
      <c r="I523" s="28" t="n">
        <v>45724</v>
      </c>
      <c r="J523" s="28" t="n">
        <v>45796</v>
      </c>
      <c r="K523" t="n">
        <v>72</v>
      </c>
      <c r="L523" t="inlineStr">
        <is>
          <t>Promesa de compraventa firmada</t>
        </is>
      </c>
    </row>
    <row r="524" ht="15.75" customHeight="1" s="25">
      <c r="A524" t="inlineStr">
        <is>
          <t>NEG-0522</t>
        </is>
      </c>
      <c r="B524" t="inlineStr">
        <is>
          <t>Simón Zapata Cardona</t>
        </is>
      </c>
      <c r="C524" t="inlineStr">
        <is>
          <t>PRY-008</t>
        </is>
      </c>
      <c r="D524" t="inlineStr">
        <is>
          <t>Casa 83</t>
        </is>
      </c>
      <c r="E524" t="inlineStr">
        <is>
          <t>Ana Quintero</t>
        </is>
      </c>
      <c r="F524" t="inlineStr">
        <is>
          <t>Ganado</t>
        </is>
      </c>
      <c r="G524" t="n">
        <v>160000000</v>
      </c>
      <c r="H524" t="n">
        <v>1</v>
      </c>
      <c r="I524" s="28" t="n">
        <v>45724</v>
      </c>
      <c r="J524" s="28" t="n">
        <v>45753</v>
      </c>
      <c r="K524" t="n">
        <v>29</v>
      </c>
      <c r="L524" t="inlineStr">
        <is>
          <t>Promesa de compraventa firmada</t>
        </is>
      </c>
    </row>
    <row r="525" ht="15.75" customHeight="1" s="25">
      <c r="A525" t="inlineStr">
        <is>
          <t>NEG-0523</t>
        </is>
      </c>
      <c r="B525" t="inlineStr">
        <is>
          <t>Valeria Gómez Rojas</t>
        </is>
      </c>
      <c r="C525" t="inlineStr">
        <is>
          <t>PRY-006</t>
        </is>
      </c>
      <c r="D525" t="inlineStr">
        <is>
          <t>Local 1</t>
        </is>
      </c>
      <c r="E525" t="inlineStr">
        <is>
          <t>Luis Bedoya</t>
        </is>
      </c>
      <c r="F525" t="inlineStr">
        <is>
          <t>Perdido</t>
        </is>
      </c>
      <c r="G525" t="n">
        <v>684000000</v>
      </c>
      <c r="H525" t="n">
        <v>0</v>
      </c>
      <c r="I525" s="28" t="n">
        <v>45725</v>
      </c>
      <c r="J525" s="28" t="n">
        <v>45865</v>
      </c>
      <c r="K525" t="n">
        <v>140</v>
      </c>
      <c r="L525" t="inlineStr">
        <is>
          <t>Crédito no aprobado</t>
        </is>
      </c>
    </row>
    <row r="526" ht="15.75" customHeight="1" s="25">
      <c r="A526" t="inlineStr">
        <is>
          <t>NEG-0524</t>
        </is>
      </c>
      <c r="B526" t="inlineStr">
        <is>
          <t>Mauricio Cardona Higuita</t>
        </is>
      </c>
      <c r="C526" t="inlineStr">
        <is>
          <t>PRY-007</t>
        </is>
      </c>
      <c r="D526" t="inlineStr">
        <is>
          <t>Apto 805</t>
        </is>
      </c>
      <c r="E526" t="inlineStr">
        <is>
          <t>Juliana Vélez</t>
        </is>
      </c>
      <c r="F526" t="inlineStr">
        <is>
          <t>Ganado</t>
        </is>
      </c>
      <c r="G526" t="n">
        <v>736000000</v>
      </c>
      <c r="H526" t="n">
        <v>1</v>
      </c>
      <c r="I526" s="28" t="n">
        <v>45726</v>
      </c>
      <c r="J526" s="28" t="n">
        <v>45824</v>
      </c>
      <c r="K526" t="n">
        <v>98</v>
      </c>
      <c r="L526" t="inlineStr">
        <is>
          <t>Promesa de compraventa firmada</t>
        </is>
      </c>
    </row>
    <row r="527" ht="15.75" customHeight="1" s="25">
      <c r="A527" t="inlineStr">
        <is>
          <t>NEG-0525</t>
        </is>
      </c>
      <c r="B527" t="inlineStr">
        <is>
          <t>Alejandro Sánchez Uribe</t>
        </is>
      </c>
      <c r="C527" t="inlineStr">
        <is>
          <t>PRY-001</t>
        </is>
      </c>
      <c r="D527" t="inlineStr">
        <is>
          <t>Apto 202</t>
        </is>
      </c>
      <c r="E527" t="inlineStr">
        <is>
          <t>Luis Bedoya</t>
        </is>
      </c>
      <c r="F527" t="inlineStr">
        <is>
          <t>Ganado</t>
        </is>
      </c>
      <c r="G527" t="n">
        <v>697000000</v>
      </c>
      <c r="H527" t="n">
        <v>1</v>
      </c>
      <c r="I527" s="28" t="n">
        <v>45728</v>
      </c>
      <c r="J527" s="28" t="n">
        <v>45816</v>
      </c>
      <c r="K527" t="n">
        <v>88</v>
      </c>
      <c r="L527" t="inlineStr">
        <is>
          <t>Promesa de compraventa firmada</t>
        </is>
      </c>
    </row>
    <row r="528" ht="15.75" customHeight="1" s="25">
      <c r="A528" t="inlineStr">
        <is>
          <t>NEG-0526</t>
        </is>
      </c>
      <c r="B528" t="inlineStr">
        <is>
          <t>Isabel Jaramillo López</t>
        </is>
      </c>
      <c r="C528" t="inlineStr">
        <is>
          <t>PRY-003</t>
        </is>
      </c>
      <c r="D528" t="inlineStr">
        <is>
          <t>Apto 501</t>
        </is>
      </c>
      <c r="E528" t="inlineStr">
        <is>
          <t>Andrés Torres</t>
        </is>
      </c>
      <c r="F528" t="inlineStr">
        <is>
          <t>Perdido</t>
        </is>
      </c>
      <c r="G528" t="n">
        <v>360000000</v>
      </c>
      <c r="H528" t="n">
        <v>0</v>
      </c>
      <c r="I528" s="28" t="n">
        <v>45729</v>
      </c>
      <c r="J528" s="28" t="n">
        <v>45772</v>
      </c>
      <c r="K528" t="n">
        <v>43</v>
      </c>
      <c r="L528" t="inlineStr">
        <is>
          <t>Eligió otro proyecto</t>
        </is>
      </c>
    </row>
    <row r="529" ht="15.75" customHeight="1" s="25">
      <c r="A529" t="inlineStr">
        <is>
          <t>NEG-0527</t>
        </is>
      </c>
      <c r="B529" t="inlineStr">
        <is>
          <t>Sofía Henao Salazar</t>
        </is>
      </c>
      <c r="C529" t="inlineStr">
        <is>
          <t>PRY-003</t>
        </is>
      </c>
      <c r="D529" t="inlineStr">
        <is>
          <t>Apto 901</t>
        </is>
      </c>
      <c r="E529" t="inlineStr">
        <is>
          <t>Daniela Ríos</t>
        </is>
      </c>
      <c r="F529" t="inlineStr">
        <is>
          <t>Ganado</t>
        </is>
      </c>
      <c r="G529" t="n">
        <v>390000000</v>
      </c>
      <c r="H529" t="n">
        <v>1</v>
      </c>
      <c r="I529" s="28" t="n">
        <v>45730</v>
      </c>
      <c r="J529" s="28" t="n">
        <v>45816</v>
      </c>
      <c r="K529" t="n">
        <v>86</v>
      </c>
      <c r="L529" t="inlineStr">
        <is>
          <t>Promesa de compraventa firmada</t>
        </is>
      </c>
    </row>
    <row r="530" ht="15.75" customHeight="1" s="25">
      <c r="A530" t="inlineStr">
        <is>
          <t>NEG-0528</t>
        </is>
      </c>
      <c r="B530" t="inlineStr">
        <is>
          <t>Sofía Gaviria Gaviria</t>
        </is>
      </c>
      <c r="C530" t="inlineStr">
        <is>
          <t>PRY-001</t>
        </is>
      </c>
      <c r="D530" t="inlineStr">
        <is>
          <t>Apto 1004</t>
        </is>
      </c>
      <c r="E530" t="inlineStr">
        <is>
          <t>Juliana Vélez</t>
        </is>
      </c>
      <c r="F530" t="inlineStr">
        <is>
          <t>Ganado</t>
        </is>
      </c>
      <c r="G530" t="n">
        <v>688000000</v>
      </c>
      <c r="H530" t="n">
        <v>1</v>
      </c>
      <c r="I530" s="28" t="n">
        <v>45731</v>
      </c>
      <c r="J530" s="28" t="n">
        <v>45803</v>
      </c>
      <c r="K530" t="n">
        <v>72</v>
      </c>
      <c r="L530" t="inlineStr">
        <is>
          <t>Promesa de compraventa firmada</t>
        </is>
      </c>
    </row>
    <row r="531" ht="15.75" customHeight="1" s="25">
      <c r="A531" t="inlineStr">
        <is>
          <t>NEG-0529</t>
        </is>
      </c>
      <c r="B531" t="inlineStr">
        <is>
          <t>Daniela Valencia Ríos</t>
        </is>
      </c>
      <c r="C531" t="inlineStr">
        <is>
          <t>PRY-005</t>
        </is>
      </c>
      <c r="D531" t="inlineStr">
        <is>
          <t>Casa 26</t>
        </is>
      </c>
      <c r="E531" t="inlineStr">
        <is>
          <t>Daniela Ríos</t>
        </is>
      </c>
      <c r="F531" t="inlineStr">
        <is>
          <t>Perdido</t>
        </is>
      </c>
      <c r="G531" t="n">
        <v>401000000</v>
      </c>
      <c r="H531" t="n">
        <v>0</v>
      </c>
      <c r="I531" s="28" t="n">
        <v>45731</v>
      </c>
      <c r="J531" s="28" t="n">
        <v>45787</v>
      </c>
      <c r="K531" t="n">
        <v>56</v>
      </c>
      <c r="L531" t="inlineStr">
        <is>
          <t>Precio fuera de presupuesto</t>
        </is>
      </c>
    </row>
    <row r="532" ht="15.75" customHeight="1" s="25">
      <c r="A532" t="inlineStr">
        <is>
          <t>NEG-0530</t>
        </is>
      </c>
      <c r="B532" t="inlineStr">
        <is>
          <t>Santiago Valencia Toro</t>
        </is>
      </c>
      <c r="C532" t="inlineStr">
        <is>
          <t>PRY-006</t>
        </is>
      </c>
      <c r="D532" t="inlineStr">
        <is>
          <t>Local 6</t>
        </is>
      </c>
      <c r="E532" t="inlineStr">
        <is>
          <t>Luis Bedoya</t>
        </is>
      </c>
      <c r="F532" t="inlineStr">
        <is>
          <t>Perdido</t>
        </is>
      </c>
      <c r="G532" t="n">
        <v>706000000</v>
      </c>
      <c r="H532" t="n">
        <v>0</v>
      </c>
      <c r="I532" s="28" t="n">
        <v>45732</v>
      </c>
      <c r="J532" s="28" t="n">
        <v>45836</v>
      </c>
      <c r="K532" t="n">
        <v>104</v>
      </c>
      <c r="L532" t="inlineStr">
        <is>
          <t>Eligió otro proyecto</t>
        </is>
      </c>
    </row>
    <row r="533" ht="15.75" customHeight="1" s="25">
      <c r="A533" t="inlineStr">
        <is>
          <t>NEG-0531</t>
        </is>
      </c>
      <c r="B533" t="inlineStr">
        <is>
          <t>Valentina Londoño Duque</t>
        </is>
      </c>
      <c r="C533" t="inlineStr">
        <is>
          <t>PRY-001</t>
        </is>
      </c>
      <c r="D533" t="inlineStr">
        <is>
          <t>Apto 2004</t>
        </is>
      </c>
      <c r="E533" t="inlineStr">
        <is>
          <t>Santiago Muñoz</t>
        </is>
      </c>
      <c r="F533" t="inlineStr">
        <is>
          <t>Perdido</t>
        </is>
      </c>
      <c r="G533" t="n">
        <v>678000000</v>
      </c>
      <c r="H533" t="n">
        <v>0</v>
      </c>
      <c r="I533" s="28" t="n">
        <v>45734</v>
      </c>
      <c r="J533" s="28" t="n">
        <v>45778</v>
      </c>
      <c r="K533" t="n">
        <v>44</v>
      </c>
      <c r="L533" t="inlineStr">
        <is>
          <t>Precio fuera de presupuesto</t>
        </is>
      </c>
    </row>
    <row r="534" ht="15.75" customHeight="1" s="25">
      <c r="A534" t="inlineStr">
        <is>
          <t>NEG-0532</t>
        </is>
      </c>
      <c r="B534" t="inlineStr">
        <is>
          <t>Sara Restrepo Henao</t>
        </is>
      </c>
      <c r="C534" t="inlineStr">
        <is>
          <t>PRY-002</t>
        </is>
      </c>
      <c r="D534" t="inlineStr">
        <is>
          <t>Casa 50</t>
        </is>
      </c>
      <c r="E534" t="inlineStr">
        <is>
          <t>Miguel Salazar</t>
        </is>
      </c>
      <c r="F534" t="inlineStr">
        <is>
          <t>Ganado</t>
        </is>
      </c>
      <c r="G534" t="n">
        <v>705000000</v>
      </c>
      <c r="H534" t="n">
        <v>1</v>
      </c>
      <c r="I534" s="28" t="n">
        <v>45734</v>
      </c>
      <c r="J534" s="28" t="n">
        <v>45832</v>
      </c>
      <c r="K534" t="n">
        <v>98</v>
      </c>
      <c r="L534" t="inlineStr">
        <is>
          <t>Promesa de compraventa firmada</t>
        </is>
      </c>
    </row>
    <row r="535" ht="15.75" customHeight="1" s="25">
      <c r="A535" t="inlineStr">
        <is>
          <t>NEG-0533</t>
        </is>
      </c>
      <c r="B535" t="inlineStr">
        <is>
          <t>María Vásquez Betancur</t>
        </is>
      </c>
      <c r="C535" t="inlineStr">
        <is>
          <t>PRY-003</t>
        </is>
      </c>
      <c r="D535" t="inlineStr">
        <is>
          <t>Apto 2603</t>
        </is>
      </c>
      <c r="E535" t="inlineStr">
        <is>
          <t>Santiago Muñoz</t>
        </is>
      </c>
      <c r="F535" t="inlineStr">
        <is>
          <t>Ganado</t>
        </is>
      </c>
      <c r="G535" t="n">
        <v>379000000</v>
      </c>
      <c r="H535" t="n">
        <v>1</v>
      </c>
      <c r="I535" s="28" t="n">
        <v>45735</v>
      </c>
      <c r="J535" s="28" t="n">
        <v>45801</v>
      </c>
      <c r="K535" t="n">
        <v>66</v>
      </c>
      <c r="L535" t="inlineStr">
        <is>
          <t>Promesa de compraventa firmada</t>
        </is>
      </c>
    </row>
    <row r="536" ht="15.75" customHeight="1" s="25">
      <c r="A536" t="inlineStr">
        <is>
          <t>NEG-0534</t>
        </is>
      </c>
      <c r="B536" t="inlineStr">
        <is>
          <t>Gloria Montes Cifuentes</t>
        </is>
      </c>
      <c r="C536" t="inlineStr">
        <is>
          <t>PRY-003</t>
        </is>
      </c>
      <c r="D536" t="inlineStr">
        <is>
          <t>Apto 308</t>
        </is>
      </c>
      <c r="E536" t="inlineStr">
        <is>
          <t>Miguel Salazar</t>
        </is>
      </c>
      <c r="F536" t="inlineStr">
        <is>
          <t>Ganado</t>
        </is>
      </c>
      <c r="G536" t="n">
        <v>387000000</v>
      </c>
      <c r="H536" t="n">
        <v>1</v>
      </c>
      <c r="I536" s="28" t="n">
        <v>45735</v>
      </c>
      <c r="J536" s="28" t="n">
        <v>45802</v>
      </c>
      <c r="K536" t="n">
        <v>67</v>
      </c>
      <c r="L536" t="inlineStr">
        <is>
          <t>Promesa de compraventa firmada</t>
        </is>
      </c>
    </row>
    <row r="537" ht="15.75" customHeight="1" s="25">
      <c r="A537" t="inlineStr">
        <is>
          <t>NEG-0535</t>
        </is>
      </c>
      <c r="B537" t="inlineStr">
        <is>
          <t>Camila Franco Álvarez</t>
        </is>
      </c>
      <c r="C537" t="inlineStr">
        <is>
          <t>PRY-001</t>
        </is>
      </c>
      <c r="D537" t="inlineStr">
        <is>
          <t>Apto 905</t>
        </is>
      </c>
      <c r="E537" t="inlineStr">
        <is>
          <t>Miguel Salazar</t>
        </is>
      </c>
      <c r="F537" t="inlineStr">
        <is>
          <t>Perdido</t>
        </is>
      </c>
      <c r="G537" t="n">
        <v>665000000</v>
      </c>
      <c r="H537" t="n">
        <v>0</v>
      </c>
      <c r="I537" s="28" t="n">
        <v>45736</v>
      </c>
      <c r="J537" s="28" t="n">
        <v>45848</v>
      </c>
      <c r="K537" t="n">
        <v>112</v>
      </c>
      <c r="L537" t="inlineStr">
        <is>
          <t>No volvió a responder</t>
        </is>
      </c>
    </row>
    <row r="538" ht="15.75" customHeight="1" s="25">
      <c r="A538" t="inlineStr">
        <is>
          <t>NEG-0536</t>
        </is>
      </c>
      <c r="B538" t="inlineStr">
        <is>
          <t>Mateo Montes Cano</t>
        </is>
      </c>
      <c r="C538" t="inlineStr">
        <is>
          <t>PRY-003</t>
        </is>
      </c>
      <c r="D538" t="inlineStr">
        <is>
          <t>Apto 1206</t>
        </is>
      </c>
      <c r="E538" t="inlineStr">
        <is>
          <t>Luis Bedoya</t>
        </is>
      </c>
      <c r="F538" t="inlineStr">
        <is>
          <t>Ganado</t>
        </is>
      </c>
      <c r="G538" t="n">
        <v>361000000</v>
      </c>
      <c r="H538" t="n">
        <v>1</v>
      </c>
      <c r="I538" s="28" t="n">
        <v>45736</v>
      </c>
      <c r="J538" s="28" t="n">
        <v>45812</v>
      </c>
      <c r="K538" t="n">
        <v>76</v>
      </c>
      <c r="L538" t="inlineStr">
        <is>
          <t>Promesa de compraventa firmada</t>
        </is>
      </c>
    </row>
    <row r="539" ht="15.75" customHeight="1" s="25">
      <c r="A539" t="inlineStr">
        <is>
          <t>NEG-0537</t>
        </is>
      </c>
      <c r="B539" t="inlineStr">
        <is>
          <t>Sofía Duque Zapata</t>
        </is>
      </c>
      <c r="C539" t="inlineStr">
        <is>
          <t>PRY-003</t>
        </is>
      </c>
      <c r="D539" t="inlineStr">
        <is>
          <t>Apto 1408</t>
        </is>
      </c>
      <c r="E539" t="inlineStr">
        <is>
          <t>Paula Arenas</t>
        </is>
      </c>
      <c r="F539" t="inlineStr">
        <is>
          <t>Ganado</t>
        </is>
      </c>
      <c r="G539" t="n">
        <v>370000000</v>
      </c>
      <c r="H539" t="n">
        <v>1</v>
      </c>
      <c r="I539" s="28" t="n">
        <v>45737</v>
      </c>
      <c r="J539" s="28" t="n">
        <v>45779</v>
      </c>
      <c r="K539" t="n">
        <v>42</v>
      </c>
      <c r="L539" t="inlineStr">
        <is>
          <t>Promesa de compraventa firmada</t>
        </is>
      </c>
    </row>
    <row r="540" ht="15.75" customHeight="1" s="25">
      <c r="A540" t="inlineStr">
        <is>
          <t>NEG-0538</t>
        </is>
      </c>
      <c r="B540" t="inlineStr">
        <is>
          <t>Mauricio Ríos Hernández</t>
        </is>
      </c>
      <c r="C540" t="inlineStr">
        <is>
          <t>PRY-005</t>
        </is>
      </c>
      <c r="D540" t="inlineStr">
        <is>
          <t>Casa 9</t>
        </is>
      </c>
      <c r="E540" t="inlineStr">
        <is>
          <t>Miguel Salazar</t>
        </is>
      </c>
      <c r="F540" t="inlineStr">
        <is>
          <t>Ganado</t>
        </is>
      </c>
      <c r="G540" t="n">
        <v>335000000</v>
      </c>
      <c r="H540" t="n">
        <v>1</v>
      </c>
      <c r="I540" s="28" t="n">
        <v>45741</v>
      </c>
      <c r="J540" s="28" t="n">
        <v>45809</v>
      </c>
      <c r="K540" t="n">
        <v>68</v>
      </c>
      <c r="L540" t="inlineStr">
        <is>
          <t>Promesa de compraventa firmada</t>
        </is>
      </c>
    </row>
    <row r="541" ht="15.75" customHeight="1" s="25">
      <c r="A541" t="inlineStr">
        <is>
          <t>NEG-0539</t>
        </is>
      </c>
      <c r="B541" t="inlineStr">
        <is>
          <t>Sofía Ramírez Jaramillo</t>
        </is>
      </c>
      <c r="C541" t="inlineStr">
        <is>
          <t>PRY-005</t>
        </is>
      </c>
      <c r="D541" t="inlineStr">
        <is>
          <t>Apto 504</t>
        </is>
      </c>
      <c r="E541" t="inlineStr">
        <is>
          <t>Ana Quintero</t>
        </is>
      </c>
      <c r="F541" t="inlineStr">
        <is>
          <t>Ganado</t>
        </is>
      </c>
      <c r="G541" t="n">
        <v>454000000</v>
      </c>
      <c r="H541" t="n">
        <v>1</v>
      </c>
      <c r="I541" s="28" t="n">
        <v>45741</v>
      </c>
      <c r="J541" s="28" t="n">
        <v>45830</v>
      </c>
      <c r="K541" t="n">
        <v>89</v>
      </c>
      <c r="L541" t="inlineStr">
        <is>
          <t>Promesa de compraventa firmada</t>
        </is>
      </c>
    </row>
    <row r="542" ht="15.75" customHeight="1" s="25">
      <c r="A542" t="inlineStr">
        <is>
          <t>NEG-0540</t>
        </is>
      </c>
      <c r="B542" t="inlineStr">
        <is>
          <t>Paola Hernández López</t>
        </is>
      </c>
      <c r="C542" t="inlineStr">
        <is>
          <t>PRY-002</t>
        </is>
      </c>
      <c r="D542" t="inlineStr">
        <is>
          <t>Casa 21</t>
        </is>
      </c>
      <c r="E542" t="inlineStr">
        <is>
          <t>Miguel Salazar</t>
        </is>
      </c>
      <c r="F542" t="inlineStr">
        <is>
          <t>Ganado</t>
        </is>
      </c>
      <c r="G542" t="n">
        <v>761000000</v>
      </c>
      <c r="H542" t="n">
        <v>1</v>
      </c>
      <c r="I542" s="28" t="n">
        <v>45742</v>
      </c>
      <c r="J542" s="28" t="n">
        <v>45834</v>
      </c>
      <c r="K542" t="n">
        <v>92</v>
      </c>
      <c r="L542" t="inlineStr">
        <is>
          <t>Promesa de compraventa firmada</t>
        </is>
      </c>
    </row>
    <row r="543" ht="15.75" customHeight="1" s="25">
      <c r="A543" t="inlineStr">
        <is>
          <t>NEG-0541</t>
        </is>
      </c>
      <c r="B543" t="inlineStr">
        <is>
          <t>Tomás Cifuentes Bedoya</t>
        </is>
      </c>
      <c r="C543" t="inlineStr">
        <is>
          <t>PRY-006</t>
        </is>
      </c>
      <c r="D543" t="inlineStr">
        <is>
          <t>Local 5</t>
        </is>
      </c>
      <c r="E543" t="inlineStr">
        <is>
          <t>Sofía Prada</t>
        </is>
      </c>
      <c r="F543" t="inlineStr">
        <is>
          <t>Ganado</t>
        </is>
      </c>
      <c r="G543" t="n">
        <v>535000000</v>
      </c>
      <c r="H543" t="n">
        <v>1</v>
      </c>
      <c r="I543" s="28" t="n">
        <v>45742</v>
      </c>
      <c r="J543" s="28" t="n">
        <v>45827</v>
      </c>
      <c r="K543" t="n">
        <v>85</v>
      </c>
      <c r="L543" t="inlineStr">
        <is>
          <t>Promesa de compraventa firmada</t>
        </is>
      </c>
    </row>
    <row r="544" ht="15.75" customHeight="1" s="25">
      <c r="A544" t="inlineStr">
        <is>
          <t>NEG-0542</t>
        </is>
      </c>
      <c r="B544" t="inlineStr">
        <is>
          <t>Gabriel Vásquez Salcedo</t>
        </is>
      </c>
      <c r="C544" t="inlineStr">
        <is>
          <t>PRY-002</t>
        </is>
      </c>
      <c r="D544" t="inlineStr">
        <is>
          <t>Casa 58</t>
        </is>
      </c>
      <c r="E544" t="inlineStr">
        <is>
          <t>Ana Quintero</t>
        </is>
      </c>
      <c r="F544" t="inlineStr">
        <is>
          <t>Perdido</t>
        </is>
      </c>
      <c r="G544" t="n">
        <v>763000000</v>
      </c>
      <c r="H544" t="n">
        <v>0</v>
      </c>
      <c r="I544" s="28" t="n">
        <v>45743</v>
      </c>
      <c r="J544" s="28" t="n">
        <v>45847</v>
      </c>
      <c r="K544" t="n">
        <v>104</v>
      </c>
      <c r="L544" t="inlineStr">
        <is>
          <t>Precio fuera de presupuesto</t>
        </is>
      </c>
    </row>
    <row r="545" ht="15.75" customHeight="1" s="25">
      <c r="A545" t="inlineStr">
        <is>
          <t>NEG-0543</t>
        </is>
      </c>
      <c r="B545" t="inlineStr">
        <is>
          <t>Jorge Londoño Arango</t>
        </is>
      </c>
      <c r="C545" t="inlineStr">
        <is>
          <t>PRY-001</t>
        </is>
      </c>
      <c r="D545" t="inlineStr">
        <is>
          <t>Apto 1103</t>
        </is>
      </c>
      <c r="E545" t="inlineStr">
        <is>
          <t>Ana Quintero</t>
        </is>
      </c>
      <c r="F545" t="inlineStr">
        <is>
          <t>Perdido</t>
        </is>
      </c>
      <c r="G545" t="n">
        <v>618000000</v>
      </c>
      <c r="H545" t="n">
        <v>0</v>
      </c>
      <c r="I545" s="28" t="n">
        <v>45744</v>
      </c>
      <c r="J545" s="28" t="n">
        <v>45788</v>
      </c>
      <c r="K545" t="n">
        <v>44</v>
      </c>
      <c r="L545" t="inlineStr">
        <is>
          <t>Crédito no aprobado</t>
        </is>
      </c>
    </row>
    <row r="546" ht="15.75" customHeight="1" s="25">
      <c r="A546" t="inlineStr">
        <is>
          <t>NEG-0544</t>
        </is>
      </c>
      <c r="B546" t="inlineStr">
        <is>
          <t>Felipe Vásquez Restrepo</t>
        </is>
      </c>
      <c r="C546" t="inlineStr">
        <is>
          <t>PRY-007</t>
        </is>
      </c>
      <c r="D546" t="inlineStr">
        <is>
          <t>Apto 1002</t>
        </is>
      </c>
      <c r="E546" t="inlineStr">
        <is>
          <t>Miguel Salazar</t>
        </is>
      </c>
      <c r="F546" t="inlineStr">
        <is>
          <t>Ganado</t>
        </is>
      </c>
      <c r="G546" t="n">
        <v>601000000</v>
      </c>
      <c r="H546" t="n">
        <v>1</v>
      </c>
      <c r="I546" s="28" t="n">
        <v>45744</v>
      </c>
      <c r="J546" s="28" t="n">
        <v>45819</v>
      </c>
      <c r="K546" t="n">
        <v>75</v>
      </c>
      <c r="L546" t="inlineStr">
        <is>
          <t>Promesa de compraventa firmada</t>
        </is>
      </c>
    </row>
    <row r="547" ht="15.75" customHeight="1" s="25">
      <c r="A547" t="inlineStr">
        <is>
          <t>NEG-0545</t>
        </is>
      </c>
      <c r="B547" t="inlineStr">
        <is>
          <t>María Ochoa Álvarez</t>
        </is>
      </c>
      <c r="C547" t="inlineStr">
        <is>
          <t>PRY-008</t>
        </is>
      </c>
      <c r="D547" t="inlineStr">
        <is>
          <t>Casa 45</t>
        </is>
      </c>
      <c r="E547" t="inlineStr">
        <is>
          <t>Santiago Muñoz</t>
        </is>
      </c>
      <c r="F547" t="inlineStr">
        <is>
          <t>Ganado</t>
        </is>
      </c>
      <c r="G547" t="n">
        <v>179000000</v>
      </c>
      <c r="H547" t="n">
        <v>1</v>
      </c>
      <c r="I547" s="28" t="n">
        <v>45744</v>
      </c>
      <c r="J547" s="28" t="n">
        <v>45782</v>
      </c>
      <c r="K547" t="n">
        <v>38</v>
      </c>
      <c r="L547" t="inlineStr">
        <is>
          <t>Promesa de compraventa firmada</t>
        </is>
      </c>
    </row>
    <row r="548" ht="15.75" customHeight="1" s="25">
      <c r="A548" t="inlineStr">
        <is>
          <t>NEG-0546</t>
        </is>
      </c>
      <c r="B548" t="inlineStr">
        <is>
          <t>Simón Ramírez Cifuentes</t>
        </is>
      </c>
      <c r="C548" t="inlineStr">
        <is>
          <t>PRY-008</t>
        </is>
      </c>
      <c r="D548" t="inlineStr">
        <is>
          <t>Casa 61</t>
        </is>
      </c>
      <c r="E548" t="inlineStr">
        <is>
          <t>Andrés Torres</t>
        </is>
      </c>
      <c r="F548" t="inlineStr">
        <is>
          <t>Perdido</t>
        </is>
      </c>
      <c r="G548" t="n">
        <v>136000000</v>
      </c>
      <c r="H548" t="n">
        <v>0</v>
      </c>
      <c r="I548" s="28" t="n">
        <v>45744</v>
      </c>
      <c r="J548" s="28" t="n">
        <v>45807</v>
      </c>
      <c r="K548" t="n">
        <v>63</v>
      </c>
      <c r="L548" t="inlineStr">
        <is>
          <t>Desistió de la compra</t>
        </is>
      </c>
    </row>
    <row r="549" ht="15.75" customHeight="1" s="25">
      <c r="A549" t="inlineStr">
        <is>
          <t>NEG-0547</t>
        </is>
      </c>
      <c r="B549" t="inlineStr">
        <is>
          <t>Felipe Giraldo Restrepo</t>
        </is>
      </c>
      <c r="C549" t="inlineStr">
        <is>
          <t>PRY-001</t>
        </is>
      </c>
      <c r="D549" t="inlineStr">
        <is>
          <t>Apto 2102</t>
        </is>
      </c>
      <c r="E549" t="inlineStr">
        <is>
          <t>Santiago Muñoz</t>
        </is>
      </c>
      <c r="F549" t="inlineStr">
        <is>
          <t>Ganado</t>
        </is>
      </c>
      <c r="G549" t="n">
        <v>838000000</v>
      </c>
      <c r="H549" t="n">
        <v>1</v>
      </c>
      <c r="I549" s="28" t="n">
        <v>45745</v>
      </c>
      <c r="J549" s="28" t="n">
        <v>45793</v>
      </c>
      <c r="K549" t="n">
        <v>48</v>
      </c>
      <c r="L549" t="inlineStr">
        <is>
          <t>Promesa de compraventa firmada</t>
        </is>
      </c>
    </row>
    <row r="550" ht="15.75" customHeight="1" s="25">
      <c r="A550" t="inlineStr">
        <is>
          <t>NEG-0548</t>
        </is>
      </c>
      <c r="B550" t="inlineStr">
        <is>
          <t>Lorena Peláez Cardona</t>
        </is>
      </c>
      <c r="C550" t="inlineStr">
        <is>
          <t>PRY-003</t>
        </is>
      </c>
      <c r="D550" t="inlineStr">
        <is>
          <t>Apto 501</t>
        </is>
      </c>
      <c r="E550" t="inlineStr">
        <is>
          <t>Daniela Ríos</t>
        </is>
      </c>
      <c r="F550" t="inlineStr">
        <is>
          <t>Ganado</t>
        </is>
      </c>
      <c r="G550" t="n">
        <v>367000000</v>
      </c>
      <c r="H550" t="n">
        <v>1</v>
      </c>
      <c r="I550" s="28" t="n">
        <v>45746</v>
      </c>
      <c r="J550" s="28" t="n">
        <v>45812</v>
      </c>
      <c r="K550" t="n">
        <v>66</v>
      </c>
      <c r="L550" t="inlineStr">
        <is>
          <t>Promesa de compraventa firmada</t>
        </is>
      </c>
    </row>
    <row r="551" ht="15.75" customHeight="1" s="25">
      <c r="A551" t="inlineStr">
        <is>
          <t>NEG-0549</t>
        </is>
      </c>
      <c r="B551" t="inlineStr">
        <is>
          <t>Emilio Cifuentes Bedoya</t>
        </is>
      </c>
      <c r="C551" t="inlineStr">
        <is>
          <t>PRY-003</t>
        </is>
      </c>
      <c r="D551" t="inlineStr">
        <is>
          <t>Apto 608</t>
        </is>
      </c>
      <c r="E551" t="inlineStr">
        <is>
          <t>Ana Quintero</t>
        </is>
      </c>
      <c r="F551" t="inlineStr">
        <is>
          <t>Ganado</t>
        </is>
      </c>
      <c r="G551" t="n">
        <v>287000000</v>
      </c>
      <c r="H551" t="n">
        <v>1</v>
      </c>
      <c r="I551" s="28" t="n">
        <v>45746</v>
      </c>
      <c r="J551" s="28" t="n">
        <v>45835</v>
      </c>
      <c r="K551" t="n">
        <v>89</v>
      </c>
      <c r="L551" t="inlineStr">
        <is>
          <t>Promesa de compraventa firmada</t>
        </is>
      </c>
    </row>
    <row r="552" ht="15.75" customHeight="1" s="25">
      <c r="A552" t="inlineStr">
        <is>
          <t>NEG-0550</t>
        </is>
      </c>
      <c r="B552" t="inlineStr">
        <is>
          <t>Daniel Sánchez Espinosa</t>
        </is>
      </c>
      <c r="C552" t="inlineStr">
        <is>
          <t>PRY-001</t>
        </is>
      </c>
      <c r="D552" t="inlineStr">
        <is>
          <t>Apto 502</t>
        </is>
      </c>
      <c r="E552" t="inlineStr">
        <is>
          <t>Luis Bedoya</t>
        </is>
      </c>
      <c r="F552" t="inlineStr">
        <is>
          <t>Perdido</t>
        </is>
      </c>
      <c r="G552" t="n">
        <v>808000000</v>
      </c>
      <c r="H552" t="n">
        <v>0</v>
      </c>
      <c r="I552" s="28" t="n">
        <v>45747</v>
      </c>
      <c r="J552" s="28" t="n">
        <v>45834</v>
      </c>
      <c r="K552" t="n">
        <v>87</v>
      </c>
      <c r="L552" t="inlineStr">
        <is>
          <t>Desistió de la compra</t>
        </is>
      </c>
    </row>
    <row r="553" ht="15.75" customHeight="1" s="25">
      <c r="A553" t="inlineStr">
        <is>
          <t>NEG-0551</t>
        </is>
      </c>
      <c r="B553" t="inlineStr">
        <is>
          <t>Liliana Marín Zuluaga</t>
        </is>
      </c>
      <c r="C553" t="inlineStr">
        <is>
          <t>PRY-005</t>
        </is>
      </c>
      <c r="D553" t="inlineStr">
        <is>
          <t>Casa 28</t>
        </is>
      </c>
      <c r="E553" t="inlineStr">
        <is>
          <t>Luis Bedoya</t>
        </is>
      </c>
      <c r="F553" t="inlineStr">
        <is>
          <t>Ganado</t>
        </is>
      </c>
      <c r="G553" t="n">
        <v>383000000</v>
      </c>
      <c r="H553" t="n">
        <v>1</v>
      </c>
      <c r="I553" s="28" t="n">
        <v>45749</v>
      </c>
      <c r="J553" s="28" t="n">
        <v>45823</v>
      </c>
      <c r="K553" t="n">
        <v>74</v>
      </c>
      <c r="L553" t="inlineStr">
        <is>
          <t>Promesa de compraventa firmada</t>
        </is>
      </c>
    </row>
    <row r="554" ht="15.75" customHeight="1" s="25">
      <c r="A554" t="inlineStr">
        <is>
          <t>NEG-0552</t>
        </is>
      </c>
      <c r="B554" t="inlineStr">
        <is>
          <t>Alejandra Henao Sánchez</t>
        </is>
      </c>
      <c r="C554" t="inlineStr">
        <is>
          <t>PRY-007</t>
        </is>
      </c>
      <c r="D554" t="inlineStr">
        <is>
          <t>Apto 203</t>
        </is>
      </c>
      <c r="E554" t="inlineStr">
        <is>
          <t>Miguel Salazar</t>
        </is>
      </c>
      <c r="F554" t="inlineStr">
        <is>
          <t>Ganado</t>
        </is>
      </c>
      <c r="G554" t="n">
        <v>634000000</v>
      </c>
      <c r="H554" t="n">
        <v>1</v>
      </c>
      <c r="I554" s="28" t="n">
        <v>45749</v>
      </c>
      <c r="J554" s="28" t="n">
        <v>45806</v>
      </c>
      <c r="K554" t="n">
        <v>57</v>
      </c>
      <c r="L554" t="inlineStr">
        <is>
          <t>Promesa de compraventa firmada</t>
        </is>
      </c>
    </row>
    <row r="555" ht="15.75" customHeight="1" s="25">
      <c r="A555" t="inlineStr">
        <is>
          <t>NEG-0553</t>
        </is>
      </c>
      <c r="B555" t="inlineStr">
        <is>
          <t>Mónica Zuluaga Quintero</t>
        </is>
      </c>
      <c r="C555" t="inlineStr">
        <is>
          <t>PRY-003</t>
        </is>
      </c>
      <c r="D555" t="inlineStr">
        <is>
          <t>Apto 1205</t>
        </is>
      </c>
      <c r="E555" t="inlineStr">
        <is>
          <t>Miguel Salazar</t>
        </is>
      </c>
      <c r="F555" t="inlineStr">
        <is>
          <t>Perdido</t>
        </is>
      </c>
      <c r="G555" t="n">
        <v>314000000</v>
      </c>
      <c r="H555" t="n">
        <v>0</v>
      </c>
      <c r="I555" s="28" t="n">
        <v>45750</v>
      </c>
      <c r="J555" s="28" t="n">
        <v>45782</v>
      </c>
      <c r="K555" t="n">
        <v>32</v>
      </c>
      <c r="L555" t="inlineStr">
        <is>
          <t>Eligió otro proyecto</t>
        </is>
      </c>
    </row>
    <row r="556" ht="15.75" customHeight="1" s="25">
      <c r="A556" t="inlineStr">
        <is>
          <t>NEG-0554</t>
        </is>
      </c>
      <c r="B556" t="inlineStr">
        <is>
          <t>Verónica Valencia Quintero</t>
        </is>
      </c>
      <c r="C556" t="inlineStr">
        <is>
          <t>PRY-008</t>
        </is>
      </c>
      <c r="D556" t="inlineStr">
        <is>
          <t>Casa 77</t>
        </is>
      </c>
      <c r="E556" t="inlineStr">
        <is>
          <t>Miguel Salazar</t>
        </is>
      </c>
      <c r="F556" t="inlineStr">
        <is>
          <t>Perdido</t>
        </is>
      </c>
      <c r="G556" t="n">
        <v>145000000</v>
      </c>
      <c r="H556" t="n">
        <v>0</v>
      </c>
      <c r="I556" s="28" t="n">
        <v>45752</v>
      </c>
      <c r="J556" s="28" t="n">
        <v>45821</v>
      </c>
      <c r="K556" t="n">
        <v>69</v>
      </c>
      <c r="L556" t="inlineStr">
        <is>
          <t>Crédito no aprobado</t>
        </is>
      </c>
    </row>
    <row r="557" ht="15.75" customHeight="1" s="25">
      <c r="A557" t="inlineStr">
        <is>
          <t>NEG-0555</t>
        </is>
      </c>
      <c r="B557" t="inlineStr">
        <is>
          <t>Alejandro Peláez Henao</t>
        </is>
      </c>
      <c r="C557" t="inlineStr">
        <is>
          <t>PRY-006</t>
        </is>
      </c>
      <c r="D557" t="inlineStr">
        <is>
          <t>Local 6</t>
        </is>
      </c>
      <c r="E557" t="inlineStr">
        <is>
          <t>Paula Arenas</t>
        </is>
      </c>
      <c r="F557" t="inlineStr">
        <is>
          <t>Ganado</t>
        </is>
      </c>
      <c r="G557" t="n">
        <v>721000000</v>
      </c>
      <c r="H557" t="n">
        <v>1</v>
      </c>
      <c r="I557" s="28" t="n">
        <v>45754</v>
      </c>
      <c r="J557" s="28" t="n">
        <v>45831</v>
      </c>
      <c r="K557" t="n">
        <v>77</v>
      </c>
      <c r="L557" t="inlineStr">
        <is>
          <t>Promesa de compraventa firmada</t>
        </is>
      </c>
    </row>
    <row r="558" ht="15.75" customHeight="1" s="25">
      <c r="A558" t="inlineStr">
        <is>
          <t>NEG-0556</t>
        </is>
      </c>
      <c r="B558" t="inlineStr">
        <is>
          <t>Iván Sánchez Bedoya</t>
        </is>
      </c>
      <c r="C558" t="inlineStr">
        <is>
          <t>PRY-005</t>
        </is>
      </c>
      <c r="D558" t="inlineStr">
        <is>
          <t>Casa 4</t>
        </is>
      </c>
      <c r="E558" t="inlineStr">
        <is>
          <t>Daniela Ríos</t>
        </is>
      </c>
      <c r="F558" t="inlineStr">
        <is>
          <t>Ganado</t>
        </is>
      </c>
      <c r="G558" t="n">
        <v>395000000</v>
      </c>
      <c r="H558" t="n">
        <v>1</v>
      </c>
      <c r="I558" s="28" t="n">
        <v>45755</v>
      </c>
      <c r="J558" s="28" t="n">
        <v>45868</v>
      </c>
      <c r="K558" t="n">
        <v>113</v>
      </c>
      <c r="L558" t="inlineStr">
        <is>
          <t>Promesa de compraventa firmada</t>
        </is>
      </c>
    </row>
    <row r="559" ht="15.75" customHeight="1" s="25">
      <c r="A559" t="inlineStr">
        <is>
          <t>NEG-0557</t>
        </is>
      </c>
      <c r="B559" t="inlineStr">
        <is>
          <t>Cristian Sánchez Osorio</t>
        </is>
      </c>
      <c r="C559" t="inlineStr">
        <is>
          <t>PRY-006</t>
        </is>
      </c>
      <c r="D559" t="inlineStr">
        <is>
          <t>Local 30</t>
        </is>
      </c>
      <c r="E559" t="inlineStr">
        <is>
          <t>Paula Arenas</t>
        </is>
      </c>
      <c r="F559" t="inlineStr">
        <is>
          <t>Perdido</t>
        </is>
      </c>
      <c r="G559" t="n">
        <v>755000000</v>
      </c>
      <c r="H559" t="n">
        <v>0</v>
      </c>
      <c r="I559" s="28" t="n">
        <v>45755</v>
      </c>
      <c r="J559" s="28" t="n">
        <v>45882</v>
      </c>
      <c r="K559" t="n">
        <v>127</v>
      </c>
      <c r="L559" t="inlineStr">
        <is>
          <t>Desistió de la compra</t>
        </is>
      </c>
    </row>
    <row r="560" ht="15.75" customHeight="1" s="25">
      <c r="A560" t="inlineStr">
        <is>
          <t>NEG-0558</t>
        </is>
      </c>
      <c r="B560" t="inlineStr">
        <is>
          <t>Paola Uribe Montes</t>
        </is>
      </c>
      <c r="C560" t="inlineStr">
        <is>
          <t>PRY-003</t>
        </is>
      </c>
      <c r="D560" t="inlineStr">
        <is>
          <t>Apto 906</t>
        </is>
      </c>
      <c r="E560" t="inlineStr">
        <is>
          <t>Juliana Vélez</t>
        </is>
      </c>
      <c r="F560" t="inlineStr">
        <is>
          <t>Ganado</t>
        </is>
      </c>
      <c r="G560" t="n">
        <v>346000000</v>
      </c>
      <c r="H560" t="n">
        <v>1</v>
      </c>
      <c r="I560" s="28" t="n">
        <v>45756</v>
      </c>
      <c r="J560" s="28" t="n">
        <v>45786</v>
      </c>
      <c r="K560" t="n">
        <v>30</v>
      </c>
      <c r="L560" t="inlineStr">
        <is>
          <t>Promesa de compraventa firmada</t>
        </is>
      </c>
    </row>
    <row r="561" ht="15.75" customHeight="1" s="25">
      <c r="A561" t="inlineStr">
        <is>
          <t>NEG-0559</t>
        </is>
      </c>
      <c r="B561" t="inlineStr">
        <is>
          <t>Esteban Henao Espinosa</t>
        </is>
      </c>
      <c r="C561" t="inlineStr">
        <is>
          <t>PRY-008</t>
        </is>
      </c>
      <c r="D561" t="inlineStr">
        <is>
          <t>Casa 33</t>
        </is>
      </c>
      <c r="E561" t="inlineStr">
        <is>
          <t>Santiago Muñoz</t>
        </is>
      </c>
      <c r="F561" t="inlineStr">
        <is>
          <t>Ganado</t>
        </is>
      </c>
      <c r="G561" t="n">
        <v>183000000</v>
      </c>
      <c r="H561" t="n">
        <v>1</v>
      </c>
      <c r="I561" s="28" t="n">
        <v>45756</v>
      </c>
      <c r="J561" s="28" t="n">
        <v>45818</v>
      </c>
      <c r="K561" t="n">
        <v>62</v>
      </c>
      <c r="L561" t="inlineStr">
        <is>
          <t>Promesa de compraventa firmada</t>
        </is>
      </c>
    </row>
    <row r="562" ht="15.75" customHeight="1" s="25">
      <c r="A562" t="inlineStr">
        <is>
          <t>NEG-0560</t>
        </is>
      </c>
      <c r="B562" t="inlineStr">
        <is>
          <t>Iván Sánchez Salazar</t>
        </is>
      </c>
      <c r="C562" t="inlineStr">
        <is>
          <t>PRY-001</t>
        </is>
      </c>
      <c r="D562" t="inlineStr">
        <is>
          <t>Apto 2004</t>
        </is>
      </c>
      <c r="E562" t="inlineStr">
        <is>
          <t>Paula Arenas</t>
        </is>
      </c>
      <c r="F562" t="inlineStr">
        <is>
          <t>Ganado</t>
        </is>
      </c>
      <c r="G562" t="n">
        <v>698000000</v>
      </c>
      <c r="H562" t="n">
        <v>1</v>
      </c>
      <c r="I562" s="28" t="n">
        <v>45757</v>
      </c>
      <c r="J562" s="28" t="n">
        <v>45857</v>
      </c>
      <c r="K562" t="n">
        <v>100</v>
      </c>
      <c r="L562" t="inlineStr">
        <is>
          <t>Promesa de compraventa firmada</t>
        </is>
      </c>
    </row>
    <row r="563" ht="15.75" customHeight="1" s="25">
      <c r="A563" t="inlineStr">
        <is>
          <t>NEG-0561</t>
        </is>
      </c>
      <c r="B563" t="inlineStr">
        <is>
          <t>Laura Gaviria Vélez</t>
        </is>
      </c>
      <c r="C563" t="inlineStr">
        <is>
          <t>PRY-008</t>
        </is>
      </c>
      <c r="D563" t="inlineStr">
        <is>
          <t>Casa 59</t>
        </is>
      </c>
      <c r="E563" t="inlineStr">
        <is>
          <t>Miguel Salazar</t>
        </is>
      </c>
      <c r="F563" t="inlineStr">
        <is>
          <t>Ganado</t>
        </is>
      </c>
      <c r="G563" t="n">
        <v>174000000</v>
      </c>
      <c r="H563" t="n">
        <v>1</v>
      </c>
      <c r="I563" s="28" t="n">
        <v>45761</v>
      </c>
      <c r="J563" s="28" t="n">
        <v>45813</v>
      </c>
      <c r="K563" t="n">
        <v>52</v>
      </c>
      <c r="L563" t="inlineStr">
        <is>
          <t>Promesa de compraventa firmada</t>
        </is>
      </c>
    </row>
    <row r="564" ht="15.75" customHeight="1" s="25">
      <c r="A564" t="inlineStr">
        <is>
          <t>NEG-0562</t>
        </is>
      </c>
      <c r="B564" t="inlineStr">
        <is>
          <t>Patricia Higuita Henao</t>
        </is>
      </c>
      <c r="C564" t="inlineStr">
        <is>
          <t>PRY-001</t>
        </is>
      </c>
      <c r="D564" t="inlineStr">
        <is>
          <t>Apto 1006</t>
        </is>
      </c>
      <c r="E564" t="inlineStr">
        <is>
          <t>Paula Arenas</t>
        </is>
      </c>
      <c r="F564" t="inlineStr">
        <is>
          <t>Perdido</t>
        </is>
      </c>
      <c r="G564" t="n">
        <v>865000000</v>
      </c>
      <c r="H564" t="n">
        <v>0</v>
      </c>
      <c r="I564" s="28" t="n">
        <v>45762</v>
      </c>
      <c r="J564" s="28" t="n">
        <v>45837</v>
      </c>
      <c r="K564" t="n">
        <v>75</v>
      </c>
      <c r="L564" t="inlineStr">
        <is>
          <t>Precio fuera de presupuesto</t>
        </is>
      </c>
    </row>
    <row r="565" ht="15.75" customHeight="1" s="25">
      <c r="A565" t="inlineStr">
        <is>
          <t>NEG-0563</t>
        </is>
      </c>
      <c r="B565" t="inlineStr">
        <is>
          <t>Simón Vargas Sánchez</t>
        </is>
      </c>
      <c r="C565" t="inlineStr">
        <is>
          <t>PRY-001</t>
        </is>
      </c>
      <c r="D565" t="inlineStr">
        <is>
          <t>Apto 304</t>
        </is>
      </c>
      <c r="E565" t="inlineStr">
        <is>
          <t>Paula Arenas</t>
        </is>
      </c>
      <c r="F565" t="inlineStr">
        <is>
          <t>Ganado</t>
        </is>
      </c>
      <c r="G565" t="n">
        <v>612000000</v>
      </c>
      <c r="H565" t="n">
        <v>1</v>
      </c>
      <c r="I565" s="28" t="n">
        <v>45763</v>
      </c>
      <c r="J565" s="28" t="n">
        <v>45834</v>
      </c>
      <c r="K565" t="n">
        <v>71</v>
      </c>
      <c r="L565" t="inlineStr">
        <is>
          <t>Promesa de compraventa firmada</t>
        </is>
      </c>
    </row>
    <row r="566" ht="15.75" customHeight="1" s="25">
      <c r="A566" t="inlineStr">
        <is>
          <t>NEG-0564</t>
        </is>
      </c>
      <c r="B566" t="inlineStr">
        <is>
          <t>Mateo Cifuentes Ríos</t>
        </is>
      </c>
      <c r="C566" t="inlineStr">
        <is>
          <t>PRY-001</t>
        </is>
      </c>
      <c r="D566" t="inlineStr">
        <is>
          <t>Apto 1502</t>
        </is>
      </c>
      <c r="E566" t="inlineStr">
        <is>
          <t>Santiago Muñoz</t>
        </is>
      </c>
      <c r="F566" t="inlineStr">
        <is>
          <t>Ganado</t>
        </is>
      </c>
      <c r="G566" t="n">
        <v>651000000</v>
      </c>
      <c r="H566" t="n">
        <v>1</v>
      </c>
      <c r="I566" s="28" t="n">
        <v>45763</v>
      </c>
      <c r="J566" s="28" t="n">
        <v>45857</v>
      </c>
      <c r="K566" t="n">
        <v>94</v>
      </c>
      <c r="L566" t="inlineStr">
        <is>
          <t>Promesa de compraventa firmada</t>
        </is>
      </c>
    </row>
    <row r="567" ht="15.75" customHeight="1" s="25">
      <c r="A567" t="inlineStr">
        <is>
          <t>NEG-0565</t>
        </is>
      </c>
      <c r="B567" t="inlineStr">
        <is>
          <t>Carolina Ríos Higuita</t>
        </is>
      </c>
      <c r="C567" t="inlineStr">
        <is>
          <t>PRY-003</t>
        </is>
      </c>
      <c r="D567" t="inlineStr">
        <is>
          <t>Apto 506</t>
        </is>
      </c>
      <c r="E567" t="inlineStr">
        <is>
          <t>Miguel Salazar</t>
        </is>
      </c>
      <c r="F567" t="inlineStr">
        <is>
          <t>Ganado</t>
        </is>
      </c>
      <c r="G567" t="n">
        <v>315000000</v>
      </c>
      <c r="H567" t="n">
        <v>1</v>
      </c>
      <c r="I567" s="28" t="n">
        <v>45764</v>
      </c>
      <c r="J567" s="28" t="n">
        <v>45849</v>
      </c>
      <c r="K567" t="n">
        <v>85</v>
      </c>
      <c r="L567" t="inlineStr">
        <is>
          <t>Promesa de compraventa firmada</t>
        </is>
      </c>
    </row>
    <row r="568" ht="15.75" customHeight="1" s="25">
      <c r="A568" t="inlineStr">
        <is>
          <t>NEG-0566</t>
        </is>
      </c>
      <c r="B568" t="inlineStr">
        <is>
          <t>Marcela Cardona Montes</t>
        </is>
      </c>
      <c r="C568" t="inlineStr">
        <is>
          <t>PRY-003</t>
        </is>
      </c>
      <c r="D568" t="inlineStr">
        <is>
          <t>Apto 1504</t>
        </is>
      </c>
      <c r="E568" t="inlineStr">
        <is>
          <t>Andrés Torres</t>
        </is>
      </c>
      <c r="F568" t="inlineStr">
        <is>
          <t>Perdido</t>
        </is>
      </c>
      <c r="G568" t="n">
        <v>327000000</v>
      </c>
      <c r="H568" t="n">
        <v>0</v>
      </c>
      <c r="I568" s="28" t="n">
        <v>45764</v>
      </c>
      <c r="J568" s="28" t="n">
        <v>45817</v>
      </c>
      <c r="K568" t="n">
        <v>53</v>
      </c>
      <c r="L568" t="inlineStr">
        <is>
          <t>Precio fuera de presupuesto</t>
        </is>
      </c>
    </row>
    <row r="569" ht="15.75" customHeight="1" s="25">
      <c r="A569" t="inlineStr">
        <is>
          <t>NEG-0567</t>
        </is>
      </c>
      <c r="B569" t="inlineStr">
        <is>
          <t>Sandra Betancur Toro</t>
        </is>
      </c>
      <c r="C569" t="inlineStr">
        <is>
          <t>PRY-002</t>
        </is>
      </c>
      <c r="D569" t="inlineStr">
        <is>
          <t>Casa 43</t>
        </is>
      </c>
      <c r="E569" t="inlineStr">
        <is>
          <t>Santiago Muñoz</t>
        </is>
      </c>
      <c r="F569" t="inlineStr">
        <is>
          <t>Ganado</t>
        </is>
      </c>
      <c r="G569" t="n">
        <v>710000000</v>
      </c>
      <c r="H569" t="n">
        <v>1</v>
      </c>
      <c r="I569" s="28" t="n">
        <v>45765</v>
      </c>
      <c r="J569" s="28" t="n">
        <v>45861</v>
      </c>
      <c r="K569" t="n">
        <v>96</v>
      </c>
      <c r="L569" t="inlineStr">
        <is>
          <t>Promesa de compraventa firmada</t>
        </is>
      </c>
    </row>
    <row r="570" ht="15.75" customHeight="1" s="25">
      <c r="A570" t="inlineStr">
        <is>
          <t>NEG-0568</t>
        </is>
      </c>
      <c r="B570" t="inlineStr">
        <is>
          <t>Gloria Vélez Valencia</t>
        </is>
      </c>
      <c r="C570" t="inlineStr">
        <is>
          <t>PRY-003</t>
        </is>
      </c>
      <c r="D570" t="inlineStr">
        <is>
          <t>Apto 704</t>
        </is>
      </c>
      <c r="E570" t="inlineStr">
        <is>
          <t>Sofía Prada</t>
        </is>
      </c>
      <c r="F570" t="inlineStr">
        <is>
          <t>Ganado</t>
        </is>
      </c>
      <c r="G570" t="n">
        <v>390000000</v>
      </c>
      <c r="H570" t="n">
        <v>1</v>
      </c>
      <c r="I570" s="28" t="n">
        <v>45765</v>
      </c>
      <c r="J570" s="28" t="n">
        <v>45808</v>
      </c>
      <c r="K570" t="n">
        <v>43</v>
      </c>
      <c r="L570" t="inlineStr">
        <is>
          <t>Promesa de compraventa firmada</t>
        </is>
      </c>
    </row>
    <row r="571" ht="15.75" customHeight="1" s="25">
      <c r="A571" t="inlineStr">
        <is>
          <t>NEG-0569</t>
        </is>
      </c>
      <c r="B571" t="inlineStr">
        <is>
          <t>Santiago Rojas Higuita</t>
        </is>
      </c>
      <c r="C571" t="inlineStr">
        <is>
          <t>PRY-008</t>
        </is>
      </c>
      <c r="D571" t="inlineStr">
        <is>
          <t>Casa 110</t>
        </is>
      </c>
      <c r="E571" t="inlineStr">
        <is>
          <t>Luis Bedoya</t>
        </is>
      </c>
      <c r="F571" t="inlineStr">
        <is>
          <t>Ganado</t>
        </is>
      </c>
      <c r="G571" t="n">
        <v>164000000</v>
      </c>
      <c r="H571" t="n">
        <v>1</v>
      </c>
      <c r="I571" s="28" t="n">
        <v>45765</v>
      </c>
      <c r="J571" s="28" t="n">
        <v>45787</v>
      </c>
      <c r="K571" t="n">
        <v>22</v>
      </c>
      <c r="L571" t="inlineStr">
        <is>
          <t>Promesa de compraventa firmada</t>
        </is>
      </c>
    </row>
    <row r="572" ht="15.75" customHeight="1" s="25">
      <c r="A572" t="inlineStr">
        <is>
          <t>NEG-0570</t>
        </is>
      </c>
      <c r="B572" t="inlineStr">
        <is>
          <t>Sebastián Osorio Toro</t>
        </is>
      </c>
      <c r="C572" t="inlineStr">
        <is>
          <t>PRY-006</t>
        </is>
      </c>
      <c r="D572" t="inlineStr">
        <is>
          <t>Local 4</t>
        </is>
      </c>
      <c r="E572" t="inlineStr">
        <is>
          <t>Paula Arenas</t>
        </is>
      </c>
      <c r="F572" t="inlineStr">
        <is>
          <t>Ganado</t>
        </is>
      </c>
      <c r="G572" t="n">
        <v>729000000</v>
      </c>
      <c r="H572" t="n">
        <v>1</v>
      </c>
      <c r="I572" s="28" t="n">
        <v>45766</v>
      </c>
      <c r="J572" s="28" t="n">
        <v>45901</v>
      </c>
      <c r="K572" t="n">
        <v>135</v>
      </c>
      <c r="L572" t="inlineStr">
        <is>
          <t>Promesa de compraventa firmada</t>
        </is>
      </c>
    </row>
    <row r="573" ht="15.75" customHeight="1" s="25">
      <c r="A573" t="inlineStr">
        <is>
          <t>NEG-0571</t>
        </is>
      </c>
      <c r="B573" t="inlineStr">
        <is>
          <t>Nicolás Quintero Betancur</t>
        </is>
      </c>
      <c r="C573" t="inlineStr">
        <is>
          <t>PRY-007</t>
        </is>
      </c>
      <c r="D573" t="inlineStr">
        <is>
          <t>Apto 805</t>
        </is>
      </c>
      <c r="E573" t="inlineStr">
        <is>
          <t>Paula Arenas</t>
        </is>
      </c>
      <c r="F573" t="inlineStr">
        <is>
          <t>Perdido</t>
        </is>
      </c>
      <c r="G573" t="n">
        <v>726000000</v>
      </c>
      <c r="H573" t="n">
        <v>0</v>
      </c>
      <c r="I573" s="28" t="n">
        <v>45767</v>
      </c>
      <c r="J573" s="28" t="n">
        <v>45810</v>
      </c>
      <c r="K573" t="n">
        <v>43</v>
      </c>
      <c r="L573" t="inlineStr">
        <is>
          <t>Crédito no aprobado</t>
        </is>
      </c>
    </row>
    <row r="574" ht="15.75" customHeight="1" s="25">
      <c r="A574" t="inlineStr">
        <is>
          <t>NEG-0572</t>
        </is>
      </c>
      <c r="B574" t="inlineStr">
        <is>
          <t>Rodrigo Gaviria Ramírez</t>
        </is>
      </c>
      <c r="C574" t="inlineStr">
        <is>
          <t>PRY-005</t>
        </is>
      </c>
      <c r="D574" t="inlineStr">
        <is>
          <t>Apto 608</t>
        </is>
      </c>
      <c r="E574" t="inlineStr">
        <is>
          <t>Santiago Muñoz</t>
        </is>
      </c>
      <c r="F574" t="inlineStr">
        <is>
          <t>Ganado</t>
        </is>
      </c>
      <c r="G574" t="n">
        <v>403000000</v>
      </c>
      <c r="H574" t="n">
        <v>1</v>
      </c>
      <c r="I574" s="28" t="n">
        <v>45771</v>
      </c>
      <c r="J574" s="28" t="n">
        <v>45806</v>
      </c>
      <c r="K574" t="n">
        <v>35</v>
      </c>
      <c r="L574" t="inlineStr">
        <is>
          <t>Promesa de compraventa firmada</t>
        </is>
      </c>
    </row>
    <row r="575" ht="15.75" customHeight="1" s="25">
      <c r="A575" t="inlineStr">
        <is>
          <t>NEG-0573</t>
        </is>
      </c>
      <c r="B575" t="inlineStr">
        <is>
          <t>Hernán Peláez Ramírez</t>
        </is>
      </c>
      <c r="C575" t="inlineStr">
        <is>
          <t>PRY-007</t>
        </is>
      </c>
      <c r="D575" t="inlineStr">
        <is>
          <t>Apto 806</t>
        </is>
      </c>
      <c r="E575" t="inlineStr">
        <is>
          <t>Juliana Vélez</t>
        </is>
      </c>
      <c r="F575" t="inlineStr">
        <is>
          <t>Perdido</t>
        </is>
      </c>
      <c r="G575" t="n">
        <v>618000000</v>
      </c>
      <c r="H575" t="n">
        <v>0</v>
      </c>
      <c r="I575" s="28" t="n">
        <v>45771</v>
      </c>
      <c r="J575" s="28" t="n">
        <v>45819</v>
      </c>
      <c r="K575" t="n">
        <v>48</v>
      </c>
      <c r="L575" t="inlineStr">
        <is>
          <t>Eligió otro proyecto</t>
        </is>
      </c>
    </row>
    <row r="576" ht="15.75" customHeight="1" s="25">
      <c r="A576" t="inlineStr">
        <is>
          <t>NEG-0574</t>
        </is>
      </c>
      <c r="B576" t="inlineStr">
        <is>
          <t>Valentina Gómez Sánchez</t>
        </is>
      </c>
      <c r="C576" t="inlineStr">
        <is>
          <t>PRY-007</t>
        </is>
      </c>
      <c r="D576" t="inlineStr">
        <is>
          <t>Apto 802</t>
        </is>
      </c>
      <c r="E576" t="inlineStr">
        <is>
          <t>Sofía Prada</t>
        </is>
      </c>
      <c r="F576" t="inlineStr">
        <is>
          <t>Perdido</t>
        </is>
      </c>
      <c r="G576" t="n">
        <v>742000000</v>
      </c>
      <c r="H576" t="n">
        <v>0</v>
      </c>
      <c r="I576" s="28" t="n">
        <v>45771</v>
      </c>
      <c r="J576" s="28" t="n">
        <v>45889</v>
      </c>
      <c r="K576" t="n">
        <v>118</v>
      </c>
      <c r="L576" t="inlineStr">
        <is>
          <t>No volvió a responder</t>
        </is>
      </c>
    </row>
    <row r="577" ht="15.75" customHeight="1" s="25">
      <c r="A577" t="inlineStr">
        <is>
          <t>NEG-0575</t>
        </is>
      </c>
      <c r="B577" t="inlineStr">
        <is>
          <t>Paula Ramírez Palacio</t>
        </is>
      </c>
      <c r="C577" t="inlineStr">
        <is>
          <t>PRY-007</t>
        </is>
      </c>
      <c r="D577" t="inlineStr">
        <is>
          <t>Apto 1104</t>
        </is>
      </c>
      <c r="E577" t="inlineStr">
        <is>
          <t>Santiago Muñoz</t>
        </is>
      </c>
      <c r="F577" t="inlineStr">
        <is>
          <t>Ganado</t>
        </is>
      </c>
      <c r="G577" t="n">
        <v>626000000</v>
      </c>
      <c r="H577" t="n">
        <v>1</v>
      </c>
      <c r="I577" s="28" t="n">
        <v>45772</v>
      </c>
      <c r="J577" s="28" t="n">
        <v>45855</v>
      </c>
      <c r="K577" t="n">
        <v>83</v>
      </c>
      <c r="L577" t="inlineStr">
        <is>
          <t>Promesa de compraventa firmada</t>
        </is>
      </c>
    </row>
    <row r="578" ht="15.75" customHeight="1" s="25">
      <c r="A578" t="inlineStr">
        <is>
          <t>NEG-0576</t>
        </is>
      </c>
      <c r="B578" t="inlineStr">
        <is>
          <t>Nicolás Montes Uribe</t>
        </is>
      </c>
      <c r="C578" t="inlineStr">
        <is>
          <t>PRY-008</t>
        </is>
      </c>
      <c r="D578" t="inlineStr">
        <is>
          <t>Casa 99</t>
        </is>
      </c>
      <c r="E578" t="inlineStr">
        <is>
          <t>Ana Quintero</t>
        </is>
      </c>
      <c r="F578" t="inlineStr">
        <is>
          <t>Ganado</t>
        </is>
      </c>
      <c r="G578" t="n">
        <v>140000000</v>
      </c>
      <c r="H578" t="n">
        <v>1</v>
      </c>
      <c r="I578" s="28" t="n">
        <v>45772</v>
      </c>
      <c r="J578" s="28" t="n">
        <v>45792</v>
      </c>
      <c r="K578" t="n">
        <v>20</v>
      </c>
      <c r="L578" t="inlineStr">
        <is>
          <t>Promesa de compraventa firmada</t>
        </is>
      </c>
    </row>
    <row r="579" ht="15.75" customHeight="1" s="25">
      <c r="A579" t="inlineStr">
        <is>
          <t>NEG-0577</t>
        </is>
      </c>
      <c r="B579" t="inlineStr">
        <is>
          <t>Alejandra Álvarez Peláez</t>
        </is>
      </c>
      <c r="C579" t="inlineStr">
        <is>
          <t>PRY-001</t>
        </is>
      </c>
      <c r="D579" t="inlineStr">
        <is>
          <t>Apto 1101</t>
        </is>
      </c>
      <c r="E579" t="inlineStr">
        <is>
          <t>Ana Quintero</t>
        </is>
      </c>
      <c r="F579" t="inlineStr">
        <is>
          <t>Ganado</t>
        </is>
      </c>
      <c r="G579" t="n">
        <v>650000000</v>
      </c>
      <c r="H579" t="n">
        <v>1</v>
      </c>
      <c r="I579" s="28" t="n">
        <v>45775</v>
      </c>
      <c r="J579" s="28" t="n">
        <v>45830</v>
      </c>
      <c r="K579" t="n">
        <v>55</v>
      </c>
      <c r="L579" t="inlineStr">
        <is>
          <t>Promesa de compraventa firmada</t>
        </is>
      </c>
    </row>
    <row r="580" ht="15.75" customHeight="1" s="25">
      <c r="A580" t="inlineStr">
        <is>
          <t>NEG-0578</t>
        </is>
      </c>
      <c r="B580" t="inlineStr">
        <is>
          <t>Catalina Henao Cano</t>
        </is>
      </c>
      <c r="C580" t="inlineStr">
        <is>
          <t>PRY-001</t>
        </is>
      </c>
      <c r="D580" t="inlineStr">
        <is>
          <t>Apto 1105</t>
        </is>
      </c>
      <c r="E580" t="inlineStr">
        <is>
          <t>Miguel Salazar</t>
        </is>
      </c>
      <c r="F580" t="inlineStr">
        <is>
          <t>Perdido</t>
        </is>
      </c>
      <c r="G580" t="n">
        <v>760000000</v>
      </c>
      <c r="H580" t="n">
        <v>0</v>
      </c>
      <c r="I580" s="28" t="n">
        <v>45775</v>
      </c>
      <c r="J580" s="28" t="n">
        <v>45855</v>
      </c>
      <c r="K580" t="n">
        <v>80</v>
      </c>
      <c r="L580" t="inlineStr">
        <is>
          <t>Desistió de la compra</t>
        </is>
      </c>
    </row>
    <row r="581" ht="15.75" customHeight="1" s="25">
      <c r="A581" t="inlineStr">
        <is>
          <t>NEG-0579</t>
        </is>
      </c>
      <c r="B581" t="inlineStr">
        <is>
          <t>David Álvarez Agudelo</t>
        </is>
      </c>
      <c r="C581" t="inlineStr">
        <is>
          <t>PRY-003</t>
        </is>
      </c>
      <c r="D581" t="inlineStr">
        <is>
          <t>Apto 504</t>
        </is>
      </c>
      <c r="E581" t="inlineStr">
        <is>
          <t>Luis Bedoya</t>
        </is>
      </c>
      <c r="F581" t="inlineStr">
        <is>
          <t>Ganado</t>
        </is>
      </c>
      <c r="G581" t="n">
        <v>295000000</v>
      </c>
      <c r="H581" t="n">
        <v>1</v>
      </c>
      <c r="I581" s="28" t="n">
        <v>45777</v>
      </c>
      <c r="J581" s="28" t="n">
        <v>45856</v>
      </c>
      <c r="K581" t="n">
        <v>79</v>
      </c>
      <c r="L581" t="inlineStr">
        <is>
          <t>Promesa de compraventa firmada</t>
        </is>
      </c>
    </row>
    <row r="582" ht="15.75" customHeight="1" s="25">
      <c r="A582" t="inlineStr">
        <is>
          <t>NEG-0580</t>
        </is>
      </c>
      <c r="B582" t="inlineStr">
        <is>
          <t>José Sánchez Palacio</t>
        </is>
      </c>
      <c r="C582" t="inlineStr">
        <is>
          <t>PRY-008</t>
        </is>
      </c>
      <c r="D582" t="inlineStr">
        <is>
          <t>Casa 51</t>
        </is>
      </c>
      <c r="E582" t="inlineStr">
        <is>
          <t>Juliana Vélez</t>
        </is>
      </c>
      <c r="F582" t="inlineStr">
        <is>
          <t>Ganado</t>
        </is>
      </c>
      <c r="G582" t="n">
        <v>177000000</v>
      </c>
      <c r="H582" t="n">
        <v>1</v>
      </c>
      <c r="I582" s="28" t="n">
        <v>45777</v>
      </c>
      <c r="J582" s="28" t="n">
        <v>45834</v>
      </c>
      <c r="K582" t="n">
        <v>57</v>
      </c>
      <c r="L582" t="inlineStr">
        <is>
          <t>Promesa de compraventa firmada</t>
        </is>
      </c>
    </row>
    <row r="583" ht="15.75" customHeight="1" s="25">
      <c r="A583" t="inlineStr">
        <is>
          <t>NEG-0581</t>
        </is>
      </c>
      <c r="B583" t="inlineStr">
        <is>
          <t>Wilson Vélez Valencia</t>
        </is>
      </c>
      <c r="C583" t="inlineStr">
        <is>
          <t>PRY-001</t>
        </is>
      </c>
      <c r="D583" t="inlineStr">
        <is>
          <t>Apto 2101</t>
        </is>
      </c>
      <c r="E583" t="inlineStr">
        <is>
          <t>Andrés Torres</t>
        </is>
      </c>
      <c r="F583" t="inlineStr">
        <is>
          <t>Ganado</t>
        </is>
      </c>
      <c r="G583" t="n">
        <v>697000000</v>
      </c>
      <c r="H583" t="n">
        <v>1</v>
      </c>
      <c r="I583" s="28" t="n">
        <v>45779</v>
      </c>
      <c r="J583" s="28" t="n">
        <v>45892</v>
      </c>
      <c r="K583" t="n">
        <v>113</v>
      </c>
      <c r="L583" t="inlineStr">
        <is>
          <t>Promesa de compraventa firmada</t>
        </is>
      </c>
    </row>
    <row r="584" ht="15.75" customHeight="1" s="25">
      <c r="A584" t="inlineStr">
        <is>
          <t>NEG-0582</t>
        </is>
      </c>
      <c r="B584" t="inlineStr">
        <is>
          <t>Valentina Montes Restrepo</t>
        </is>
      </c>
      <c r="C584" t="inlineStr">
        <is>
          <t>PRY-006</t>
        </is>
      </c>
      <c r="D584" t="inlineStr">
        <is>
          <t>Local 36</t>
        </is>
      </c>
      <c r="E584" t="inlineStr">
        <is>
          <t>Miguel Salazar</t>
        </is>
      </c>
      <c r="F584" t="inlineStr">
        <is>
          <t>Ganado</t>
        </is>
      </c>
      <c r="G584" t="n">
        <v>487000000</v>
      </c>
      <c r="H584" t="n">
        <v>1</v>
      </c>
      <c r="I584" s="28" t="n">
        <v>45781</v>
      </c>
      <c r="J584" s="28" t="n">
        <v>45845</v>
      </c>
      <c r="K584" t="n">
        <v>64</v>
      </c>
      <c r="L584" t="inlineStr">
        <is>
          <t>Promesa de compraventa firmada</t>
        </is>
      </c>
    </row>
    <row r="585" ht="15.75" customHeight="1" s="25">
      <c r="A585" t="inlineStr">
        <is>
          <t>NEG-0583</t>
        </is>
      </c>
      <c r="B585" t="inlineStr">
        <is>
          <t>Emilio Giraldo Quintero</t>
        </is>
      </c>
      <c r="C585" t="inlineStr">
        <is>
          <t>PRY-003</t>
        </is>
      </c>
      <c r="D585" t="inlineStr">
        <is>
          <t>Apto 2308</t>
        </is>
      </c>
      <c r="E585" t="inlineStr">
        <is>
          <t>Luis Bedoya</t>
        </is>
      </c>
      <c r="F585" t="inlineStr">
        <is>
          <t>Perdido</t>
        </is>
      </c>
      <c r="G585" t="n">
        <v>396000000</v>
      </c>
      <c r="H585" t="n">
        <v>0</v>
      </c>
      <c r="I585" s="28" t="n">
        <v>45783</v>
      </c>
      <c r="J585" s="28" t="n">
        <v>45836</v>
      </c>
      <c r="K585" t="n">
        <v>53</v>
      </c>
      <c r="L585" t="inlineStr">
        <is>
          <t>Cambió de ciudad</t>
        </is>
      </c>
    </row>
    <row r="586" ht="15.75" customHeight="1" s="25">
      <c r="A586" t="inlineStr">
        <is>
          <t>NEG-0584</t>
        </is>
      </c>
      <c r="B586" t="inlineStr">
        <is>
          <t>Jhon Vargas Henao</t>
        </is>
      </c>
      <c r="C586" t="inlineStr">
        <is>
          <t>PRY-007</t>
        </is>
      </c>
      <c r="D586" t="inlineStr">
        <is>
          <t>Apto 701</t>
        </is>
      </c>
      <c r="E586" t="inlineStr">
        <is>
          <t>Luis Bedoya</t>
        </is>
      </c>
      <c r="F586" t="inlineStr">
        <is>
          <t>Ganado</t>
        </is>
      </c>
      <c r="G586" t="n">
        <v>553000000</v>
      </c>
      <c r="H586" t="n">
        <v>1</v>
      </c>
      <c r="I586" s="28" t="n">
        <v>45783</v>
      </c>
      <c r="J586" s="28" t="n">
        <v>45848</v>
      </c>
      <c r="K586" t="n">
        <v>65</v>
      </c>
      <c r="L586" t="inlineStr">
        <is>
          <t>Promesa de compraventa firmada</t>
        </is>
      </c>
    </row>
    <row r="587" ht="15.75" customHeight="1" s="25">
      <c r="A587" t="inlineStr">
        <is>
          <t>NEG-0585</t>
        </is>
      </c>
      <c r="B587" t="inlineStr">
        <is>
          <t>Mónica Toro Echeverri</t>
        </is>
      </c>
      <c r="C587" t="inlineStr">
        <is>
          <t>PRY-001</t>
        </is>
      </c>
      <c r="D587" t="inlineStr">
        <is>
          <t>Apto 1003</t>
        </is>
      </c>
      <c r="E587" t="inlineStr">
        <is>
          <t>Sofía Prada</t>
        </is>
      </c>
      <c r="F587" t="inlineStr">
        <is>
          <t>Ganado</t>
        </is>
      </c>
      <c r="G587" t="n">
        <v>694000000</v>
      </c>
      <c r="H587" t="n">
        <v>1</v>
      </c>
      <c r="I587" s="28" t="n">
        <v>45785</v>
      </c>
      <c r="J587" s="28" t="n">
        <v>45898</v>
      </c>
      <c r="K587" t="n">
        <v>113</v>
      </c>
      <c r="L587" t="inlineStr">
        <is>
          <t>Promesa de compraventa firmada</t>
        </is>
      </c>
    </row>
    <row r="588" ht="15.75" customHeight="1" s="25">
      <c r="A588" t="inlineStr">
        <is>
          <t>NEG-0586</t>
        </is>
      </c>
      <c r="B588" t="inlineStr">
        <is>
          <t>Laura Cano Sánchez</t>
        </is>
      </c>
      <c r="C588" t="inlineStr">
        <is>
          <t>PRY-008</t>
        </is>
      </c>
      <c r="D588" t="inlineStr">
        <is>
          <t>Casa 25</t>
        </is>
      </c>
      <c r="E588" t="inlineStr">
        <is>
          <t>Daniela Ríos</t>
        </is>
      </c>
      <c r="F588" t="inlineStr">
        <is>
          <t>Ganado</t>
        </is>
      </c>
      <c r="G588" t="n">
        <v>174000000</v>
      </c>
      <c r="H588" t="n">
        <v>1</v>
      </c>
      <c r="I588" s="28" t="n">
        <v>45785</v>
      </c>
      <c r="J588" s="28" t="n">
        <v>45825</v>
      </c>
      <c r="K588" t="n">
        <v>40</v>
      </c>
      <c r="L588" t="inlineStr">
        <is>
          <t>Promesa de compraventa firmada</t>
        </is>
      </c>
    </row>
    <row r="589" ht="15.75" customHeight="1" s="25">
      <c r="A589" t="inlineStr">
        <is>
          <t>NEG-0587</t>
        </is>
      </c>
      <c r="B589" t="inlineStr">
        <is>
          <t>Camila Espinosa Vargas</t>
        </is>
      </c>
      <c r="C589" t="inlineStr">
        <is>
          <t>PRY-003</t>
        </is>
      </c>
      <c r="D589" t="inlineStr">
        <is>
          <t>Apto 1508</t>
        </is>
      </c>
      <c r="E589" t="inlineStr">
        <is>
          <t>Sofía Prada</t>
        </is>
      </c>
      <c r="F589" t="inlineStr">
        <is>
          <t>Ganado</t>
        </is>
      </c>
      <c r="G589" t="n">
        <v>410000000</v>
      </c>
      <c r="H589" t="n">
        <v>1</v>
      </c>
      <c r="I589" s="28" t="n">
        <v>45787</v>
      </c>
      <c r="J589" s="28" t="n">
        <v>45831</v>
      </c>
      <c r="K589" t="n">
        <v>44</v>
      </c>
      <c r="L589" t="inlineStr">
        <is>
          <t>Promesa de compraventa firmada</t>
        </is>
      </c>
    </row>
    <row r="590" ht="15.75" customHeight="1" s="25">
      <c r="A590" t="inlineStr">
        <is>
          <t>NEG-0588</t>
        </is>
      </c>
      <c r="B590" t="inlineStr">
        <is>
          <t>Luisa Osorio Cano</t>
        </is>
      </c>
      <c r="C590" t="inlineStr">
        <is>
          <t>PRY-005</t>
        </is>
      </c>
      <c r="D590" t="inlineStr">
        <is>
          <t>Apto 505</t>
        </is>
      </c>
      <c r="E590" t="inlineStr">
        <is>
          <t>Miguel Salazar</t>
        </is>
      </c>
      <c r="F590" t="inlineStr">
        <is>
          <t>Perdido</t>
        </is>
      </c>
      <c r="G590" t="n">
        <v>387000000</v>
      </c>
      <c r="H590" t="n">
        <v>0</v>
      </c>
      <c r="I590" s="28" t="n">
        <v>45787</v>
      </c>
      <c r="J590" s="28" t="n">
        <v>45850</v>
      </c>
      <c r="K590" t="n">
        <v>63</v>
      </c>
      <c r="L590" t="inlineStr">
        <is>
          <t>Desistió de la compra</t>
        </is>
      </c>
    </row>
    <row r="591" ht="15.75" customHeight="1" s="25">
      <c r="A591" t="inlineStr">
        <is>
          <t>NEG-0589</t>
        </is>
      </c>
      <c r="B591" t="inlineStr">
        <is>
          <t>Catalina Salazar Espinosa</t>
        </is>
      </c>
      <c r="C591" t="inlineStr">
        <is>
          <t>PRY-003</t>
        </is>
      </c>
      <c r="D591" t="inlineStr">
        <is>
          <t>Apto 1107</t>
        </is>
      </c>
      <c r="E591" t="inlineStr">
        <is>
          <t>Andrés Torres</t>
        </is>
      </c>
      <c r="F591" t="inlineStr">
        <is>
          <t>Perdido</t>
        </is>
      </c>
      <c r="G591" t="n">
        <v>308000000</v>
      </c>
      <c r="H591" t="n">
        <v>0</v>
      </c>
      <c r="I591" s="28" t="n">
        <v>45788</v>
      </c>
      <c r="J591" s="28" t="n">
        <v>45870</v>
      </c>
      <c r="K591" t="n">
        <v>82</v>
      </c>
      <c r="L591" t="inlineStr">
        <is>
          <t>Eligió otro proyecto</t>
        </is>
      </c>
    </row>
    <row r="592" ht="15.75" customHeight="1" s="25">
      <c r="A592" t="inlineStr">
        <is>
          <t>NEG-0590</t>
        </is>
      </c>
      <c r="B592" t="inlineStr">
        <is>
          <t>Mateo Duque Betancur</t>
        </is>
      </c>
      <c r="C592" t="inlineStr">
        <is>
          <t>PRY-003</t>
        </is>
      </c>
      <c r="D592" t="inlineStr">
        <is>
          <t>Apto 1103</t>
        </is>
      </c>
      <c r="E592" t="inlineStr">
        <is>
          <t>Paula Arenas</t>
        </is>
      </c>
      <c r="F592" t="inlineStr">
        <is>
          <t>Ganado</t>
        </is>
      </c>
      <c r="G592" t="n">
        <v>404000000</v>
      </c>
      <c r="H592" t="n">
        <v>1</v>
      </c>
      <c r="I592" s="28" t="n">
        <v>45790</v>
      </c>
      <c r="J592" s="28" t="n">
        <v>45856</v>
      </c>
      <c r="K592" t="n">
        <v>66</v>
      </c>
      <c r="L592" t="inlineStr">
        <is>
          <t>Promesa de compraventa firmada</t>
        </is>
      </c>
    </row>
    <row r="593" ht="15.75" customHeight="1" s="25">
      <c r="A593" t="inlineStr">
        <is>
          <t>NEG-0591</t>
        </is>
      </c>
      <c r="B593" t="inlineStr">
        <is>
          <t>Simón Sánchez Vásquez</t>
        </is>
      </c>
      <c r="C593" t="inlineStr">
        <is>
          <t>PRY-005</t>
        </is>
      </c>
      <c r="D593" t="inlineStr">
        <is>
          <t>Casa 22</t>
        </is>
      </c>
      <c r="E593" t="inlineStr">
        <is>
          <t>Luis Bedoya</t>
        </is>
      </c>
      <c r="F593" t="inlineStr">
        <is>
          <t>Ganado</t>
        </is>
      </c>
      <c r="G593" t="n">
        <v>368000000</v>
      </c>
      <c r="H593" t="n">
        <v>1</v>
      </c>
      <c r="I593" s="28" t="n">
        <v>45790</v>
      </c>
      <c r="J593" s="28" t="n">
        <v>45860</v>
      </c>
      <c r="K593" t="n">
        <v>70</v>
      </c>
      <c r="L593" t="inlineStr">
        <is>
          <t>Promesa de compraventa firmada</t>
        </is>
      </c>
    </row>
    <row r="594" ht="15.75" customHeight="1" s="25">
      <c r="A594" t="inlineStr">
        <is>
          <t>NEG-0592</t>
        </is>
      </c>
      <c r="B594" t="inlineStr">
        <is>
          <t>Camila Marín Ríos</t>
        </is>
      </c>
      <c r="C594" t="inlineStr">
        <is>
          <t>PRY-008</t>
        </is>
      </c>
      <c r="D594" t="inlineStr">
        <is>
          <t>Casa 41</t>
        </is>
      </c>
      <c r="E594" t="inlineStr">
        <is>
          <t>Luis Bedoya</t>
        </is>
      </c>
      <c r="F594" t="inlineStr">
        <is>
          <t>Perdido</t>
        </is>
      </c>
      <c r="G594" t="n">
        <v>170000000</v>
      </c>
      <c r="H594" t="n">
        <v>0</v>
      </c>
      <c r="I594" s="28" t="n">
        <v>45791</v>
      </c>
      <c r="J594" s="28" t="n">
        <v>45842</v>
      </c>
      <c r="K594" t="n">
        <v>51</v>
      </c>
      <c r="L594" t="inlineStr">
        <is>
          <t>Precio fuera de presupuesto</t>
        </is>
      </c>
    </row>
    <row r="595" ht="15.75" customHeight="1" s="25">
      <c r="A595" t="inlineStr">
        <is>
          <t>NEG-0593</t>
        </is>
      </c>
      <c r="B595" t="inlineStr">
        <is>
          <t>María Echeverri Zapata</t>
        </is>
      </c>
      <c r="C595" t="inlineStr">
        <is>
          <t>PRY-003</t>
        </is>
      </c>
      <c r="D595" t="inlineStr">
        <is>
          <t>Apto 2205</t>
        </is>
      </c>
      <c r="E595" t="inlineStr">
        <is>
          <t>Santiago Muñoz</t>
        </is>
      </c>
      <c r="F595" t="inlineStr">
        <is>
          <t>Ganado</t>
        </is>
      </c>
      <c r="G595" t="n">
        <v>322000000</v>
      </c>
      <c r="H595" t="n">
        <v>1</v>
      </c>
      <c r="I595" s="28" t="n">
        <v>45792</v>
      </c>
      <c r="J595" s="28" t="n">
        <v>45831</v>
      </c>
      <c r="K595" t="n">
        <v>39</v>
      </c>
      <c r="L595" t="inlineStr">
        <is>
          <t>Promesa de compraventa firmada</t>
        </is>
      </c>
    </row>
    <row r="596" ht="15.75" customHeight="1" s="25">
      <c r="A596" t="inlineStr">
        <is>
          <t>NEG-0594</t>
        </is>
      </c>
      <c r="B596" t="inlineStr">
        <is>
          <t>Sandra Gómez Ramírez</t>
        </is>
      </c>
      <c r="C596" t="inlineStr">
        <is>
          <t>PRY-007</t>
        </is>
      </c>
      <c r="D596" t="inlineStr">
        <is>
          <t>Apto 1404</t>
        </is>
      </c>
      <c r="E596" t="inlineStr">
        <is>
          <t>Luis Bedoya</t>
        </is>
      </c>
      <c r="F596" t="inlineStr">
        <is>
          <t>Ganado</t>
        </is>
      </c>
      <c r="G596" t="n">
        <v>813000000</v>
      </c>
      <c r="H596" t="n">
        <v>1</v>
      </c>
      <c r="I596" s="28" t="n">
        <v>45792</v>
      </c>
      <c r="J596" s="28" t="n">
        <v>45910</v>
      </c>
      <c r="K596" t="n">
        <v>118</v>
      </c>
      <c r="L596" t="inlineStr">
        <is>
          <t>Promesa de compraventa firmada</t>
        </is>
      </c>
    </row>
    <row r="597" ht="15.75" customHeight="1" s="25">
      <c r="A597" t="inlineStr">
        <is>
          <t>NEG-0595</t>
        </is>
      </c>
      <c r="B597" t="inlineStr">
        <is>
          <t>Natalia Vargas Pérez</t>
        </is>
      </c>
      <c r="C597" t="inlineStr">
        <is>
          <t>PRY-008</t>
        </is>
      </c>
      <c r="D597" t="inlineStr">
        <is>
          <t>Casa 101</t>
        </is>
      </c>
      <c r="E597" t="inlineStr">
        <is>
          <t>Andrés Torres</t>
        </is>
      </c>
      <c r="F597" t="inlineStr">
        <is>
          <t>Ganado</t>
        </is>
      </c>
      <c r="G597" t="n">
        <v>165000000</v>
      </c>
      <c r="H597" t="n">
        <v>1</v>
      </c>
      <c r="I597" s="28" t="n">
        <v>45792</v>
      </c>
      <c r="J597" s="28" t="n">
        <v>45862</v>
      </c>
      <c r="K597" t="n">
        <v>70</v>
      </c>
      <c r="L597" t="inlineStr">
        <is>
          <t>Promesa de compraventa firmada</t>
        </is>
      </c>
    </row>
    <row r="598" ht="15.75" customHeight="1" s="25">
      <c r="A598" t="inlineStr">
        <is>
          <t>NEG-0596</t>
        </is>
      </c>
      <c r="B598" t="inlineStr">
        <is>
          <t>Liliana Cifuentes Castaño</t>
        </is>
      </c>
      <c r="C598" t="inlineStr">
        <is>
          <t>PRY-008</t>
        </is>
      </c>
      <c r="D598" t="inlineStr">
        <is>
          <t>Casa 21</t>
        </is>
      </c>
      <c r="E598" t="inlineStr">
        <is>
          <t>Ana Quintero</t>
        </is>
      </c>
      <c r="F598" t="inlineStr">
        <is>
          <t>Ganado</t>
        </is>
      </c>
      <c r="G598" t="n">
        <v>183000000</v>
      </c>
      <c r="H598" t="n">
        <v>1</v>
      </c>
      <c r="I598" s="28" t="n">
        <v>45793</v>
      </c>
      <c r="J598" s="28" t="n">
        <v>45822</v>
      </c>
      <c r="K598" t="n">
        <v>29</v>
      </c>
      <c r="L598" t="inlineStr">
        <is>
          <t>Promesa de compraventa firmada</t>
        </is>
      </c>
    </row>
    <row r="599" ht="15.75" customHeight="1" s="25">
      <c r="A599" t="inlineStr">
        <is>
          <t>NEG-0597</t>
        </is>
      </c>
      <c r="B599" t="inlineStr">
        <is>
          <t>Katherine Osorio Jaramillo</t>
        </is>
      </c>
      <c r="C599" t="inlineStr">
        <is>
          <t>PRY-005</t>
        </is>
      </c>
      <c r="D599" t="inlineStr">
        <is>
          <t>Casa 29</t>
        </is>
      </c>
      <c r="E599" t="inlineStr">
        <is>
          <t>Sofía Prada</t>
        </is>
      </c>
      <c r="F599" t="inlineStr">
        <is>
          <t>Perdido</t>
        </is>
      </c>
      <c r="G599" t="n">
        <v>450000000</v>
      </c>
      <c r="H599" t="n">
        <v>0</v>
      </c>
      <c r="I599" s="28" t="n">
        <v>45795</v>
      </c>
      <c r="J599" s="28" t="n">
        <v>45874</v>
      </c>
      <c r="K599" t="n">
        <v>79</v>
      </c>
      <c r="L599" t="inlineStr">
        <is>
          <t>No volvió a responder</t>
        </is>
      </c>
    </row>
    <row r="600" ht="15.75" customHeight="1" s="25">
      <c r="A600" t="inlineStr">
        <is>
          <t>NEG-0598</t>
        </is>
      </c>
      <c r="B600" t="inlineStr">
        <is>
          <t>Cristian Uribe Jaramillo</t>
        </is>
      </c>
      <c r="C600" t="inlineStr">
        <is>
          <t>PRY-005</t>
        </is>
      </c>
      <c r="D600" t="inlineStr">
        <is>
          <t>Apto 507</t>
        </is>
      </c>
      <c r="E600" t="inlineStr">
        <is>
          <t>Daniela Ríos</t>
        </is>
      </c>
      <c r="F600" t="inlineStr">
        <is>
          <t>Ganado</t>
        </is>
      </c>
      <c r="G600" t="n">
        <v>480000000</v>
      </c>
      <c r="H600" t="n">
        <v>1</v>
      </c>
      <c r="I600" s="28" t="n">
        <v>45796</v>
      </c>
      <c r="J600" s="28" t="n">
        <v>45867</v>
      </c>
      <c r="K600" t="n">
        <v>71</v>
      </c>
      <c r="L600" t="inlineStr">
        <is>
          <t>Promesa de compraventa firmada</t>
        </is>
      </c>
    </row>
    <row r="601" ht="15.75" customHeight="1" s="25">
      <c r="A601" t="inlineStr">
        <is>
          <t>NEG-0599</t>
        </is>
      </c>
      <c r="B601" t="inlineStr">
        <is>
          <t>Cristian Vélez Palacio</t>
        </is>
      </c>
      <c r="C601" t="inlineStr">
        <is>
          <t>PRY-006</t>
        </is>
      </c>
      <c r="D601" t="inlineStr">
        <is>
          <t>Local 26</t>
        </is>
      </c>
      <c r="E601" t="inlineStr">
        <is>
          <t>Paula Arenas</t>
        </is>
      </c>
      <c r="F601" t="inlineStr">
        <is>
          <t>Perdido</t>
        </is>
      </c>
      <c r="G601" t="n">
        <v>553000000</v>
      </c>
      <c r="H601" t="n">
        <v>0</v>
      </c>
      <c r="I601" s="28" t="n">
        <v>45796</v>
      </c>
      <c r="J601" s="28" t="n">
        <v>45907</v>
      </c>
      <c r="K601" t="n">
        <v>111</v>
      </c>
      <c r="L601" t="inlineStr">
        <is>
          <t>Precio fuera de presupuesto</t>
        </is>
      </c>
    </row>
    <row r="602" ht="15.75" customHeight="1" s="25">
      <c r="A602" t="inlineStr">
        <is>
          <t>NEG-0600</t>
        </is>
      </c>
      <c r="B602" t="inlineStr">
        <is>
          <t>Mateo Palacio Ochoa</t>
        </is>
      </c>
      <c r="C602" t="inlineStr">
        <is>
          <t>PRY-002</t>
        </is>
      </c>
      <c r="D602" t="inlineStr">
        <is>
          <t>Casa 20</t>
        </is>
      </c>
      <c r="E602" t="inlineStr">
        <is>
          <t>Sofía Prada</t>
        </is>
      </c>
      <c r="F602" t="inlineStr">
        <is>
          <t>Perdido</t>
        </is>
      </c>
      <c r="G602" t="n">
        <v>756000000</v>
      </c>
      <c r="H602" t="n">
        <v>0</v>
      </c>
      <c r="I602" s="28" t="n">
        <v>45797</v>
      </c>
      <c r="J602" s="28" t="n">
        <v>45920</v>
      </c>
      <c r="K602" t="n">
        <v>123</v>
      </c>
      <c r="L602" t="inlineStr">
        <is>
          <t>Precio fuera de presupuesto</t>
        </is>
      </c>
    </row>
    <row r="603" ht="15.75" customHeight="1" s="25">
      <c r="A603" t="inlineStr">
        <is>
          <t>NEG-0601</t>
        </is>
      </c>
      <c r="B603" t="inlineStr">
        <is>
          <t>Camila Sánchez Mejía</t>
        </is>
      </c>
      <c r="C603" t="inlineStr">
        <is>
          <t>PRY-005</t>
        </is>
      </c>
      <c r="D603" t="inlineStr">
        <is>
          <t>Casa 19</t>
        </is>
      </c>
      <c r="E603" t="inlineStr">
        <is>
          <t>Miguel Salazar</t>
        </is>
      </c>
      <c r="F603" t="inlineStr">
        <is>
          <t>Ganado</t>
        </is>
      </c>
      <c r="G603" t="n">
        <v>393000000</v>
      </c>
      <c r="H603" t="n">
        <v>1</v>
      </c>
      <c r="I603" s="28" t="n">
        <v>45797</v>
      </c>
      <c r="J603" s="28" t="n">
        <v>45891</v>
      </c>
      <c r="K603" t="n">
        <v>94</v>
      </c>
      <c r="L603" t="inlineStr">
        <is>
          <t>Promesa de compraventa firmada</t>
        </is>
      </c>
    </row>
    <row r="604" ht="15.75" customHeight="1" s="25">
      <c r="A604" t="inlineStr">
        <is>
          <t>NEG-0602</t>
        </is>
      </c>
      <c r="B604" t="inlineStr">
        <is>
          <t>David Toro Álvarez</t>
        </is>
      </c>
      <c r="C604" t="inlineStr">
        <is>
          <t>PRY-002</t>
        </is>
      </c>
      <c r="D604" t="inlineStr">
        <is>
          <t>Casa 47</t>
        </is>
      </c>
      <c r="E604" t="inlineStr">
        <is>
          <t>Luis Bedoya</t>
        </is>
      </c>
      <c r="F604" t="inlineStr">
        <is>
          <t>Ganado</t>
        </is>
      </c>
      <c r="G604" t="n">
        <v>809000000</v>
      </c>
      <c r="H604" t="n">
        <v>1</v>
      </c>
      <c r="I604" s="28" t="n">
        <v>45798</v>
      </c>
      <c r="J604" s="28" t="n">
        <v>45941</v>
      </c>
      <c r="K604" t="n">
        <v>143</v>
      </c>
      <c r="L604" t="inlineStr">
        <is>
          <t>Promesa de compraventa firmada</t>
        </is>
      </c>
    </row>
    <row r="605" ht="15.75" customHeight="1" s="25">
      <c r="A605" t="inlineStr">
        <is>
          <t>NEG-0603</t>
        </is>
      </c>
      <c r="B605" t="inlineStr">
        <is>
          <t>Carolina Toro Sánchez</t>
        </is>
      </c>
      <c r="C605" t="inlineStr">
        <is>
          <t>PRY-003</t>
        </is>
      </c>
      <c r="D605" t="inlineStr">
        <is>
          <t>Apto 807</t>
        </is>
      </c>
      <c r="E605" t="inlineStr">
        <is>
          <t>Ana Quintero</t>
        </is>
      </c>
      <c r="F605" t="inlineStr">
        <is>
          <t>Perdido</t>
        </is>
      </c>
      <c r="G605" t="n">
        <v>392000000</v>
      </c>
      <c r="H605" t="n">
        <v>0</v>
      </c>
      <c r="I605" s="28" t="n">
        <v>45798</v>
      </c>
      <c r="J605" s="28" t="n">
        <v>45835</v>
      </c>
      <c r="K605" t="n">
        <v>37</v>
      </c>
      <c r="L605" t="inlineStr">
        <is>
          <t>Eligió otro proyecto</t>
        </is>
      </c>
    </row>
    <row r="606" ht="15.75" customHeight="1" s="25">
      <c r="A606" t="inlineStr">
        <is>
          <t>NEG-0604</t>
        </is>
      </c>
      <c r="B606" t="inlineStr">
        <is>
          <t>Hernán Ochoa Toro</t>
        </is>
      </c>
      <c r="C606" t="inlineStr">
        <is>
          <t>PRY-008</t>
        </is>
      </c>
      <c r="D606" t="inlineStr">
        <is>
          <t>Casa 37</t>
        </is>
      </c>
      <c r="E606" t="inlineStr">
        <is>
          <t>Juliana Vélez</t>
        </is>
      </c>
      <c r="F606" t="inlineStr">
        <is>
          <t>Perdido</t>
        </is>
      </c>
      <c r="G606" t="n">
        <v>164000000</v>
      </c>
      <c r="H606" t="n">
        <v>0</v>
      </c>
      <c r="I606" s="28" t="n">
        <v>45798</v>
      </c>
      <c r="J606" s="28" t="n">
        <v>45838</v>
      </c>
      <c r="K606" t="n">
        <v>40</v>
      </c>
      <c r="L606" t="inlineStr">
        <is>
          <t>Crédito no aprobado</t>
        </is>
      </c>
    </row>
    <row r="607" ht="15.75" customHeight="1" s="25">
      <c r="A607" t="inlineStr">
        <is>
          <t>NEG-0605</t>
        </is>
      </c>
      <c r="B607" t="inlineStr">
        <is>
          <t>Sofía Osorio Palacio</t>
        </is>
      </c>
      <c r="C607" t="inlineStr">
        <is>
          <t>PRY-002</t>
        </is>
      </c>
      <c r="D607" t="inlineStr">
        <is>
          <t>Casa 46</t>
        </is>
      </c>
      <c r="E607" t="inlineStr">
        <is>
          <t>Santiago Muñoz</t>
        </is>
      </c>
      <c r="F607" t="inlineStr">
        <is>
          <t>Ganado</t>
        </is>
      </c>
      <c r="G607" t="n">
        <v>728000000</v>
      </c>
      <c r="H607" t="n">
        <v>1</v>
      </c>
      <c r="I607" s="28" t="n">
        <v>45799</v>
      </c>
      <c r="J607" s="28" t="n">
        <v>45899</v>
      </c>
      <c r="K607" t="n">
        <v>100</v>
      </c>
      <c r="L607" t="inlineStr">
        <is>
          <t>Promesa de compraventa firmada</t>
        </is>
      </c>
    </row>
    <row r="608" ht="15.75" customHeight="1" s="25">
      <c r="A608" t="inlineStr">
        <is>
          <t>NEG-0606</t>
        </is>
      </c>
      <c r="B608" t="inlineStr">
        <is>
          <t>Laura Montes Montes</t>
        </is>
      </c>
      <c r="C608" t="inlineStr">
        <is>
          <t>PRY-003</t>
        </is>
      </c>
      <c r="D608" t="inlineStr">
        <is>
          <t>Apto 1603</t>
        </is>
      </c>
      <c r="E608" t="inlineStr">
        <is>
          <t>Luis Bedoya</t>
        </is>
      </c>
      <c r="F608" t="inlineStr">
        <is>
          <t>Ganado</t>
        </is>
      </c>
      <c r="G608" t="n">
        <v>401000000</v>
      </c>
      <c r="H608" t="n">
        <v>1</v>
      </c>
      <c r="I608" s="28" t="n">
        <v>45799</v>
      </c>
      <c r="J608" s="28" t="n">
        <v>45852</v>
      </c>
      <c r="K608" t="n">
        <v>53</v>
      </c>
      <c r="L608" t="inlineStr">
        <is>
          <t>Promesa de compraventa firmada</t>
        </is>
      </c>
    </row>
    <row r="609" ht="15.75" customHeight="1" s="25">
      <c r="A609" t="inlineStr">
        <is>
          <t>NEG-0607</t>
        </is>
      </c>
      <c r="B609" t="inlineStr">
        <is>
          <t>Hernán Henao Franco</t>
        </is>
      </c>
      <c r="C609" t="inlineStr">
        <is>
          <t>PRY-005</t>
        </is>
      </c>
      <c r="D609" t="inlineStr">
        <is>
          <t>Casa 32</t>
        </is>
      </c>
      <c r="E609" t="inlineStr">
        <is>
          <t>Juliana Vélez</t>
        </is>
      </c>
      <c r="F609" t="inlineStr">
        <is>
          <t>Perdido</t>
        </is>
      </c>
      <c r="G609" t="n">
        <v>459000000</v>
      </c>
      <c r="H609" t="n">
        <v>0</v>
      </c>
      <c r="I609" s="28" t="n">
        <v>45799</v>
      </c>
      <c r="J609" s="28" t="n">
        <v>45836</v>
      </c>
      <c r="K609" t="n">
        <v>37</v>
      </c>
      <c r="L609" t="inlineStr">
        <is>
          <t>Crédito no aprobado</t>
        </is>
      </c>
    </row>
    <row r="610" ht="15.75" customHeight="1" s="25">
      <c r="A610" t="inlineStr">
        <is>
          <t>NEG-0608</t>
        </is>
      </c>
      <c r="B610" t="inlineStr">
        <is>
          <t>Alejandra Montoya Agudelo</t>
        </is>
      </c>
      <c r="C610" t="inlineStr">
        <is>
          <t>PRY-006</t>
        </is>
      </c>
      <c r="D610" t="inlineStr">
        <is>
          <t>Local 39</t>
        </is>
      </c>
      <c r="E610" t="inlineStr">
        <is>
          <t>Sofía Prada</t>
        </is>
      </c>
      <c r="F610" t="inlineStr">
        <is>
          <t>Ganado</t>
        </is>
      </c>
      <c r="G610" t="n">
        <v>565000000</v>
      </c>
      <c r="H610" t="n">
        <v>1</v>
      </c>
      <c r="I610" s="28" t="n">
        <v>45799</v>
      </c>
      <c r="J610" s="28" t="n">
        <v>45880</v>
      </c>
      <c r="K610" t="n">
        <v>81</v>
      </c>
      <c r="L610" t="inlineStr">
        <is>
          <t>Promesa de compraventa firmada</t>
        </is>
      </c>
    </row>
    <row r="611" ht="15.75" customHeight="1" s="25">
      <c r="A611" t="inlineStr">
        <is>
          <t>NEG-0609</t>
        </is>
      </c>
      <c r="B611" t="inlineStr">
        <is>
          <t>Alejandra Muñoz Arango</t>
        </is>
      </c>
      <c r="C611" t="inlineStr">
        <is>
          <t>PRY-006</t>
        </is>
      </c>
      <c r="D611" t="inlineStr">
        <is>
          <t>Local 3</t>
        </is>
      </c>
      <c r="E611" t="inlineStr">
        <is>
          <t>Luis Bedoya</t>
        </is>
      </c>
      <c r="F611" t="inlineStr">
        <is>
          <t>Ganado</t>
        </is>
      </c>
      <c r="G611" t="n">
        <v>611000000</v>
      </c>
      <c r="H611" t="n">
        <v>1</v>
      </c>
      <c r="I611" s="28" t="n">
        <v>45799</v>
      </c>
      <c r="J611" s="28" t="n">
        <v>45896</v>
      </c>
      <c r="K611" t="n">
        <v>97</v>
      </c>
      <c r="L611" t="inlineStr">
        <is>
          <t>Promesa de compraventa firmada</t>
        </is>
      </c>
    </row>
    <row r="612" ht="15.75" customHeight="1" s="25">
      <c r="A612" t="inlineStr">
        <is>
          <t>NEG-0610</t>
        </is>
      </c>
      <c r="B612" t="inlineStr">
        <is>
          <t>José Betancur Bedoya</t>
        </is>
      </c>
      <c r="C612" t="inlineStr">
        <is>
          <t>PRY-008</t>
        </is>
      </c>
      <c r="D612" t="inlineStr">
        <is>
          <t>Casa 49</t>
        </is>
      </c>
      <c r="E612" t="inlineStr">
        <is>
          <t>Juliana Vélez</t>
        </is>
      </c>
      <c r="F612" t="inlineStr">
        <is>
          <t>Ganado</t>
        </is>
      </c>
      <c r="G612" t="n">
        <v>141000000</v>
      </c>
      <c r="H612" t="n">
        <v>1</v>
      </c>
      <c r="I612" s="28" t="n">
        <v>45799</v>
      </c>
      <c r="J612" s="28" t="n">
        <v>45868</v>
      </c>
      <c r="K612" t="n">
        <v>69</v>
      </c>
      <c r="L612" t="inlineStr">
        <is>
          <t>Promesa de compraventa firmada</t>
        </is>
      </c>
    </row>
    <row r="613" ht="15.75" customHeight="1" s="25">
      <c r="A613" t="inlineStr">
        <is>
          <t>NEG-0611</t>
        </is>
      </c>
      <c r="B613" t="inlineStr">
        <is>
          <t>Carolina Gaviria Vargas</t>
        </is>
      </c>
      <c r="C613" t="inlineStr">
        <is>
          <t>PRY-003</t>
        </is>
      </c>
      <c r="D613" t="inlineStr">
        <is>
          <t>Apto 2005</t>
        </is>
      </c>
      <c r="E613" t="inlineStr">
        <is>
          <t>Ana Quintero</t>
        </is>
      </c>
      <c r="F613" t="inlineStr">
        <is>
          <t>Ganado</t>
        </is>
      </c>
      <c r="G613" t="n">
        <v>370000000</v>
      </c>
      <c r="H613" t="n">
        <v>1</v>
      </c>
      <c r="I613" s="28" t="n">
        <v>45801</v>
      </c>
      <c r="J613" s="28" t="n">
        <v>45831</v>
      </c>
      <c r="K613" t="n">
        <v>30</v>
      </c>
      <c r="L613" t="inlineStr">
        <is>
          <t>Promesa de compraventa firmada</t>
        </is>
      </c>
    </row>
    <row r="614" ht="15.75" customHeight="1" s="25">
      <c r="A614" t="inlineStr">
        <is>
          <t>NEG-0612</t>
        </is>
      </c>
      <c r="B614" t="inlineStr">
        <is>
          <t>Daniela Quintero Bedoya</t>
        </is>
      </c>
      <c r="C614" t="inlineStr">
        <is>
          <t>PRY-001</t>
        </is>
      </c>
      <c r="D614" t="inlineStr">
        <is>
          <t>Apto 606</t>
        </is>
      </c>
      <c r="E614" t="inlineStr">
        <is>
          <t>Sofía Prada</t>
        </is>
      </c>
      <c r="F614" t="inlineStr">
        <is>
          <t>Ganado</t>
        </is>
      </c>
      <c r="G614" t="n">
        <v>705000000</v>
      </c>
      <c r="H614" t="n">
        <v>1</v>
      </c>
      <c r="I614" s="28" t="n">
        <v>45802</v>
      </c>
      <c r="J614" s="28" t="n">
        <v>45896</v>
      </c>
      <c r="K614" t="n">
        <v>94</v>
      </c>
      <c r="L614" t="inlineStr">
        <is>
          <t>Promesa de compraventa firmada</t>
        </is>
      </c>
    </row>
    <row r="615" ht="15.75" customHeight="1" s="25">
      <c r="A615" t="inlineStr">
        <is>
          <t>NEG-0613</t>
        </is>
      </c>
      <c r="B615" t="inlineStr">
        <is>
          <t>Sofía Giraldo Escobar</t>
        </is>
      </c>
      <c r="C615" t="inlineStr">
        <is>
          <t>PRY-003</t>
        </is>
      </c>
      <c r="D615" t="inlineStr">
        <is>
          <t>Apto 204</t>
        </is>
      </c>
      <c r="E615" t="inlineStr">
        <is>
          <t>Sofía Prada</t>
        </is>
      </c>
      <c r="F615" t="inlineStr">
        <is>
          <t>Ganado</t>
        </is>
      </c>
      <c r="G615" t="n">
        <v>303000000</v>
      </c>
      <c r="H615" t="n">
        <v>1</v>
      </c>
      <c r="I615" s="28" t="n">
        <v>45802</v>
      </c>
      <c r="J615" s="28" t="n">
        <v>45865</v>
      </c>
      <c r="K615" t="n">
        <v>63</v>
      </c>
      <c r="L615" t="inlineStr">
        <is>
          <t>Promesa de compraventa firmada</t>
        </is>
      </c>
    </row>
    <row r="616" ht="15.75" customHeight="1" s="25">
      <c r="A616" t="inlineStr">
        <is>
          <t>NEG-0614</t>
        </is>
      </c>
      <c r="B616" t="inlineStr">
        <is>
          <t>Carlos Duque Betancur</t>
        </is>
      </c>
      <c r="C616" t="inlineStr">
        <is>
          <t>PRY-006</t>
        </is>
      </c>
      <c r="D616" t="inlineStr">
        <is>
          <t>Local 26</t>
        </is>
      </c>
      <c r="E616" t="inlineStr">
        <is>
          <t>Paula Arenas</t>
        </is>
      </c>
      <c r="F616" t="inlineStr">
        <is>
          <t>Ganado</t>
        </is>
      </c>
      <c r="G616" t="n">
        <v>565000000</v>
      </c>
      <c r="H616" t="n">
        <v>1</v>
      </c>
      <c r="I616" s="28" t="n">
        <v>45802</v>
      </c>
      <c r="J616" s="28" t="n">
        <v>45893</v>
      </c>
      <c r="K616" t="n">
        <v>91</v>
      </c>
      <c r="L616" t="inlineStr">
        <is>
          <t>Promesa de compraventa firmada</t>
        </is>
      </c>
    </row>
    <row r="617" ht="15.75" customHeight="1" s="25">
      <c r="A617" t="inlineStr">
        <is>
          <t>NEG-0615</t>
        </is>
      </c>
      <c r="B617" t="inlineStr">
        <is>
          <t>Juliana Arango Vargas</t>
        </is>
      </c>
      <c r="C617" t="inlineStr">
        <is>
          <t>PRY-002</t>
        </is>
      </c>
      <c r="D617" t="inlineStr">
        <is>
          <t>Casa 31</t>
        </is>
      </c>
      <c r="E617" t="inlineStr">
        <is>
          <t>Paula Arenas</t>
        </is>
      </c>
      <c r="F617" t="inlineStr">
        <is>
          <t>Ganado</t>
        </is>
      </c>
      <c r="G617" t="n">
        <v>709000000</v>
      </c>
      <c r="H617" t="n">
        <v>1</v>
      </c>
      <c r="I617" s="28" t="n">
        <v>45803</v>
      </c>
      <c r="J617" s="28" t="n">
        <v>45900</v>
      </c>
      <c r="K617" t="n">
        <v>97</v>
      </c>
      <c r="L617" t="inlineStr">
        <is>
          <t>Promesa de compraventa firmada</t>
        </is>
      </c>
    </row>
    <row r="618" ht="15.75" customHeight="1" s="25">
      <c r="A618" t="inlineStr">
        <is>
          <t>NEG-0616</t>
        </is>
      </c>
      <c r="B618" t="inlineStr">
        <is>
          <t>Jorge Henao Quintero</t>
        </is>
      </c>
      <c r="C618" t="inlineStr">
        <is>
          <t>PRY-007</t>
        </is>
      </c>
      <c r="D618" t="inlineStr">
        <is>
          <t>Apto 1502</t>
        </is>
      </c>
      <c r="E618" t="inlineStr">
        <is>
          <t>Miguel Salazar</t>
        </is>
      </c>
      <c r="F618" t="inlineStr">
        <is>
          <t>Ganado</t>
        </is>
      </c>
      <c r="G618" t="n">
        <v>830000000</v>
      </c>
      <c r="H618" t="n">
        <v>1</v>
      </c>
      <c r="I618" s="28" t="n">
        <v>45803</v>
      </c>
      <c r="J618" s="28" t="n">
        <v>45881</v>
      </c>
      <c r="K618" t="n">
        <v>78</v>
      </c>
      <c r="L618" t="inlineStr">
        <is>
          <t>Promesa de compraventa firmada</t>
        </is>
      </c>
    </row>
    <row r="619" ht="15.75" customHeight="1" s="25">
      <c r="A619" t="inlineStr">
        <is>
          <t>NEG-0617</t>
        </is>
      </c>
      <c r="B619" t="inlineStr">
        <is>
          <t>Julián Cano Vargas</t>
        </is>
      </c>
      <c r="C619" t="inlineStr">
        <is>
          <t>PRY-008</t>
        </is>
      </c>
      <c r="D619" t="inlineStr">
        <is>
          <t>Casa 18</t>
        </is>
      </c>
      <c r="E619" t="inlineStr">
        <is>
          <t>Luis Bedoya</t>
        </is>
      </c>
      <c r="F619" t="inlineStr">
        <is>
          <t>Perdido</t>
        </is>
      </c>
      <c r="G619" t="n">
        <v>146000000</v>
      </c>
      <c r="H619" t="n">
        <v>0</v>
      </c>
      <c r="I619" s="28" t="n">
        <v>45803</v>
      </c>
      <c r="J619" s="28" t="n">
        <v>45841</v>
      </c>
      <c r="K619" t="n">
        <v>38</v>
      </c>
      <c r="L619" t="inlineStr">
        <is>
          <t>Cambió de ciudad</t>
        </is>
      </c>
    </row>
    <row r="620" ht="15.75" customHeight="1" s="25">
      <c r="A620" t="inlineStr">
        <is>
          <t>NEG-0618</t>
        </is>
      </c>
      <c r="B620" t="inlineStr">
        <is>
          <t>Cristian Vargas Correa</t>
        </is>
      </c>
      <c r="C620" t="inlineStr">
        <is>
          <t>PRY-005</t>
        </is>
      </c>
      <c r="D620" t="inlineStr">
        <is>
          <t>Casa 48</t>
        </is>
      </c>
      <c r="E620" t="inlineStr">
        <is>
          <t>Sofía Prada</t>
        </is>
      </c>
      <c r="F620" t="inlineStr">
        <is>
          <t>Perdido</t>
        </is>
      </c>
      <c r="G620" t="n">
        <v>415000000</v>
      </c>
      <c r="H620" t="n">
        <v>0</v>
      </c>
      <c r="I620" s="28" t="n">
        <v>45805</v>
      </c>
      <c r="J620" s="28" t="n">
        <v>45917</v>
      </c>
      <c r="K620" t="n">
        <v>112</v>
      </c>
      <c r="L620" t="inlineStr">
        <is>
          <t>Precio fuera de presupuesto</t>
        </is>
      </c>
    </row>
    <row r="621" ht="15.75" customHeight="1" s="25">
      <c r="A621" t="inlineStr">
        <is>
          <t>NEG-0619</t>
        </is>
      </c>
      <c r="B621" t="inlineStr">
        <is>
          <t>Simón Rojas Escobar</t>
        </is>
      </c>
      <c r="C621" t="inlineStr">
        <is>
          <t>PRY-006</t>
        </is>
      </c>
      <c r="D621" t="inlineStr">
        <is>
          <t>Local 37</t>
        </is>
      </c>
      <c r="E621" t="inlineStr">
        <is>
          <t>Miguel Salazar</t>
        </is>
      </c>
      <c r="F621" t="inlineStr">
        <is>
          <t>Ganado</t>
        </is>
      </c>
      <c r="G621" t="n">
        <v>801000000</v>
      </c>
      <c r="H621" t="n">
        <v>1</v>
      </c>
      <c r="I621" s="28" t="n">
        <v>45805</v>
      </c>
      <c r="J621" s="28" t="n">
        <v>45856</v>
      </c>
      <c r="K621" t="n">
        <v>51</v>
      </c>
      <c r="L621" t="inlineStr">
        <is>
          <t>Promesa de compraventa firmada</t>
        </is>
      </c>
    </row>
    <row r="622" ht="15.75" customHeight="1" s="25">
      <c r="A622" t="inlineStr">
        <is>
          <t>NEG-0620</t>
        </is>
      </c>
      <c r="B622" t="inlineStr">
        <is>
          <t>Paola Palacio Zapata</t>
        </is>
      </c>
      <c r="C622" t="inlineStr">
        <is>
          <t>PRY-005</t>
        </is>
      </c>
      <c r="D622" t="inlineStr">
        <is>
          <t>Casa 14</t>
        </is>
      </c>
      <c r="E622" t="inlineStr">
        <is>
          <t>Paula Arenas</t>
        </is>
      </c>
      <c r="F622" t="inlineStr">
        <is>
          <t>Ganado</t>
        </is>
      </c>
      <c r="G622" t="n">
        <v>399000000</v>
      </c>
      <c r="H622" t="n">
        <v>1</v>
      </c>
      <c r="I622" s="28" t="n">
        <v>45807</v>
      </c>
      <c r="J622" s="28" t="n">
        <v>45845</v>
      </c>
      <c r="K622" t="n">
        <v>38</v>
      </c>
      <c r="L622" t="inlineStr">
        <is>
          <t>Promesa de compraventa firmada</t>
        </is>
      </c>
    </row>
    <row r="623" ht="15.75" customHeight="1" s="25">
      <c r="A623" t="inlineStr">
        <is>
          <t>NEG-0621</t>
        </is>
      </c>
      <c r="B623" t="inlineStr">
        <is>
          <t>Verónica Valencia Ramírez</t>
        </is>
      </c>
      <c r="C623" t="inlineStr">
        <is>
          <t>PRY-005</t>
        </is>
      </c>
      <c r="D623" t="inlineStr">
        <is>
          <t>Apto 205</t>
        </is>
      </c>
      <c r="E623" t="inlineStr">
        <is>
          <t>Luis Bedoya</t>
        </is>
      </c>
      <c r="F623" t="inlineStr">
        <is>
          <t>Ganado</t>
        </is>
      </c>
      <c r="G623" t="n">
        <v>464000000</v>
      </c>
      <c r="H623" t="n">
        <v>1</v>
      </c>
      <c r="I623" s="28" t="n">
        <v>45807</v>
      </c>
      <c r="J623" s="28" t="n">
        <v>45919</v>
      </c>
      <c r="K623" t="n">
        <v>112</v>
      </c>
      <c r="L623" t="inlineStr">
        <is>
          <t>Promesa de compraventa firmada</t>
        </is>
      </c>
    </row>
    <row r="624" ht="15.75" customHeight="1" s="25">
      <c r="A624" t="inlineStr">
        <is>
          <t>NEG-0622</t>
        </is>
      </c>
      <c r="B624" t="inlineStr">
        <is>
          <t>Sofía Agudelo Cifuentes</t>
        </is>
      </c>
      <c r="C624" t="inlineStr">
        <is>
          <t>PRY-003</t>
        </is>
      </c>
      <c r="D624" t="inlineStr">
        <is>
          <t>Apto 201</t>
        </is>
      </c>
      <c r="E624" t="inlineStr">
        <is>
          <t>Luis Bedoya</t>
        </is>
      </c>
      <c r="F624" t="inlineStr">
        <is>
          <t>Ganado</t>
        </is>
      </c>
      <c r="G624" t="n">
        <v>305000000</v>
      </c>
      <c r="H624" t="n">
        <v>1</v>
      </c>
      <c r="I624" s="28" t="n">
        <v>45808</v>
      </c>
      <c r="J624" s="28" t="n">
        <v>45876</v>
      </c>
      <c r="K624" t="n">
        <v>68</v>
      </c>
      <c r="L624" t="inlineStr">
        <is>
          <t>Promesa de compraventa firmada</t>
        </is>
      </c>
    </row>
    <row r="625" ht="15.75" customHeight="1" s="25">
      <c r="A625" t="inlineStr">
        <is>
          <t>NEG-0623</t>
        </is>
      </c>
      <c r="B625" t="inlineStr">
        <is>
          <t>Juan Pablo Quintero López</t>
        </is>
      </c>
      <c r="C625" t="inlineStr">
        <is>
          <t>PRY-001</t>
        </is>
      </c>
      <c r="D625" t="inlineStr">
        <is>
          <t>Apto 501</t>
        </is>
      </c>
      <c r="E625" t="inlineStr">
        <is>
          <t>Luis Bedoya</t>
        </is>
      </c>
      <c r="F625" t="inlineStr">
        <is>
          <t>Ganado</t>
        </is>
      </c>
      <c r="G625" t="n">
        <v>789000000</v>
      </c>
      <c r="H625" t="n">
        <v>1</v>
      </c>
      <c r="I625" s="28" t="n">
        <v>45809</v>
      </c>
      <c r="J625" s="28" t="n">
        <v>45923</v>
      </c>
      <c r="K625" t="n">
        <v>114</v>
      </c>
      <c r="L625" t="inlineStr">
        <is>
          <t>Promesa de compraventa firmada</t>
        </is>
      </c>
    </row>
    <row r="626" ht="15.75" customHeight="1" s="25">
      <c r="A626" t="inlineStr">
        <is>
          <t>NEG-0624</t>
        </is>
      </c>
      <c r="B626" t="inlineStr">
        <is>
          <t>Sebastián Bedoya Ríos</t>
        </is>
      </c>
      <c r="C626" t="inlineStr">
        <is>
          <t>PRY-001</t>
        </is>
      </c>
      <c r="D626" t="inlineStr">
        <is>
          <t>Apto 701</t>
        </is>
      </c>
      <c r="E626" t="inlineStr">
        <is>
          <t>Juliana Vélez</t>
        </is>
      </c>
      <c r="F626" t="inlineStr">
        <is>
          <t>Ganado</t>
        </is>
      </c>
      <c r="G626" t="n">
        <v>723000000</v>
      </c>
      <c r="H626" t="n">
        <v>1</v>
      </c>
      <c r="I626" s="28" t="n">
        <v>45810</v>
      </c>
      <c r="J626" s="28" t="n">
        <v>45866</v>
      </c>
      <c r="K626" t="n">
        <v>56</v>
      </c>
      <c r="L626" t="inlineStr">
        <is>
          <t>Promesa de compraventa firmada</t>
        </is>
      </c>
    </row>
    <row r="627" ht="15.75" customHeight="1" s="25">
      <c r="A627" t="inlineStr">
        <is>
          <t>NEG-0625</t>
        </is>
      </c>
      <c r="B627" t="inlineStr">
        <is>
          <t>Juliana López Jaramillo</t>
        </is>
      </c>
      <c r="C627" t="inlineStr">
        <is>
          <t>PRY-001</t>
        </is>
      </c>
      <c r="D627" t="inlineStr">
        <is>
          <t>Apto 305</t>
        </is>
      </c>
      <c r="E627" t="inlineStr">
        <is>
          <t>Santiago Muñoz</t>
        </is>
      </c>
      <c r="F627" t="inlineStr">
        <is>
          <t>Ganado</t>
        </is>
      </c>
      <c r="G627" t="n">
        <v>813000000</v>
      </c>
      <c r="H627" t="n">
        <v>1</v>
      </c>
      <c r="I627" s="28" t="n">
        <v>45811</v>
      </c>
      <c r="J627" s="28" t="n">
        <v>45851</v>
      </c>
      <c r="K627" t="n">
        <v>40</v>
      </c>
      <c r="L627" t="inlineStr">
        <is>
          <t>Promesa de compraventa firmada</t>
        </is>
      </c>
    </row>
    <row r="628" ht="15.75" customHeight="1" s="25">
      <c r="A628" t="inlineStr">
        <is>
          <t>NEG-0626</t>
        </is>
      </c>
      <c r="B628" t="inlineStr">
        <is>
          <t>Sandra Álvarez Gómez</t>
        </is>
      </c>
      <c r="C628" t="inlineStr">
        <is>
          <t>PRY-003</t>
        </is>
      </c>
      <c r="D628" t="inlineStr">
        <is>
          <t>Apto 408</t>
        </is>
      </c>
      <c r="E628" t="inlineStr">
        <is>
          <t>Luis Bedoya</t>
        </is>
      </c>
      <c r="F628" t="inlineStr">
        <is>
          <t>Perdido</t>
        </is>
      </c>
      <c r="G628" t="n">
        <v>291000000</v>
      </c>
      <c r="H628" t="n">
        <v>0</v>
      </c>
      <c r="I628" s="28" t="n">
        <v>45811</v>
      </c>
      <c r="J628" s="28" t="n">
        <v>45876</v>
      </c>
      <c r="K628" t="n">
        <v>65</v>
      </c>
      <c r="L628" t="inlineStr">
        <is>
          <t>Crédito no aprobado</t>
        </is>
      </c>
    </row>
    <row r="629" ht="15.75" customHeight="1" s="25">
      <c r="A629" t="inlineStr">
        <is>
          <t>NEG-0627</t>
        </is>
      </c>
      <c r="B629" t="inlineStr">
        <is>
          <t>Katherine Giraldo Franco</t>
        </is>
      </c>
      <c r="C629" t="inlineStr">
        <is>
          <t>PRY-002</t>
        </is>
      </c>
      <c r="D629" t="inlineStr">
        <is>
          <t>Casa 36</t>
        </is>
      </c>
      <c r="E629" t="inlineStr">
        <is>
          <t>Miguel Salazar</t>
        </is>
      </c>
      <c r="F629" t="inlineStr">
        <is>
          <t>Ganado</t>
        </is>
      </c>
      <c r="G629" t="n">
        <v>816000000</v>
      </c>
      <c r="H629" t="n">
        <v>1</v>
      </c>
      <c r="I629" s="28" t="n">
        <v>45812</v>
      </c>
      <c r="J629" s="28" t="n">
        <v>45922</v>
      </c>
      <c r="K629" t="n">
        <v>110</v>
      </c>
      <c r="L629" t="inlineStr">
        <is>
          <t>Promesa de compraventa firmada</t>
        </is>
      </c>
    </row>
    <row r="630" ht="15.75" customHeight="1" s="25">
      <c r="A630" t="inlineStr">
        <is>
          <t>NEG-0628</t>
        </is>
      </c>
      <c r="B630" t="inlineStr">
        <is>
          <t>Iván Giraldo López</t>
        </is>
      </c>
      <c r="C630" t="inlineStr">
        <is>
          <t>PRY-005</t>
        </is>
      </c>
      <c r="D630" t="inlineStr">
        <is>
          <t>Apto 306</t>
        </is>
      </c>
      <c r="E630" t="inlineStr">
        <is>
          <t>Santiago Muñoz</t>
        </is>
      </c>
      <c r="F630" t="inlineStr">
        <is>
          <t>Ganado</t>
        </is>
      </c>
      <c r="G630" t="n">
        <v>409000000</v>
      </c>
      <c r="H630" t="n">
        <v>1</v>
      </c>
      <c r="I630" s="28" t="n">
        <v>45812</v>
      </c>
      <c r="J630" s="28" t="n">
        <v>45883</v>
      </c>
      <c r="K630" t="n">
        <v>71</v>
      </c>
      <c r="L630" t="inlineStr">
        <is>
          <t>Promesa de compraventa firmada</t>
        </is>
      </c>
    </row>
    <row r="631" ht="15.75" customHeight="1" s="25">
      <c r="A631" t="inlineStr">
        <is>
          <t>NEG-0629</t>
        </is>
      </c>
      <c r="B631" t="inlineStr">
        <is>
          <t>Jhon Muñoz Ochoa</t>
        </is>
      </c>
      <c r="C631" t="inlineStr">
        <is>
          <t>PRY-005</t>
        </is>
      </c>
      <c r="D631" t="inlineStr">
        <is>
          <t>Casa 43</t>
        </is>
      </c>
      <c r="E631" t="inlineStr">
        <is>
          <t>Juliana Vélez</t>
        </is>
      </c>
      <c r="F631" t="inlineStr">
        <is>
          <t>Perdido</t>
        </is>
      </c>
      <c r="G631" t="n">
        <v>427000000</v>
      </c>
      <c r="H631" t="n">
        <v>0</v>
      </c>
      <c r="I631" s="28" t="n">
        <v>45812</v>
      </c>
      <c r="J631" s="28" t="n">
        <v>45874</v>
      </c>
      <c r="K631" t="n">
        <v>62</v>
      </c>
      <c r="L631" t="inlineStr">
        <is>
          <t>Eligió otro proyecto</t>
        </is>
      </c>
    </row>
    <row r="632" ht="15.75" customHeight="1" s="25">
      <c r="A632" t="inlineStr">
        <is>
          <t>NEG-0630</t>
        </is>
      </c>
      <c r="B632" t="inlineStr">
        <is>
          <t>Liliana López Ríos</t>
        </is>
      </c>
      <c r="C632" t="inlineStr">
        <is>
          <t>PRY-005</t>
        </is>
      </c>
      <c r="D632" t="inlineStr">
        <is>
          <t>Apto 801</t>
        </is>
      </c>
      <c r="E632" t="inlineStr">
        <is>
          <t>Sofía Prada</t>
        </is>
      </c>
      <c r="F632" t="inlineStr">
        <is>
          <t>Ganado</t>
        </is>
      </c>
      <c r="G632" t="n">
        <v>356000000</v>
      </c>
      <c r="H632" t="n">
        <v>1</v>
      </c>
      <c r="I632" s="28" t="n">
        <v>45813</v>
      </c>
      <c r="J632" s="28" t="n">
        <v>45931</v>
      </c>
      <c r="K632" t="n">
        <v>118</v>
      </c>
      <c r="L632" t="inlineStr">
        <is>
          <t>Promesa de compraventa firmada</t>
        </is>
      </c>
    </row>
    <row r="633" ht="15.75" customHeight="1" s="25">
      <c r="A633" t="inlineStr">
        <is>
          <t>NEG-0631</t>
        </is>
      </c>
      <c r="B633" t="inlineStr">
        <is>
          <t>Gabriel Muñoz Peláez</t>
        </is>
      </c>
      <c r="C633" t="inlineStr">
        <is>
          <t>PRY-003</t>
        </is>
      </c>
      <c r="D633" t="inlineStr">
        <is>
          <t>Apto 1007</t>
        </is>
      </c>
      <c r="E633" t="inlineStr">
        <is>
          <t>Paula Arenas</t>
        </is>
      </c>
      <c r="F633" t="inlineStr">
        <is>
          <t>Ganado</t>
        </is>
      </c>
      <c r="G633" t="n">
        <v>358000000</v>
      </c>
      <c r="H633" t="n">
        <v>1</v>
      </c>
      <c r="I633" s="28" t="n">
        <v>45815</v>
      </c>
      <c r="J633" s="28" t="n">
        <v>45904</v>
      </c>
      <c r="K633" t="n">
        <v>89</v>
      </c>
      <c r="L633" t="inlineStr">
        <is>
          <t>Promesa de compraventa firmada</t>
        </is>
      </c>
    </row>
    <row r="634" ht="15.75" customHeight="1" s="25">
      <c r="A634" t="inlineStr">
        <is>
          <t>NEG-0632</t>
        </is>
      </c>
      <c r="B634" t="inlineStr">
        <is>
          <t>Diego Gaviria Osorio</t>
        </is>
      </c>
      <c r="C634" t="inlineStr">
        <is>
          <t>PRY-003</t>
        </is>
      </c>
      <c r="D634" t="inlineStr">
        <is>
          <t>Apto 1104</t>
        </is>
      </c>
      <c r="E634" t="inlineStr">
        <is>
          <t>Paula Arenas</t>
        </is>
      </c>
      <c r="F634" t="inlineStr">
        <is>
          <t>Ganado</t>
        </is>
      </c>
      <c r="G634" t="n">
        <v>309000000</v>
      </c>
      <c r="H634" t="n">
        <v>1</v>
      </c>
      <c r="I634" s="28" t="n">
        <v>45815</v>
      </c>
      <c r="J634" s="28" t="n">
        <v>45905</v>
      </c>
      <c r="K634" t="n">
        <v>90</v>
      </c>
      <c r="L634" t="inlineStr">
        <is>
          <t>Promesa de compraventa firmada</t>
        </is>
      </c>
    </row>
    <row r="635" ht="15.75" customHeight="1" s="25">
      <c r="A635" t="inlineStr">
        <is>
          <t>NEG-0633</t>
        </is>
      </c>
      <c r="B635" t="inlineStr">
        <is>
          <t>María Vásquez Bedoya</t>
        </is>
      </c>
      <c r="C635" t="inlineStr">
        <is>
          <t>PRY-001</t>
        </is>
      </c>
      <c r="D635" t="inlineStr">
        <is>
          <t>Apto 1902</t>
        </is>
      </c>
      <c r="E635" t="inlineStr">
        <is>
          <t>Miguel Salazar</t>
        </is>
      </c>
      <c r="F635" t="inlineStr">
        <is>
          <t>Perdido</t>
        </is>
      </c>
      <c r="G635" t="n">
        <v>641000000</v>
      </c>
      <c r="H635" t="n">
        <v>0</v>
      </c>
      <c r="I635" s="28" t="n">
        <v>45816</v>
      </c>
      <c r="J635" s="28" t="n">
        <v>45884</v>
      </c>
      <c r="K635" t="n">
        <v>68</v>
      </c>
      <c r="L635" t="inlineStr">
        <is>
          <t>Eligió otro proyecto</t>
        </is>
      </c>
    </row>
    <row r="636" ht="15.75" customHeight="1" s="25">
      <c r="A636" t="inlineStr">
        <is>
          <t>NEG-0634</t>
        </is>
      </c>
      <c r="B636" t="inlineStr">
        <is>
          <t>Sara Arango Gómez</t>
        </is>
      </c>
      <c r="C636" t="inlineStr">
        <is>
          <t>PRY-007</t>
        </is>
      </c>
      <c r="D636" t="inlineStr">
        <is>
          <t>Apto 701</t>
        </is>
      </c>
      <c r="E636" t="inlineStr">
        <is>
          <t>Luis Bedoya</t>
        </is>
      </c>
      <c r="F636" t="inlineStr">
        <is>
          <t>Perdido</t>
        </is>
      </c>
      <c r="G636" t="n">
        <v>549000000</v>
      </c>
      <c r="H636" t="n">
        <v>0</v>
      </c>
      <c r="I636" s="28" t="n">
        <v>45816</v>
      </c>
      <c r="J636" s="28" t="n">
        <v>45851</v>
      </c>
      <c r="K636" t="n">
        <v>35</v>
      </c>
      <c r="L636" t="inlineStr">
        <is>
          <t>Desistió de la compra</t>
        </is>
      </c>
    </row>
    <row r="637" ht="15.75" customHeight="1" s="25">
      <c r="A637" t="inlineStr">
        <is>
          <t>NEG-0635</t>
        </is>
      </c>
      <c r="B637" t="inlineStr">
        <is>
          <t>Sara Pérez Betancur</t>
        </is>
      </c>
      <c r="C637" t="inlineStr">
        <is>
          <t>PRY-005</t>
        </is>
      </c>
      <c r="D637" t="inlineStr">
        <is>
          <t>Apto 505</t>
        </is>
      </c>
      <c r="E637" t="inlineStr">
        <is>
          <t>Juliana Vélez</t>
        </is>
      </c>
      <c r="F637" t="inlineStr">
        <is>
          <t>Ganado</t>
        </is>
      </c>
      <c r="G637" t="n">
        <v>396000000</v>
      </c>
      <c r="H637" t="n">
        <v>1</v>
      </c>
      <c r="I637" s="28" t="n">
        <v>45818</v>
      </c>
      <c r="J637" s="28" t="n">
        <v>45896</v>
      </c>
      <c r="K637" t="n">
        <v>78</v>
      </c>
      <c r="L637" t="inlineStr">
        <is>
          <t>Promesa de compraventa firmada</t>
        </is>
      </c>
    </row>
    <row r="638" ht="15.75" customHeight="1" s="25">
      <c r="A638" t="inlineStr">
        <is>
          <t>NEG-0636</t>
        </is>
      </c>
      <c r="B638" t="inlineStr">
        <is>
          <t>Gloria Giraldo Vargas</t>
        </is>
      </c>
      <c r="C638" t="inlineStr">
        <is>
          <t>PRY-003</t>
        </is>
      </c>
      <c r="D638" t="inlineStr">
        <is>
          <t>Apto 2408</t>
        </is>
      </c>
      <c r="E638" t="inlineStr">
        <is>
          <t>Paula Arenas</t>
        </is>
      </c>
      <c r="F638" t="inlineStr">
        <is>
          <t>Ganado</t>
        </is>
      </c>
      <c r="G638" t="n">
        <v>330000000</v>
      </c>
      <c r="H638" t="n">
        <v>1</v>
      </c>
      <c r="I638" s="28" t="n">
        <v>45819</v>
      </c>
      <c r="J638" s="28" t="n">
        <v>45870</v>
      </c>
      <c r="K638" t="n">
        <v>51</v>
      </c>
      <c r="L638" t="inlineStr">
        <is>
          <t>Promesa de compraventa firmada</t>
        </is>
      </c>
    </row>
    <row r="639" ht="15.75" customHeight="1" s="25">
      <c r="A639" t="inlineStr">
        <is>
          <t>NEG-0637</t>
        </is>
      </c>
      <c r="B639" t="inlineStr">
        <is>
          <t>Ricardo Álvarez Gaviria</t>
        </is>
      </c>
      <c r="C639" t="inlineStr">
        <is>
          <t>PRY-003</t>
        </is>
      </c>
      <c r="D639" t="inlineStr">
        <is>
          <t>Apto 2401</t>
        </is>
      </c>
      <c r="E639" t="inlineStr">
        <is>
          <t>Paula Arenas</t>
        </is>
      </c>
      <c r="F639" t="inlineStr">
        <is>
          <t>Perdido</t>
        </is>
      </c>
      <c r="G639" t="n">
        <v>401000000</v>
      </c>
      <c r="H639" t="n">
        <v>0</v>
      </c>
      <c r="I639" s="28" t="n">
        <v>45819</v>
      </c>
      <c r="J639" s="28" t="n">
        <v>45849</v>
      </c>
      <c r="K639" t="n">
        <v>30</v>
      </c>
      <c r="L639" t="inlineStr">
        <is>
          <t>Eligió otro proyecto</t>
        </is>
      </c>
    </row>
    <row r="640" ht="15.75" customHeight="1" s="25">
      <c r="A640" t="inlineStr">
        <is>
          <t>NEG-0638</t>
        </is>
      </c>
      <c r="B640" t="inlineStr">
        <is>
          <t>Julián Cano Quintero</t>
        </is>
      </c>
      <c r="C640" t="inlineStr">
        <is>
          <t>PRY-003</t>
        </is>
      </c>
      <c r="D640" t="inlineStr">
        <is>
          <t>Apto 1202</t>
        </is>
      </c>
      <c r="E640" t="inlineStr">
        <is>
          <t>Andrés Torres</t>
        </is>
      </c>
      <c r="F640" t="inlineStr">
        <is>
          <t>Ganado</t>
        </is>
      </c>
      <c r="G640" t="n">
        <v>352000000</v>
      </c>
      <c r="H640" t="n">
        <v>1</v>
      </c>
      <c r="I640" s="28" t="n">
        <v>45820</v>
      </c>
      <c r="J640" s="28" t="n">
        <v>45878</v>
      </c>
      <c r="K640" t="n">
        <v>58</v>
      </c>
      <c r="L640" t="inlineStr">
        <is>
          <t>Promesa de compraventa firmada</t>
        </is>
      </c>
    </row>
    <row r="641" ht="15.75" customHeight="1" s="25">
      <c r="A641" t="inlineStr">
        <is>
          <t>NEG-0639</t>
        </is>
      </c>
      <c r="B641" t="inlineStr">
        <is>
          <t>José Gaviria Correa</t>
        </is>
      </c>
      <c r="C641" t="inlineStr">
        <is>
          <t>PRY-003</t>
        </is>
      </c>
      <c r="D641" t="inlineStr">
        <is>
          <t>Apto 1602</t>
        </is>
      </c>
      <c r="E641" t="inlineStr">
        <is>
          <t>Juliana Vélez</t>
        </is>
      </c>
      <c r="F641" t="inlineStr">
        <is>
          <t>Perdido</t>
        </is>
      </c>
      <c r="G641" t="n">
        <v>362000000</v>
      </c>
      <c r="H641" t="n">
        <v>0</v>
      </c>
      <c r="I641" s="28" t="n">
        <v>45821</v>
      </c>
      <c r="J641" s="28" t="n">
        <v>45856</v>
      </c>
      <c r="K641" t="n">
        <v>35</v>
      </c>
      <c r="L641" t="inlineStr">
        <is>
          <t>Crédito no aprobado</t>
        </is>
      </c>
    </row>
    <row r="642" ht="15.75" customHeight="1" s="25">
      <c r="A642" t="inlineStr">
        <is>
          <t>NEG-0640</t>
        </is>
      </c>
      <c r="B642" t="inlineStr">
        <is>
          <t>Gloria Cano Vélez</t>
        </is>
      </c>
      <c r="C642" t="inlineStr">
        <is>
          <t>PRY-003</t>
        </is>
      </c>
      <c r="D642" t="inlineStr">
        <is>
          <t>Apto 605</t>
        </is>
      </c>
      <c r="E642" t="inlineStr">
        <is>
          <t>Sofía Prada</t>
        </is>
      </c>
      <c r="F642" t="inlineStr">
        <is>
          <t>Ganado</t>
        </is>
      </c>
      <c r="G642" t="n">
        <v>372000000</v>
      </c>
      <c r="H642" t="n">
        <v>1</v>
      </c>
      <c r="I642" s="28" t="n">
        <v>45824</v>
      </c>
      <c r="J642" s="28" t="n">
        <v>45861</v>
      </c>
      <c r="K642" t="n">
        <v>37</v>
      </c>
      <c r="L642" t="inlineStr">
        <is>
          <t>Promesa de compraventa firmada</t>
        </is>
      </c>
    </row>
    <row r="643" ht="15.75" customHeight="1" s="25">
      <c r="A643" t="inlineStr">
        <is>
          <t>NEG-0641</t>
        </is>
      </c>
      <c r="B643" t="inlineStr">
        <is>
          <t>Alejandra Toro Escobar</t>
        </is>
      </c>
      <c r="C643" t="inlineStr">
        <is>
          <t>PRY-008</t>
        </is>
      </c>
      <c r="D643" t="inlineStr">
        <is>
          <t>Casa 46</t>
        </is>
      </c>
      <c r="E643" t="inlineStr">
        <is>
          <t>Andrés Torres</t>
        </is>
      </c>
      <c r="F643" t="inlineStr">
        <is>
          <t>Ganado</t>
        </is>
      </c>
      <c r="G643" t="n">
        <v>160000000</v>
      </c>
      <c r="H643" t="n">
        <v>1</v>
      </c>
      <c r="I643" s="28" t="n">
        <v>45829</v>
      </c>
      <c r="J643" s="28" t="n">
        <v>45889</v>
      </c>
      <c r="K643" t="n">
        <v>60</v>
      </c>
      <c r="L643" t="inlineStr">
        <is>
          <t>Promesa de compraventa firmada</t>
        </is>
      </c>
    </row>
    <row r="644" ht="15.75" customHeight="1" s="25">
      <c r="A644" t="inlineStr">
        <is>
          <t>NEG-0642</t>
        </is>
      </c>
      <c r="B644" t="inlineStr">
        <is>
          <t>Carolina Correa Montoya</t>
        </is>
      </c>
      <c r="C644" t="inlineStr">
        <is>
          <t>PRY-002</t>
        </is>
      </c>
      <c r="D644" t="inlineStr">
        <is>
          <t>Casa 23</t>
        </is>
      </c>
      <c r="E644" t="inlineStr">
        <is>
          <t>Miguel Salazar</t>
        </is>
      </c>
      <c r="F644" t="inlineStr">
        <is>
          <t>Ganado</t>
        </is>
      </c>
      <c r="G644" t="n">
        <v>829000000</v>
      </c>
      <c r="H644" t="n">
        <v>1</v>
      </c>
      <c r="I644" s="28" t="n">
        <v>45831</v>
      </c>
      <c r="J644" s="28" t="n">
        <v>45907</v>
      </c>
      <c r="K644" t="n">
        <v>76</v>
      </c>
      <c r="L644" t="inlineStr">
        <is>
          <t>Promesa de compraventa firmada</t>
        </is>
      </c>
    </row>
    <row r="645" ht="15.75" customHeight="1" s="25">
      <c r="A645" t="inlineStr">
        <is>
          <t>NEG-0643</t>
        </is>
      </c>
      <c r="B645" t="inlineStr">
        <is>
          <t>Mónica Ramírez Betancur</t>
        </is>
      </c>
      <c r="C645" t="inlineStr">
        <is>
          <t>PRY-002</t>
        </is>
      </c>
      <c r="D645" t="inlineStr">
        <is>
          <t>Casa 30</t>
        </is>
      </c>
      <c r="E645" t="inlineStr">
        <is>
          <t>Paula Arenas</t>
        </is>
      </c>
      <c r="F645" t="inlineStr">
        <is>
          <t>Perdido</t>
        </is>
      </c>
      <c r="G645" t="n">
        <v>767000000</v>
      </c>
      <c r="H645" t="n">
        <v>0</v>
      </c>
      <c r="I645" s="28" t="n">
        <v>45831</v>
      </c>
      <c r="J645" s="28" t="n">
        <v>45899</v>
      </c>
      <c r="K645" t="n">
        <v>68</v>
      </c>
      <c r="L645" t="inlineStr">
        <is>
          <t>Precio fuera de presupuesto</t>
        </is>
      </c>
    </row>
    <row r="646" ht="15.75" customHeight="1" s="25">
      <c r="A646" t="inlineStr">
        <is>
          <t>NEG-0644</t>
        </is>
      </c>
      <c r="B646" t="inlineStr">
        <is>
          <t>Mariana Escobar Cardona</t>
        </is>
      </c>
      <c r="C646" t="inlineStr">
        <is>
          <t>PRY-007</t>
        </is>
      </c>
      <c r="D646" t="inlineStr">
        <is>
          <t>Apto 1306</t>
        </is>
      </c>
      <c r="E646" t="inlineStr">
        <is>
          <t>Andrés Torres</t>
        </is>
      </c>
      <c r="F646" t="inlineStr">
        <is>
          <t>Ganado</t>
        </is>
      </c>
      <c r="G646" t="n">
        <v>735000000</v>
      </c>
      <c r="H646" t="n">
        <v>1</v>
      </c>
      <c r="I646" s="28" t="n">
        <v>45831</v>
      </c>
      <c r="J646" s="28" t="n">
        <v>45933</v>
      </c>
      <c r="K646" t="n">
        <v>102</v>
      </c>
      <c r="L646" t="inlineStr">
        <is>
          <t>Promesa de compraventa firmada</t>
        </is>
      </c>
    </row>
    <row r="647" ht="15.75" customHeight="1" s="25">
      <c r="A647" t="inlineStr">
        <is>
          <t>NEG-0645</t>
        </is>
      </c>
      <c r="B647" t="inlineStr">
        <is>
          <t>Sofía Restrepo Restrepo</t>
        </is>
      </c>
      <c r="C647" t="inlineStr">
        <is>
          <t>PRY-001</t>
        </is>
      </c>
      <c r="D647" t="inlineStr">
        <is>
          <t>Apto 1604</t>
        </is>
      </c>
      <c r="E647" t="inlineStr">
        <is>
          <t>Miguel Salazar</t>
        </is>
      </c>
      <c r="F647" t="inlineStr">
        <is>
          <t>Perdido</t>
        </is>
      </c>
      <c r="G647" t="n">
        <v>726000000</v>
      </c>
      <c r="H647" t="n">
        <v>0</v>
      </c>
      <c r="I647" s="28" t="n">
        <v>45832</v>
      </c>
      <c r="J647" s="28" t="n">
        <v>45877</v>
      </c>
      <c r="K647" t="n">
        <v>45</v>
      </c>
      <c r="L647" t="inlineStr">
        <is>
          <t>Precio fuera de presupuesto</t>
        </is>
      </c>
    </row>
    <row r="648" ht="15.75" customHeight="1" s="25">
      <c r="A648" t="inlineStr">
        <is>
          <t>NEG-0646</t>
        </is>
      </c>
      <c r="B648" t="inlineStr">
        <is>
          <t>Simón Ramírez Cano</t>
        </is>
      </c>
      <c r="C648" t="inlineStr">
        <is>
          <t>PRY-003</t>
        </is>
      </c>
      <c r="D648" t="inlineStr">
        <is>
          <t>Apto 702</t>
        </is>
      </c>
      <c r="E648" t="inlineStr">
        <is>
          <t>Luis Bedoya</t>
        </is>
      </c>
      <c r="F648" t="inlineStr">
        <is>
          <t>Ganado</t>
        </is>
      </c>
      <c r="G648" t="n">
        <v>324000000</v>
      </c>
      <c r="H648" t="n">
        <v>1</v>
      </c>
      <c r="I648" s="28" t="n">
        <v>45833</v>
      </c>
      <c r="J648" s="28" t="n">
        <v>45901</v>
      </c>
      <c r="K648" t="n">
        <v>68</v>
      </c>
      <c r="L648" t="inlineStr">
        <is>
          <t>Promesa de compraventa firmada</t>
        </is>
      </c>
    </row>
    <row r="649" ht="15.75" customHeight="1" s="25">
      <c r="A649" t="inlineStr">
        <is>
          <t>NEG-0647</t>
        </is>
      </c>
      <c r="B649" t="inlineStr">
        <is>
          <t>Marcela Pérez Vélez</t>
        </is>
      </c>
      <c r="C649" t="inlineStr">
        <is>
          <t>PRY-003</t>
        </is>
      </c>
      <c r="D649" t="inlineStr">
        <is>
          <t>Apto 1101</t>
        </is>
      </c>
      <c r="E649" t="inlineStr">
        <is>
          <t>Miguel Salazar</t>
        </is>
      </c>
      <c r="F649" t="inlineStr">
        <is>
          <t>Perdido</t>
        </is>
      </c>
      <c r="G649" t="n">
        <v>296000000</v>
      </c>
      <c r="H649" t="n">
        <v>0</v>
      </c>
      <c r="I649" s="28" t="n">
        <v>45834</v>
      </c>
      <c r="J649" s="28" t="n">
        <v>45864</v>
      </c>
      <c r="K649" t="n">
        <v>30</v>
      </c>
      <c r="L649" t="inlineStr">
        <is>
          <t>Eligió otro proyecto</t>
        </is>
      </c>
    </row>
    <row r="650" ht="15.75" customHeight="1" s="25">
      <c r="A650" t="inlineStr">
        <is>
          <t>NEG-0648</t>
        </is>
      </c>
      <c r="B650" t="inlineStr">
        <is>
          <t>Daniela Gaviria Henao</t>
        </is>
      </c>
      <c r="C650" t="inlineStr">
        <is>
          <t>PRY-007</t>
        </is>
      </c>
      <c r="D650" t="inlineStr">
        <is>
          <t>Apto 1402</t>
        </is>
      </c>
      <c r="E650" t="inlineStr">
        <is>
          <t>Daniela Ríos</t>
        </is>
      </c>
      <c r="F650" t="inlineStr">
        <is>
          <t>Ganado</t>
        </is>
      </c>
      <c r="G650" t="n">
        <v>681000000</v>
      </c>
      <c r="H650" t="n">
        <v>1</v>
      </c>
      <c r="I650" s="28" t="n">
        <v>45834</v>
      </c>
      <c r="J650" s="28" t="n">
        <v>45924</v>
      </c>
      <c r="K650" t="n">
        <v>90</v>
      </c>
      <c r="L650" t="inlineStr">
        <is>
          <t>Promesa de compraventa firmada</t>
        </is>
      </c>
    </row>
    <row r="651" ht="15.75" customHeight="1" s="25">
      <c r="A651" t="inlineStr">
        <is>
          <t>NEG-0649</t>
        </is>
      </c>
      <c r="B651" t="inlineStr">
        <is>
          <t>Óscar Mejía Agudelo</t>
        </is>
      </c>
      <c r="C651" t="inlineStr">
        <is>
          <t>PRY-007</t>
        </is>
      </c>
      <c r="D651" t="inlineStr">
        <is>
          <t>Apto 702</t>
        </is>
      </c>
      <c r="E651" t="inlineStr">
        <is>
          <t>Miguel Salazar</t>
        </is>
      </c>
      <c r="F651" t="inlineStr">
        <is>
          <t>Ganado</t>
        </is>
      </c>
      <c r="G651" t="n">
        <v>683000000</v>
      </c>
      <c r="H651" t="n">
        <v>1</v>
      </c>
      <c r="I651" s="28" t="n">
        <v>45835</v>
      </c>
      <c r="J651" s="28" t="n">
        <v>45878</v>
      </c>
      <c r="K651" t="n">
        <v>43</v>
      </c>
      <c r="L651" t="inlineStr">
        <is>
          <t>Promesa de compraventa firmada</t>
        </is>
      </c>
    </row>
    <row r="652" ht="15.75" customHeight="1" s="25">
      <c r="A652" t="inlineStr">
        <is>
          <t>NEG-0650</t>
        </is>
      </c>
      <c r="B652" t="inlineStr">
        <is>
          <t>Mauricio López Ríos</t>
        </is>
      </c>
      <c r="C652" t="inlineStr">
        <is>
          <t>PRY-008</t>
        </is>
      </c>
      <c r="D652" t="inlineStr">
        <is>
          <t>Casa 5</t>
        </is>
      </c>
      <c r="E652" t="inlineStr">
        <is>
          <t>Santiago Muñoz</t>
        </is>
      </c>
      <c r="F652" t="inlineStr">
        <is>
          <t>Perdido</t>
        </is>
      </c>
      <c r="G652" t="n">
        <v>162000000</v>
      </c>
      <c r="H652" t="n">
        <v>0</v>
      </c>
      <c r="I652" s="28" t="n">
        <v>45836</v>
      </c>
      <c r="J652" s="28" t="n">
        <v>45899</v>
      </c>
      <c r="K652" t="n">
        <v>63</v>
      </c>
      <c r="L652" t="inlineStr">
        <is>
          <t>Eligió otro proyecto</t>
        </is>
      </c>
    </row>
    <row r="653" ht="15.75" customHeight="1" s="25">
      <c r="A653" t="inlineStr">
        <is>
          <t>NEG-0651</t>
        </is>
      </c>
      <c r="B653" t="inlineStr">
        <is>
          <t>Rodrigo Jaramillo Salcedo</t>
        </is>
      </c>
      <c r="C653" t="inlineStr">
        <is>
          <t>PRY-006</t>
        </is>
      </c>
      <c r="D653" t="inlineStr">
        <is>
          <t>Local 40</t>
        </is>
      </c>
      <c r="E653" t="inlineStr">
        <is>
          <t>Santiago Muñoz</t>
        </is>
      </c>
      <c r="F653" t="inlineStr">
        <is>
          <t>Ganado</t>
        </is>
      </c>
      <c r="G653" t="n">
        <v>757000000</v>
      </c>
      <c r="H653" t="n">
        <v>1</v>
      </c>
      <c r="I653" s="28" t="n">
        <v>45837</v>
      </c>
      <c r="J653" s="28" t="n">
        <v>45954</v>
      </c>
      <c r="K653" t="n">
        <v>117</v>
      </c>
      <c r="L653" t="inlineStr">
        <is>
          <t>Promesa de compraventa firmada</t>
        </is>
      </c>
    </row>
    <row r="654" ht="15.75" customHeight="1" s="25">
      <c r="A654" t="inlineStr">
        <is>
          <t>NEG-0652</t>
        </is>
      </c>
      <c r="B654" t="inlineStr">
        <is>
          <t>Camila Álvarez Valencia</t>
        </is>
      </c>
      <c r="C654" t="inlineStr">
        <is>
          <t>PRY-007</t>
        </is>
      </c>
      <c r="D654" t="inlineStr">
        <is>
          <t>Apto 1203</t>
        </is>
      </c>
      <c r="E654" t="inlineStr">
        <is>
          <t>Andrés Torres</t>
        </is>
      </c>
      <c r="F654" t="inlineStr">
        <is>
          <t>Perdido</t>
        </is>
      </c>
      <c r="G654" t="n">
        <v>685000000</v>
      </c>
      <c r="H654" t="n">
        <v>0</v>
      </c>
      <c r="I654" s="28" t="n">
        <v>45838</v>
      </c>
      <c r="J654" s="28" t="n">
        <v>45954</v>
      </c>
      <c r="K654" t="n">
        <v>116</v>
      </c>
      <c r="L654" t="inlineStr">
        <is>
          <t>Eligió otro proyecto</t>
        </is>
      </c>
    </row>
    <row r="655" ht="15.75" customHeight="1" s="25">
      <c r="A655" t="inlineStr">
        <is>
          <t>NEG-0653</t>
        </is>
      </c>
      <c r="B655" t="inlineStr">
        <is>
          <t>Carolina Toro Londoño</t>
        </is>
      </c>
      <c r="C655" t="inlineStr">
        <is>
          <t>PRY-005</t>
        </is>
      </c>
      <c r="D655" t="inlineStr">
        <is>
          <t>Casa 24</t>
        </is>
      </c>
      <c r="E655" t="inlineStr">
        <is>
          <t>Andrés Torres</t>
        </is>
      </c>
      <c r="F655" t="inlineStr">
        <is>
          <t>Ganado</t>
        </is>
      </c>
      <c r="G655" t="n">
        <v>445000000</v>
      </c>
      <c r="H655" t="n">
        <v>1</v>
      </c>
      <c r="I655" s="28" t="n">
        <v>45839</v>
      </c>
      <c r="J655" s="28" t="n">
        <v>45916</v>
      </c>
      <c r="K655" t="n">
        <v>77</v>
      </c>
      <c r="L655" t="inlineStr">
        <is>
          <t>Promesa de compraventa firmada</t>
        </is>
      </c>
    </row>
    <row r="656" ht="15.75" customHeight="1" s="25">
      <c r="A656" t="inlineStr">
        <is>
          <t>NEG-0654</t>
        </is>
      </c>
      <c r="B656" t="inlineStr">
        <is>
          <t>Julián Ramírez Pérez</t>
        </is>
      </c>
      <c r="C656" t="inlineStr">
        <is>
          <t>PRY-005</t>
        </is>
      </c>
      <c r="D656" t="inlineStr">
        <is>
          <t>Casa 43</t>
        </is>
      </c>
      <c r="E656" t="inlineStr">
        <is>
          <t>Sofía Prada</t>
        </is>
      </c>
      <c r="F656" t="inlineStr">
        <is>
          <t>Ganado</t>
        </is>
      </c>
      <c r="G656" t="n">
        <v>440000000</v>
      </c>
      <c r="H656" t="n">
        <v>1</v>
      </c>
      <c r="I656" s="28" t="n">
        <v>45839</v>
      </c>
      <c r="J656" s="28" t="n">
        <v>45951</v>
      </c>
      <c r="K656" t="n">
        <v>112</v>
      </c>
      <c r="L656" t="inlineStr">
        <is>
          <t>Promesa de compraventa firmada</t>
        </is>
      </c>
    </row>
    <row r="657" ht="15.75" customHeight="1" s="25">
      <c r="A657" t="inlineStr">
        <is>
          <t>NEG-0655</t>
        </is>
      </c>
      <c r="B657" t="inlineStr">
        <is>
          <t>Rodrigo Vélez Cardona</t>
        </is>
      </c>
      <c r="C657" t="inlineStr">
        <is>
          <t>PRY-001</t>
        </is>
      </c>
      <c r="D657" t="inlineStr">
        <is>
          <t>Apto 402</t>
        </is>
      </c>
      <c r="E657" t="inlineStr">
        <is>
          <t>Sofía Prada</t>
        </is>
      </c>
      <c r="F657" t="inlineStr">
        <is>
          <t>Ganado</t>
        </is>
      </c>
      <c r="G657" t="n">
        <v>689000000</v>
      </c>
      <c r="H657" t="n">
        <v>1</v>
      </c>
      <c r="I657" s="28" t="n">
        <v>45840</v>
      </c>
      <c r="J657" s="28" t="n">
        <v>45935</v>
      </c>
      <c r="K657" t="n">
        <v>95</v>
      </c>
      <c r="L657" t="inlineStr">
        <is>
          <t>Promesa de compraventa firmada</t>
        </is>
      </c>
    </row>
    <row r="658" ht="15.75" customHeight="1" s="25">
      <c r="A658" t="inlineStr">
        <is>
          <t>NEG-0656</t>
        </is>
      </c>
      <c r="B658" t="inlineStr">
        <is>
          <t>Patricia Montoya Quintero</t>
        </is>
      </c>
      <c r="C658" t="inlineStr">
        <is>
          <t>PRY-003</t>
        </is>
      </c>
      <c r="D658" t="inlineStr">
        <is>
          <t>Apto 2203</t>
        </is>
      </c>
      <c r="E658" t="inlineStr">
        <is>
          <t>Santiago Muñoz</t>
        </is>
      </c>
      <c r="F658" t="inlineStr">
        <is>
          <t>Ganado</t>
        </is>
      </c>
      <c r="G658" t="n">
        <v>436000000</v>
      </c>
      <c r="H658" t="n">
        <v>1</v>
      </c>
      <c r="I658" s="28" t="n">
        <v>45840</v>
      </c>
      <c r="J658" s="28" t="n">
        <v>45927</v>
      </c>
      <c r="K658" t="n">
        <v>87</v>
      </c>
      <c r="L658" t="inlineStr">
        <is>
          <t>Promesa de compraventa firmada</t>
        </is>
      </c>
    </row>
    <row r="659" ht="15.75" customHeight="1" s="25">
      <c r="A659" t="inlineStr">
        <is>
          <t>NEG-0657</t>
        </is>
      </c>
      <c r="B659" t="inlineStr">
        <is>
          <t>Daniel Gaviria Castaño</t>
        </is>
      </c>
      <c r="C659" t="inlineStr">
        <is>
          <t>PRY-005</t>
        </is>
      </c>
      <c r="D659" t="inlineStr">
        <is>
          <t>Apto 308</t>
        </is>
      </c>
      <c r="E659" t="inlineStr">
        <is>
          <t>Andrés Torres</t>
        </is>
      </c>
      <c r="F659" t="inlineStr">
        <is>
          <t>Ganado</t>
        </is>
      </c>
      <c r="G659" t="n">
        <v>457000000</v>
      </c>
      <c r="H659" t="n">
        <v>1</v>
      </c>
      <c r="I659" s="28" t="n">
        <v>45840</v>
      </c>
      <c r="J659" s="28" t="n">
        <v>45955</v>
      </c>
      <c r="K659" t="n">
        <v>115</v>
      </c>
      <c r="L659" t="inlineStr">
        <is>
          <t>Promesa de compraventa firmada</t>
        </is>
      </c>
    </row>
    <row r="660" ht="15.75" customHeight="1" s="25">
      <c r="A660" t="inlineStr">
        <is>
          <t>NEG-0658</t>
        </is>
      </c>
      <c r="B660" t="inlineStr">
        <is>
          <t>Iván Giraldo Montoya</t>
        </is>
      </c>
      <c r="C660" t="inlineStr">
        <is>
          <t>PRY-007</t>
        </is>
      </c>
      <c r="D660" t="inlineStr">
        <is>
          <t>Apto 501</t>
        </is>
      </c>
      <c r="E660" t="inlineStr">
        <is>
          <t>Paula Arenas</t>
        </is>
      </c>
      <c r="F660" t="inlineStr">
        <is>
          <t>Perdido</t>
        </is>
      </c>
      <c r="G660" t="n">
        <v>704000000</v>
      </c>
      <c r="H660" t="n">
        <v>0</v>
      </c>
      <c r="I660" s="28" t="n">
        <v>45841</v>
      </c>
      <c r="J660" s="28" t="n">
        <v>45922</v>
      </c>
      <c r="K660" t="n">
        <v>81</v>
      </c>
      <c r="L660" t="inlineStr">
        <is>
          <t>Eligió otro proyecto</t>
        </is>
      </c>
    </row>
    <row r="661" ht="15.75" customHeight="1" s="25">
      <c r="A661" t="inlineStr">
        <is>
          <t>NEG-0659</t>
        </is>
      </c>
      <c r="B661" t="inlineStr">
        <is>
          <t>Lorena Gómez Zuluaga</t>
        </is>
      </c>
      <c r="C661" t="inlineStr">
        <is>
          <t>PRY-008</t>
        </is>
      </c>
      <c r="D661" t="inlineStr">
        <is>
          <t>Casa 70</t>
        </is>
      </c>
      <c r="E661" t="inlineStr">
        <is>
          <t>Ana Quintero</t>
        </is>
      </c>
      <c r="F661" t="inlineStr">
        <is>
          <t>Ganado</t>
        </is>
      </c>
      <c r="G661" t="n">
        <v>168000000</v>
      </c>
      <c r="H661" t="n">
        <v>1</v>
      </c>
      <c r="I661" s="28" t="n">
        <v>45841</v>
      </c>
      <c r="J661" s="28" t="n">
        <v>45865</v>
      </c>
      <c r="K661" t="n">
        <v>24</v>
      </c>
      <c r="L661" t="inlineStr">
        <is>
          <t>Promesa de compraventa firmada</t>
        </is>
      </c>
    </row>
    <row r="662" ht="15.75" customHeight="1" s="25">
      <c r="A662" t="inlineStr">
        <is>
          <t>NEG-0660</t>
        </is>
      </c>
      <c r="B662" t="inlineStr">
        <is>
          <t>Fernando Marín Zuluaga</t>
        </is>
      </c>
      <c r="C662" t="inlineStr">
        <is>
          <t>PRY-001</t>
        </is>
      </c>
      <c r="D662" t="inlineStr">
        <is>
          <t>Apto 1802</t>
        </is>
      </c>
      <c r="E662" t="inlineStr">
        <is>
          <t>Juliana Vélez</t>
        </is>
      </c>
      <c r="F662" t="inlineStr">
        <is>
          <t>Perdido</t>
        </is>
      </c>
      <c r="G662" t="n">
        <v>924000000</v>
      </c>
      <c r="H662" t="n">
        <v>0</v>
      </c>
      <c r="I662" s="28" t="n">
        <v>45842</v>
      </c>
      <c r="J662" s="28" t="n">
        <v>45919</v>
      </c>
      <c r="K662" t="n">
        <v>77</v>
      </c>
      <c r="L662" t="inlineStr">
        <is>
          <t>Precio fuera de presupuesto</t>
        </is>
      </c>
    </row>
    <row r="663" ht="15.75" customHeight="1" s="25">
      <c r="A663" t="inlineStr">
        <is>
          <t>NEG-0661</t>
        </is>
      </c>
      <c r="B663" t="inlineStr">
        <is>
          <t>Patricia Rojas Montes</t>
        </is>
      </c>
      <c r="C663" t="inlineStr">
        <is>
          <t>PRY-003</t>
        </is>
      </c>
      <c r="D663" t="inlineStr">
        <is>
          <t>Apto 2406</t>
        </is>
      </c>
      <c r="E663" t="inlineStr">
        <is>
          <t>Daniela Ríos</t>
        </is>
      </c>
      <c r="F663" t="inlineStr">
        <is>
          <t>Ganado</t>
        </is>
      </c>
      <c r="G663" t="n">
        <v>399000000</v>
      </c>
      <c r="H663" t="n">
        <v>1</v>
      </c>
      <c r="I663" s="28" t="n">
        <v>45842</v>
      </c>
      <c r="J663" s="28" t="n">
        <v>45878</v>
      </c>
      <c r="K663" t="n">
        <v>36</v>
      </c>
      <c r="L663" t="inlineStr">
        <is>
          <t>Promesa de compraventa firmada</t>
        </is>
      </c>
    </row>
    <row r="664" ht="15.75" customHeight="1" s="25">
      <c r="A664" t="inlineStr">
        <is>
          <t>NEG-0662</t>
        </is>
      </c>
      <c r="B664" t="inlineStr">
        <is>
          <t>Manuela Mejía Mejía</t>
        </is>
      </c>
      <c r="C664" t="inlineStr">
        <is>
          <t>PRY-003</t>
        </is>
      </c>
      <c r="D664" t="inlineStr">
        <is>
          <t>Apto 2608</t>
        </is>
      </c>
      <c r="E664" t="inlineStr">
        <is>
          <t>Daniela Ríos</t>
        </is>
      </c>
      <c r="F664" t="inlineStr">
        <is>
          <t>Ganado</t>
        </is>
      </c>
      <c r="G664" t="n">
        <v>395000000</v>
      </c>
      <c r="H664" t="n">
        <v>1</v>
      </c>
      <c r="I664" s="28" t="n">
        <v>45842</v>
      </c>
      <c r="J664" s="28" t="n">
        <v>45891</v>
      </c>
      <c r="K664" t="n">
        <v>49</v>
      </c>
      <c r="L664" t="inlineStr">
        <is>
          <t>Promesa de compraventa firmada</t>
        </is>
      </c>
    </row>
    <row r="665" ht="15.75" customHeight="1" s="25">
      <c r="A665" t="inlineStr">
        <is>
          <t>NEG-0663</t>
        </is>
      </c>
      <c r="B665" t="inlineStr">
        <is>
          <t>Paula Montes Agudelo</t>
        </is>
      </c>
      <c r="C665" t="inlineStr">
        <is>
          <t>PRY-005</t>
        </is>
      </c>
      <c r="D665" t="inlineStr">
        <is>
          <t>Apto 805</t>
        </is>
      </c>
      <c r="E665" t="inlineStr">
        <is>
          <t>Andrés Torres</t>
        </is>
      </c>
      <c r="F665" t="inlineStr">
        <is>
          <t>Perdido</t>
        </is>
      </c>
      <c r="G665" t="n">
        <v>437000000</v>
      </c>
      <c r="H665" t="n">
        <v>0</v>
      </c>
      <c r="I665" s="28" t="n">
        <v>45842</v>
      </c>
      <c r="J665" s="28" t="n">
        <v>45920</v>
      </c>
      <c r="K665" t="n">
        <v>78</v>
      </c>
      <c r="L665" t="inlineStr">
        <is>
          <t>Desistió de la compra</t>
        </is>
      </c>
    </row>
    <row r="666" ht="15.75" customHeight="1" s="25">
      <c r="A666" t="inlineStr">
        <is>
          <t>NEG-0664</t>
        </is>
      </c>
      <c r="B666" t="inlineStr">
        <is>
          <t>Juliana Salazar Henao</t>
        </is>
      </c>
      <c r="C666" t="inlineStr">
        <is>
          <t>PRY-005</t>
        </is>
      </c>
      <c r="D666" t="inlineStr">
        <is>
          <t>Casa 32</t>
        </is>
      </c>
      <c r="E666" t="inlineStr">
        <is>
          <t>Sofía Prada</t>
        </is>
      </c>
      <c r="F666" t="inlineStr">
        <is>
          <t>Ganado</t>
        </is>
      </c>
      <c r="G666" t="n">
        <v>476000000</v>
      </c>
      <c r="H666" t="n">
        <v>1</v>
      </c>
      <c r="I666" s="28" t="n">
        <v>45843</v>
      </c>
      <c r="J666" s="28" t="n">
        <v>45957</v>
      </c>
      <c r="K666" t="n">
        <v>114</v>
      </c>
      <c r="L666" t="inlineStr">
        <is>
          <t>Promesa de compraventa firmada</t>
        </is>
      </c>
    </row>
    <row r="667" ht="15.75" customHeight="1" s="25">
      <c r="A667" t="inlineStr">
        <is>
          <t>NEG-0665</t>
        </is>
      </c>
      <c r="B667" t="inlineStr">
        <is>
          <t>Nicolás Pérez Franco</t>
        </is>
      </c>
      <c r="C667" t="inlineStr">
        <is>
          <t>PRY-008</t>
        </is>
      </c>
      <c r="D667" t="inlineStr">
        <is>
          <t>Casa 3</t>
        </is>
      </c>
      <c r="E667" t="inlineStr">
        <is>
          <t>Ana Quintero</t>
        </is>
      </c>
      <c r="F667" t="inlineStr">
        <is>
          <t>Ganado</t>
        </is>
      </c>
      <c r="G667" t="n">
        <v>176000000</v>
      </c>
      <c r="H667" t="n">
        <v>1</v>
      </c>
      <c r="I667" s="28" t="n">
        <v>45844</v>
      </c>
      <c r="J667" s="28" t="n">
        <v>45908</v>
      </c>
      <c r="K667" t="n">
        <v>64</v>
      </c>
      <c r="L667" t="inlineStr">
        <is>
          <t>Promesa de compraventa firmada</t>
        </is>
      </c>
    </row>
    <row r="668" ht="15.75" customHeight="1" s="25">
      <c r="A668" t="inlineStr">
        <is>
          <t>NEG-0666</t>
        </is>
      </c>
      <c r="B668" t="inlineStr">
        <is>
          <t>Iván Escobar Sánchez</t>
        </is>
      </c>
      <c r="C668" t="inlineStr">
        <is>
          <t>PRY-003</t>
        </is>
      </c>
      <c r="D668" t="inlineStr">
        <is>
          <t>Apto 1407</t>
        </is>
      </c>
      <c r="E668" t="inlineStr">
        <is>
          <t>Miguel Salazar</t>
        </is>
      </c>
      <c r="F668" t="inlineStr">
        <is>
          <t>Ganado</t>
        </is>
      </c>
      <c r="G668" t="n">
        <v>432000000</v>
      </c>
      <c r="H668" t="n">
        <v>1</v>
      </c>
      <c r="I668" s="28" t="n">
        <v>45846</v>
      </c>
      <c r="J668" s="28" t="n">
        <v>45930</v>
      </c>
      <c r="K668" t="n">
        <v>84</v>
      </c>
      <c r="L668" t="inlineStr">
        <is>
          <t>Promesa de compraventa firmada</t>
        </is>
      </c>
    </row>
    <row r="669" ht="15.75" customHeight="1" s="25">
      <c r="A669" t="inlineStr">
        <is>
          <t>NEG-0667</t>
        </is>
      </c>
      <c r="B669" t="inlineStr">
        <is>
          <t>José Álvarez Álvarez</t>
        </is>
      </c>
      <c r="C669" t="inlineStr">
        <is>
          <t>PRY-007</t>
        </is>
      </c>
      <c r="D669" t="inlineStr">
        <is>
          <t>Apto 603</t>
        </is>
      </c>
      <c r="E669" t="inlineStr">
        <is>
          <t>Miguel Salazar</t>
        </is>
      </c>
      <c r="F669" t="inlineStr">
        <is>
          <t>Ganado</t>
        </is>
      </c>
      <c r="G669" t="n">
        <v>651000000</v>
      </c>
      <c r="H669" t="n">
        <v>1</v>
      </c>
      <c r="I669" s="28" t="n">
        <v>45846</v>
      </c>
      <c r="J669" s="28" t="n">
        <v>45909</v>
      </c>
      <c r="K669" t="n">
        <v>63</v>
      </c>
      <c r="L669" t="inlineStr">
        <is>
          <t>Promesa de compraventa firmada</t>
        </is>
      </c>
    </row>
    <row r="670" ht="15.75" customHeight="1" s="25">
      <c r="A670" t="inlineStr">
        <is>
          <t>NEG-0668</t>
        </is>
      </c>
      <c r="B670" t="inlineStr">
        <is>
          <t>Emilio Londoño Vargas</t>
        </is>
      </c>
      <c r="C670" t="inlineStr">
        <is>
          <t>PRY-008</t>
        </is>
      </c>
      <c r="D670" t="inlineStr">
        <is>
          <t>Casa 2</t>
        </is>
      </c>
      <c r="E670" t="inlineStr">
        <is>
          <t>Andrés Torres</t>
        </is>
      </c>
      <c r="F670" t="inlineStr">
        <is>
          <t>Ganado</t>
        </is>
      </c>
      <c r="G670" t="n">
        <v>184000000</v>
      </c>
      <c r="H670" t="n">
        <v>1</v>
      </c>
      <c r="I670" s="28" t="n">
        <v>45846</v>
      </c>
      <c r="J670" s="28" t="n">
        <v>45898</v>
      </c>
      <c r="K670" t="n">
        <v>52</v>
      </c>
      <c r="L670" t="inlineStr">
        <is>
          <t>Promesa de compraventa firmada</t>
        </is>
      </c>
    </row>
    <row r="671" ht="15.75" customHeight="1" s="25">
      <c r="A671" t="inlineStr">
        <is>
          <t>NEG-0669</t>
        </is>
      </c>
      <c r="B671" t="inlineStr">
        <is>
          <t>Sofía Vargas Gómez</t>
        </is>
      </c>
      <c r="C671" t="inlineStr">
        <is>
          <t>PRY-005</t>
        </is>
      </c>
      <c r="D671" t="inlineStr">
        <is>
          <t>Casa 15</t>
        </is>
      </c>
      <c r="E671" t="inlineStr">
        <is>
          <t>Juliana Vélez</t>
        </is>
      </c>
      <c r="F671" t="inlineStr">
        <is>
          <t>Ganado</t>
        </is>
      </c>
      <c r="G671" t="n">
        <v>436000000</v>
      </c>
      <c r="H671" t="n">
        <v>1</v>
      </c>
      <c r="I671" s="28" t="n">
        <v>45849</v>
      </c>
      <c r="J671" s="28" t="n">
        <v>45924</v>
      </c>
      <c r="K671" t="n">
        <v>75</v>
      </c>
      <c r="L671" t="inlineStr">
        <is>
          <t>Promesa de compraventa firmada</t>
        </is>
      </c>
    </row>
    <row r="672" ht="15.75" customHeight="1" s="25">
      <c r="A672" t="inlineStr">
        <is>
          <t>NEG-0670</t>
        </is>
      </c>
      <c r="B672" t="inlineStr">
        <is>
          <t>Gabriel Gómez Osorio</t>
        </is>
      </c>
      <c r="C672" t="inlineStr">
        <is>
          <t>PRY-005</t>
        </is>
      </c>
      <c r="D672" t="inlineStr">
        <is>
          <t>Apto 706</t>
        </is>
      </c>
      <c r="E672" t="inlineStr">
        <is>
          <t>Luis Bedoya</t>
        </is>
      </c>
      <c r="F672" t="inlineStr">
        <is>
          <t>Ganado</t>
        </is>
      </c>
      <c r="G672" t="n">
        <v>477000000</v>
      </c>
      <c r="H672" t="n">
        <v>1</v>
      </c>
      <c r="I672" s="28" t="n">
        <v>45849</v>
      </c>
      <c r="J672" s="28" t="n">
        <v>45946</v>
      </c>
      <c r="K672" t="n">
        <v>97</v>
      </c>
      <c r="L672" t="inlineStr">
        <is>
          <t>Promesa de compraventa firmada</t>
        </is>
      </c>
    </row>
    <row r="673" ht="15.75" customHeight="1" s="25">
      <c r="A673" t="inlineStr">
        <is>
          <t>NEG-0671</t>
        </is>
      </c>
      <c r="B673" t="inlineStr">
        <is>
          <t>María Echeverri Toro</t>
        </is>
      </c>
      <c r="C673" t="inlineStr">
        <is>
          <t>PRY-008</t>
        </is>
      </c>
      <c r="D673" t="inlineStr">
        <is>
          <t>Casa 1</t>
        </is>
      </c>
      <c r="E673" t="inlineStr">
        <is>
          <t>Sofía Prada</t>
        </is>
      </c>
      <c r="F673" t="inlineStr">
        <is>
          <t>Ganado</t>
        </is>
      </c>
      <c r="G673" t="n">
        <v>145000000</v>
      </c>
      <c r="H673" t="n">
        <v>1</v>
      </c>
      <c r="I673" s="28" t="n">
        <v>45849</v>
      </c>
      <c r="J673" s="28" t="n">
        <v>45882</v>
      </c>
      <c r="K673" t="n">
        <v>33</v>
      </c>
      <c r="L673" t="inlineStr">
        <is>
          <t>Promesa de compraventa firmada</t>
        </is>
      </c>
    </row>
    <row r="674" ht="15.75" customHeight="1" s="25">
      <c r="A674" t="inlineStr">
        <is>
          <t>NEG-0672</t>
        </is>
      </c>
      <c r="B674" t="inlineStr">
        <is>
          <t>Emilio Cifuentes Osorio</t>
        </is>
      </c>
      <c r="C674" t="inlineStr">
        <is>
          <t>PRY-006</t>
        </is>
      </c>
      <c r="D674" t="inlineStr">
        <is>
          <t>Local 17</t>
        </is>
      </c>
      <c r="E674" t="inlineStr">
        <is>
          <t>Luis Bedoya</t>
        </is>
      </c>
      <c r="F674" t="inlineStr">
        <is>
          <t>Perdido</t>
        </is>
      </c>
      <c r="G674" t="n">
        <v>569000000</v>
      </c>
      <c r="H674" t="n">
        <v>0</v>
      </c>
      <c r="I674" s="28" t="n">
        <v>45850</v>
      </c>
      <c r="J674" s="28" t="n">
        <v>45937</v>
      </c>
      <c r="K674" t="n">
        <v>87</v>
      </c>
      <c r="L674" t="inlineStr">
        <is>
          <t>Precio fuera de presupuesto</t>
        </is>
      </c>
    </row>
    <row r="675" ht="15.75" customHeight="1" s="25">
      <c r="A675" t="inlineStr">
        <is>
          <t>NEG-0673</t>
        </is>
      </c>
      <c r="B675" t="inlineStr">
        <is>
          <t>Alejandro López Salazar</t>
        </is>
      </c>
      <c r="C675" t="inlineStr">
        <is>
          <t>PRY-008</t>
        </is>
      </c>
      <c r="D675" t="inlineStr">
        <is>
          <t>Casa 43</t>
        </is>
      </c>
      <c r="E675" t="inlineStr">
        <is>
          <t>Santiago Muñoz</t>
        </is>
      </c>
      <c r="F675" t="inlineStr">
        <is>
          <t>Perdido</t>
        </is>
      </c>
      <c r="G675" t="n">
        <v>184000000</v>
      </c>
      <c r="H675" t="n">
        <v>0</v>
      </c>
      <c r="I675" s="28" t="n">
        <v>45850</v>
      </c>
      <c r="J675" s="28" t="n">
        <v>45873</v>
      </c>
      <c r="K675" t="n">
        <v>23</v>
      </c>
      <c r="L675" t="inlineStr">
        <is>
          <t>Precio fuera de presupuesto</t>
        </is>
      </c>
    </row>
    <row r="676" ht="15.75" customHeight="1" s="25">
      <c r="A676" t="inlineStr">
        <is>
          <t>NEG-0674</t>
        </is>
      </c>
      <c r="B676" t="inlineStr">
        <is>
          <t>Sebastián Palacio Salazar</t>
        </is>
      </c>
      <c r="C676" t="inlineStr">
        <is>
          <t>PRY-006</t>
        </is>
      </c>
      <c r="D676" t="inlineStr">
        <is>
          <t>Local 13</t>
        </is>
      </c>
      <c r="E676" t="inlineStr">
        <is>
          <t>Daniela Ríos</t>
        </is>
      </c>
      <c r="F676" t="inlineStr">
        <is>
          <t>Ganado</t>
        </is>
      </c>
      <c r="G676" t="n">
        <v>661000000</v>
      </c>
      <c r="H676" t="n">
        <v>1</v>
      </c>
      <c r="I676" s="28" t="n">
        <v>45851</v>
      </c>
      <c r="J676" s="28" t="n">
        <v>45930</v>
      </c>
      <c r="K676" t="n">
        <v>79</v>
      </c>
      <c r="L676" t="inlineStr">
        <is>
          <t>Promesa de compraventa firmada</t>
        </is>
      </c>
    </row>
    <row r="677" ht="15.75" customHeight="1" s="25">
      <c r="A677" t="inlineStr">
        <is>
          <t>NEG-0675</t>
        </is>
      </c>
      <c r="B677" t="inlineStr">
        <is>
          <t>Iván Vargas Henao</t>
        </is>
      </c>
      <c r="C677" t="inlineStr">
        <is>
          <t>PRY-003</t>
        </is>
      </c>
      <c r="D677" t="inlineStr">
        <is>
          <t>Apto 207</t>
        </is>
      </c>
      <c r="E677" t="inlineStr">
        <is>
          <t>Miguel Salazar</t>
        </is>
      </c>
      <c r="F677" t="inlineStr">
        <is>
          <t>Perdido</t>
        </is>
      </c>
      <c r="G677" t="n">
        <v>404000000</v>
      </c>
      <c r="H677" t="n">
        <v>0</v>
      </c>
      <c r="I677" s="28" t="n">
        <v>45853</v>
      </c>
      <c r="J677" s="28" t="n">
        <v>45888</v>
      </c>
      <c r="K677" t="n">
        <v>35</v>
      </c>
      <c r="L677" t="inlineStr">
        <is>
          <t>Crédito no aprobado</t>
        </is>
      </c>
    </row>
    <row r="678" ht="15.75" customHeight="1" s="25">
      <c r="A678" t="inlineStr">
        <is>
          <t>NEG-0676</t>
        </is>
      </c>
      <c r="B678" t="inlineStr">
        <is>
          <t>Alejandra Montoya Muñoz</t>
        </is>
      </c>
      <c r="C678" t="inlineStr">
        <is>
          <t>PRY-005</t>
        </is>
      </c>
      <c r="D678" t="inlineStr">
        <is>
          <t>Apto 1307</t>
        </is>
      </c>
      <c r="E678" t="inlineStr">
        <is>
          <t>Luis Bedoya</t>
        </is>
      </c>
      <c r="F678" t="inlineStr">
        <is>
          <t>Ganado</t>
        </is>
      </c>
      <c r="G678" t="n">
        <v>491000000</v>
      </c>
      <c r="H678" t="n">
        <v>1</v>
      </c>
      <c r="I678" s="28" t="n">
        <v>45856</v>
      </c>
      <c r="J678" s="28" t="n">
        <v>45895</v>
      </c>
      <c r="K678" t="n">
        <v>39</v>
      </c>
      <c r="L678" t="inlineStr">
        <is>
          <t>Promesa de compraventa firmada</t>
        </is>
      </c>
    </row>
    <row r="679" ht="15.75" customHeight="1" s="25">
      <c r="A679" t="inlineStr">
        <is>
          <t>NEG-0677</t>
        </is>
      </c>
      <c r="B679" t="inlineStr">
        <is>
          <t>Fernando Ochoa Zuluaga</t>
        </is>
      </c>
      <c r="C679" t="inlineStr">
        <is>
          <t>PRY-008</t>
        </is>
      </c>
      <c r="D679" t="inlineStr">
        <is>
          <t>Casa 34</t>
        </is>
      </c>
      <c r="E679" t="inlineStr">
        <is>
          <t>Mateo Herrera</t>
        </is>
      </c>
      <c r="F679" t="inlineStr">
        <is>
          <t>Ganado</t>
        </is>
      </c>
      <c r="G679" t="n">
        <v>178000000</v>
      </c>
      <c r="H679" t="n">
        <v>1</v>
      </c>
      <c r="I679" s="28" t="n">
        <v>45856</v>
      </c>
      <c r="J679" s="28" t="n">
        <v>45880</v>
      </c>
      <c r="K679" t="n">
        <v>24</v>
      </c>
      <c r="L679" t="inlineStr">
        <is>
          <t>Promesa de compraventa firmada</t>
        </is>
      </c>
    </row>
    <row r="680" ht="15.75" customHeight="1" s="25">
      <c r="A680" t="inlineStr">
        <is>
          <t>NEG-0678</t>
        </is>
      </c>
      <c r="B680" t="inlineStr">
        <is>
          <t>Iván Agudelo Gaviria</t>
        </is>
      </c>
      <c r="C680" t="inlineStr">
        <is>
          <t>PRY-008</t>
        </is>
      </c>
      <c r="D680" t="inlineStr">
        <is>
          <t>Casa 31</t>
        </is>
      </c>
      <c r="E680" t="inlineStr">
        <is>
          <t>Luis Bedoya</t>
        </is>
      </c>
      <c r="F680" t="inlineStr">
        <is>
          <t>Perdido</t>
        </is>
      </c>
      <c r="G680" t="n">
        <v>184000000</v>
      </c>
      <c r="H680" t="n">
        <v>0</v>
      </c>
      <c r="I680" s="28" t="n">
        <v>45857</v>
      </c>
      <c r="J680" s="28" t="n">
        <v>45911</v>
      </c>
      <c r="K680" t="n">
        <v>54</v>
      </c>
      <c r="L680" t="inlineStr">
        <is>
          <t>Precio fuera de presupuesto</t>
        </is>
      </c>
    </row>
    <row r="681" ht="15.75" customHeight="1" s="25">
      <c r="A681" t="inlineStr">
        <is>
          <t>NEG-0679</t>
        </is>
      </c>
      <c r="B681" t="inlineStr">
        <is>
          <t>Julián Arango Peláez</t>
        </is>
      </c>
      <c r="C681" t="inlineStr">
        <is>
          <t>PRY-001</t>
        </is>
      </c>
      <c r="D681" t="inlineStr">
        <is>
          <t>Apto 801</t>
        </is>
      </c>
      <c r="E681" t="inlineStr">
        <is>
          <t>Paula Arenas</t>
        </is>
      </c>
      <c r="F681" t="inlineStr">
        <is>
          <t>Perdido</t>
        </is>
      </c>
      <c r="G681" t="n">
        <v>644000000</v>
      </c>
      <c r="H681" t="n">
        <v>0</v>
      </c>
      <c r="I681" s="28" t="n">
        <v>45858</v>
      </c>
      <c r="J681" s="28" t="n">
        <v>45949</v>
      </c>
      <c r="K681" t="n">
        <v>91</v>
      </c>
      <c r="L681" t="inlineStr">
        <is>
          <t>No volvió a responder</t>
        </is>
      </c>
    </row>
    <row r="682" ht="15.75" customHeight="1" s="25">
      <c r="A682" t="inlineStr">
        <is>
          <t>NEG-0680</t>
        </is>
      </c>
      <c r="B682" t="inlineStr">
        <is>
          <t>Alejandra Jaramillo Gómez</t>
        </is>
      </c>
      <c r="C682" t="inlineStr">
        <is>
          <t>PRY-001</t>
        </is>
      </c>
      <c r="D682" t="inlineStr">
        <is>
          <t>Apto 204</t>
        </is>
      </c>
      <c r="E682" t="inlineStr">
        <is>
          <t>Andrés Torres</t>
        </is>
      </c>
      <c r="F682" t="inlineStr">
        <is>
          <t>Perdido</t>
        </is>
      </c>
      <c r="G682" t="n">
        <v>684000000</v>
      </c>
      <c r="H682" t="n">
        <v>0</v>
      </c>
      <c r="I682" s="28" t="n">
        <v>45858</v>
      </c>
      <c r="J682" s="28" t="n">
        <v>45954</v>
      </c>
      <c r="K682" t="n">
        <v>96</v>
      </c>
      <c r="L682" t="inlineStr">
        <is>
          <t>Precio fuera de presupuesto</t>
        </is>
      </c>
    </row>
    <row r="683" ht="15.75" customHeight="1" s="25">
      <c r="A683" t="inlineStr">
        <is>
          <t>NEG-0681</t>
        </is>
      </c>
      <c r="B683" t="inlineStr">
        <is>
          <t>Iván Restrepo Henao</t>
        </is>
      </c>
      <c r="C683" t="inlineStr">
        <is>
          <t>PRY-005</t>
        </is>
      </c>
      <c r="D683" t="inlineStr">
        <is>
          <t>Casa 10</t>
        </is>
      </c>
      <c r="E683" t="inlineStr">
        <is>
          <t>Andrés Torres</t>
        </is>
      </c>
      <c r="F683" t="inlineStr">
        <is>
          <t>Ganado</t>
        </is>
      </c>
      <c r="G683" t="n">
        <v>365000000</v>
      </c>
      <c r="H683" t="n">
        <v>1</v>
      </c>
      <c r="I683" s="28" t="n">
        <v>45858</v>
      </c>
      <c r="J683" s="28" t="n">
        <v>45965</v>
      </c>
      <c r="K683" t="n">
        <v>107</v>
      </c>
      <c r="L683" t="inlineStr">
        <is>
          <t>Promesa de compraventa firmada</t>
        </is>
      </c>
    </row>
    <row r="684" ht="15.75" customHeight="1" s="25">
      <c r="A684" t="inlineStr">
        <is>
          <t>NEG-0682</t>
        </is>
      </c>
      <c r="B684" t="inlineStr">
        <is>
          <t>Valentina Palacio Gaviria</t>
        </is>
      </c>
      <c r="C684" t="inlineStr">
        <is>
          <t>PRY-001</t>
        </is>
      </c>
      <c r="D684" t="inlineStr">
        <is>
          <t>Apto 1004</t>
        </is>
      </c>
      <c r="E684" t="inlineStr">
        <is>
          <t>Luis Bedoya</t>
        </is>
      </c>
      <c r="F684" t="inlineStr">
        <is>
          <t>Perdido</t>
        </is>
      </c>
      <c r="G684" t="n">
        <v>698000000</v>
      </c>
      <c r="H684" t="n">
        <v>0</v>
      </c>
      <c r="I684" s="28" t="n">
        <v>45859</v>
      </c>
      <c r="J684" s="28" t="n">
        <v>45968</v>
      </c>
      <c r="K684" t="n">
        <v>109</v>
      </c>
      <c r="L684" t="inlineStr">
        <is>
          <t>Desistió de la compra</t>
        </is>
      </c>
    </row>
    <row r="685" ht="15.75" customHeight="1" s="25">
      <c r="A685" t="inlineStr">
        <is>
          <t>NEG-0683</t>
        </is>
      </c>
      <c r="B685" t="inlineStr">
        <is>
          <t>Carolina Muñoz Palacio</t>
        </is>
      </c>
      <c r="C685" t="inlineStr">
        <is>
          <t>PRY-008</t>
        </is>
      </c>
      <c r="D685" t="inlineStr">
        <is>
          <t>Casa 6</t>
        </is>
      </c>
      <c r="E685" t="inlineStr">
        <is>
          <t>Luis Bedoya</t>
        </is>
      </c>
      <c r="F685" t="inlineStr">
        <is>
          <t>Ganado</t>
        </is>
      </c>
      <c r="G685" t="n">
        <v>142000000</v>
      </c>
      <c r="H685" t="n">
        <v>1</v>
      </c>
      <c r="I685" s="28" t="n">
        <v>45859</v>
      </c>
      <c r="J685" s="28" t="n">
        <v>45911</v>
      </c>
      <c r="K685" t="n">
        <v>52</v>
      </c>
      <c r="L685" t="inlineStr">
        <is>
          <t>Promesa de compraventa firmada</t>
        </is>
      </c>
    </row>
    <row r="686" ht="15.75" customHeight="1" s="25">
      <c r="A686" t="inlineStr">
        <is>
          <t>NEG-0684</t>
        </is>
      </c>
      <c r="B686" t="inlineStr">
        <is>
          <t>Laura Castaño Ramírez</t>
        </is>
      </c>
      <c r="C686" t="inlineStr">
        <is>
          <t>PRY-008</t>
        </is>
      </c>
      <c r="D686" t="inlineStr">
        <is>
          <t>Casa 69</t>
        </is>
      </c>
      <c r="E686" t="inlineStr">
        <is>
          <t>Santiago Muñoz</t>
        </is>
      </c>
      <c r="F686" t="inlineStr">
        <is>
          <t>Ganado</t>
        </is>
      </c>
      <c r="G686" t="n">
        <v>146000000</v>
      </c>
      <c r="H686" t="n">
        <v>1</v>
      </c>
      <c r="I686" s="28" t="n">
        <v>45861</v>
      </c>
      <c r="J686" s="28" t="n">
        <v>45931</v>
      </c>
      <c r="K686" t="n">
        <v>70</v>
      </c>
      <c r="L686" t="inlineStr">
        <is>
          <t>Promesa de compraventa firmada</t>
        </is>
      </c>
    </row>
    <row r="687" ht="15.75" customHeight="1" s="25">
      <c r="A687" t="inlineStr">
        <is>
          <t>NEG-0685</t>
        </is>
      </c>
      <c r="B687" t="inlineStr">
        <is>
          <t>Camila Castaño Cardona</t>
        </is>
      </c>
      <c r="C687" t="inlineStr">
        <is>
          <t>PRY-005</t>
        </is>
      </c>
      <c r="D687" t="inlineStr">
        <is>
          <t>Apto 1403</t>
        </is>
      </c>
      <c r="E687" t="inlineStr">
        <is>
          <t>Andrés Torres</t>
        </is>
      </c>
      <c r="F687" t="inlineStr">
        <is>
          <t>Ganado</t>
        </is>
      </c>
      <c r="G687" t="n">
        <v>401000000</v>
      </c>
      <c r="H687" t="n">
        <v>1</v>
      </c>
      <c r="I687" s="28" t="n">
        <v>45862</v>
      </c>
      <c r="J687" s="28" t="n">
        <v>45981</v>
      </c>
      <c r="K687" t="n">
        <v>119</v>
      </c>
      <c r="L687" t="inlineStr">
        <is>
          <t>Promesa de compraventa firmada</t>
        </is>
      </c>
    </row>
    <row r="688" ht="15.75" customHeight="1" s="25">
      <c r="A688" t="inlineStr">
        <is>
          <t>NEG-0686</t>
        </is>
      </c>
      <c r="B688" t="inlineStr">
        <is>
          <t>Paula Franco Echeverri</t>
        </is>
      </c>
      <c r="C688" t="inlineStr">
        <is>
          <t>PRY-003</t>
        </is>
      </c>
      <c r="D688" t="inlineStr">
        <is>
          <t>Apto 902</t>
        </is>
      </c>
      <c r="E688" t="inlineStr">
        <is>
          <t>Andrés Torres</t>
        </is>
      </c>
      <c r="F688" t="inlineStr">
        <is>
          <t>Perdido</t>
        </is>
      </c>
      <c r="G688" t="n">
        <v>365000000</v>
      </c>
      <c r="H688" t="n">
        <v>0</v>
      </c>
      <c r="I688" s="28" t="n">
        <v>45863</v>
      </c>
      <c r="J688" s="28" t="n">
        <v>45947</v>
      </c>
      <c r="K688" t="n">
        <v>84</v>
      </c>
      <c r="L688" t="inlineStr">
        <is>
          <t>Desistió de la compra</t>
        </is>
      </c>
    </row>
    <row r="689" ht="15.75" customHeight="1" s="25">
      <c r="A689" t="inlineStr">
        <is>
          <t>NEG-0687</t>
        </is>
      </c>
      <c r="B689" t="inlineStr">
        <is>
          <t>Laura Ríos Cardona</t>
        </is>
      </c>
      <c r="C689" t="inlineStr">
        <is>
          <t>PRY-008</t>
        </is>
      </c>
      <c r="D689" t="inlineStr">
        <is>
          <t>Casa 29</t>
        </is>
      </c>
      <c r="E689" t="inlineStr">
        <is>
          <t>Sofía Prada</t>
        </is>
      </c>
      <c r="F689" t="inlineStr">
        <is>
          <t>Ganado</t>
        </is>
      </c>
      <c r="G689" t="n">
        <v>173000000</v>
      </c>
      <c r="H689" t="n">
        <v>1</v>
      </c>
      <c r="I689" s="28" t="n">
        <v>45864</v>
      </c>
      <c r="J689" s="28" t="n">
        <v>45907</v>
      </c>
      <c r="K689" t="n">
        <v>43</v>
      </c>
      <c r="L689" t="inlineStr">
        <is>
          <t>Promesa de compraventa firmada</t>
        </is>
      </c>
    </row>
    <row r="690" ht="15.75" customHeight="1" s="25">
      <c r="A690" t="inlineStr">
        <is>
          <t>NEG-0688</t>
        </is>
      </c>
      <c r="B690" t="inlineStr">
        <is>
          <t>María Álvarez López</t>
        </is>
      </c>
      <c r="C690" t="inlineStr">
        <is>
          <t>PRY-006</t>
        </is>
      </c>
      <c r="D690" t="inlineStr">
        <is>
          <t>Local 2</t>
        </is>
      </c>
      <c r="E690" t="inlineStr">
        <is>
          <t>Ana Quintero</t>
        </is>
      </c>
      <c r="F690" t="inlineStr">
        <is>
          <t>Ganado</t>
        </is>
      </c>
      <c r="G690" t="n">
        <v>597000000</v>
      </c>
      <c r="H690" t="n">
        <v>1</v>
      </c>
      <c r="I690" s="28" t="n">
        <v>45865</v>
      </c>
      <c r="J690" s="28" t="n">
        <v>45942</v>
      </c>
      <c r="K690" t="n">
        <v>77</v>
      </c>
      <c r="L690" t="inlineStr">
        <is>
          <t>Promesa de compraventa firmada</t>
        </is>
      </c>
    </row>
    <row r="691" ht="15.75" customHeight="1" s="25">
      <c r="A691" t="inlineStr">
        <is>
          <t>NEG-0689</t>
        </is>
      </c>
      <c r="B691" t="inlineStr">
        <is>
          <t>Nicolás Giraldo Arango</t>
        </is>
      </c>
      <c r="C691" t="inlineStr">
        <is>
          <t>PRY-003</t>
        </is>
      </c>
      <c r="D691" t="inlineStr">
        <is>
          <t>Apto 2501</t>
        </is>
      </c>
      <c r="E691" t="inlineStr">
        <is>
          <t>Santiago Muñoz</t>
        </is>
      </c>
      <c r="F691" t="inlineStr">
        <is>
          <t>Perdido</t>
        </is>
      </c>
      <c r="G691" t="n">
        <v>451000000</v>
      </c>
      <c r="H691" t="n">
        <v>0</v>
      </c>
      <c r="I691" s="28" t="n">
        <v>45866</v>
      </c>
      <c r="J691" s="28" t="n">
        <v>45915</v>
      </c>
      <c r="K691" t="n">
        <v>49</v>
      </c>
      <c r="L691" t="inlineStr">
        <is>
          <t>Crédito no aprobado</t>
        </is>
      </c>
    </row>
    <row r="692" ht="15.75" customHeight="1" s="25">
      <c r="A692" t="inlineStr">
        <is>
          <t>NEG-0690</t>
        </is>
      </c>
      <c r="B692" t="inlineStr">
        <is>
          <t>Catalina Osorio Álvarez</t>
        </is>
      </c>
      <c r="C692" t="inlineStr">
        <is>
          <t>PRY-005</t>
        </is>
      </c>
      <c r="D692" t="inlineStr">
        <is>
          <t>Casa 18</t>
        </is>
      </c>
      <c r="E692" t="inlineStr">
        <is>
          <t>Mateo Herrera</t>
        </is>
      </c>
      <c r="F692" t="inlineStr">
        <is>
          <t>Ganado</t>
        </is>
      </c>
      <c r="G692" t="n">
        <v>472000000</v>
      </c>
      <c r="H692" t="n">
        <v>1</v>
      </c>
      <c r="I692" s="28" t="n">
        <v>45866</v>
      </c>
      <c r="J692" s="28" t="n">
        <v>45917</v>
      </c>
      <c r="K692" t="n">
        <v>51</v>
      </c>
      <c r="L692" t="inlineStr">
        <is>
          <t>Promesa de compraventa firmada</t>
        </is>
      </c>
    </row>
    <row r="693" ht="15.75" customHeight="1" s="25">
      <c r="A693" t="inlineStr">
        <is>
          <t>NEG-0691</t>
        </is>
      </c>
      <c r="B693" t="inlineStr">
        <is>
          <t>Iván Giraldo Vélez</t>
        </is>
      </c>
      <c r="C693" t="inlineStr">
        <is>
          <t>PRY-006</t>
        </is>
      </c>
      <c r="D693" t="inlineStr">
        <is>
          <t>Local 21</t>
        </is>
      </c>
      <c r="E693" t="inlineStr">
        <is>
          <t>Sofía Prada</t>
        </is>
      </c>
      <c r="F693" t="inlineStr">
        <is>
          <t>Ganado</t>
        </is>
      </c>
      <c r="G693" t="n">
        <v>508000000</v>
      </c>
      <c r="H693" t="n">
        <v>1</v>
      </c>
      <c r="I693" s="28" t="n">
        <v>45867</v>
      </c>
      <c r="J693" s="28" t="n">
        <v>45968</v>
      </c>
      <c r="K693" t="n">
        <v>101</v>
      </c>
      <c r="L693" t="inlineStr">
        <is>
          <t>Promesa de compraventa firmada</t>
        </is>
      </c>
    </row>
    <row r="694" ht="15.75" customHeight="1" s="25">
      <c r="A694" t="inlineStr">
        <is>
          <t>NEG-0692</t>
        </is>
      </c>
      <c r="B694" t="inlineStr">
        <is>
          <t>Cristian Escobar Zuluaga</t>
        </is>
      </c>
      <c r="C694" t="inlineStr">
        <is>
          <t>PRY-001</t>
        </is>
      </c>
      <c r="D694" t="inlineStr">
        <is>
          <t>Apto 704</t>
        </is>
      </c>
      <c r="E694" t="inlineStr">
        <is>
          <t>Paula Arenas</t>
        </is>
      </c>
      <c r="F694" t="inlineStr">
        <is>
          <t>Ganado</t>
        </is>
      </c>
      <c r="G694" t="n">
        <v>668000000</v>
      </c>
      <c r="H694" t="n">
        <v>1</v>
      </c>
      <c r="I694" s="28" t="n">
        <v>45868</v>
      </c>
      <c r="J694" s="28" t="n">
        <v>45923</v>
      </c>
      <c r="K694" t="n">
        <v>55</v>
      </c>
      <c r="L694" t="inlineStr">
        <is>
          <t>Promesa de compraventa firmada</t>
        </is>
      </c>
    </row>
    <row r="695" ht="15.75" customHeight="1" s="25">
      <c r="A695" t="inlineStr">
        <is>
          <t>NEG-0693</t>
        </is>
      </c>
      <c r="B695" t="inlineStr">
        <is>
          <t>Andrés Álvarez Salazar</t>
        </is>
      </c>
      <c r="C695" t="inlineStr">
        <is>
          <t>PRY-003</t>
        </is>
      </c>
      <c r="D695" t="inlineStr">
        <is>
          <t>Apto 803</t>
        </is>
      </c>
      <c r="E695" t="inlineStr">
        <is>
          <t>Juliana Vélez</t>
        </is>
      </c>
      <c r="F695" t="inlineStr">
        <is>
          <t>Ganado</t>
        </is>
      </c>
      <c r="G695" t="n">
        <v>349000000</v>
      </c>
      <c r="H695" t="n">
        <v>1</v>
      </c>
      <c r="I695" s="28" t="n">
        <v>45868</v>
      </c>
      <c r="J695" s="28" t="n">
        <v>45938</v>
      </c>
      <c r="K695" t="n">
        <v>70</v>
      </c>
      <c r="L695" t="inlineStr">
        <is>
          <t>Promesa de compraventa firmada</t>
        </is>
      </c>
    </row>
    <row r="696" ht="15.75" customHeight="1" s="25">
      <c r="A696" t="inlineStr">
        <is>
          <t>NEG-0694</t>
        </is>
      </c>
      <c r="B696" t="inlineStr">
        <is>
          <t>Wilson Rojas Ochoa</t>
        </is>
      </c>
      <c r="C696" t="inlineStr">
        <is>
          <t>PRY-003</t>
        </is>
      </c>
      <c r="D696" t="inlineStr">
        <is>
          <t>Apto 1802</t>
        </is>
      </c>
      <c r="E696" t="inlineStr">
        <is>
          <t>Luis Bedoya</t>
        </is>
      </c>
      <c r="F696" t="inlineStr">
        <is>
          <t>Ganado</t>
        </is>
      </c>
      <c r="G696" t="n">
        <v>314000000</v>
      </c>
      <c r="H696" t="n">
        <v>1</v>
      </c>
      <c r="I696" s="28" t="n">
        <v>45869</v>
      </c>
      <c r="J696" s="28" t="n">
        <v>45923</v>
      </c>
      <c r="K696" t="n">
        <v>54</v>
      </c>
      <c r="L696" t="inlineStr">
        <is>
          <t>Promesa de compraventa firmada</t>
        </is>
      </c>
    </row>
    <row r="697" ht="15.75" customHeight="1" s="25">
      <c r="A697" t="inlineStr">
        <is>
          <t>NEG-0695</t>
        </is>
      </c>
      <c r="B697" t="inlineStr">
        <is>
          <t>Sandra Ramírez Cano</t>
        </is>
      </c>
      <c r="C697" t="inlineStr">
        <is>
          <t>PRY-005</t>
        </is>
      </c>
      <c r="D697" t="inlineStr">
        <is>
          <t>Apto 901</t>
        </is>
      </c>
      <c r="E697" t="inlineStr">
        <is>
          <t>Miguel Salazar</t>
        </is>
      </c>
      <c r="F697" t="inlineStr">
        <is>
          <t>Ganado</t>
        </is>
      </c>
      <c r="G697" t="n">
        <v>447000000</v>
      </c>
      <c r="H697" t="n">
        <v>1</v>
      </c>
      <c r="I697" s="28" t="n">
        <v>45869</v>
      </c>
      <c r="J697" s="28" t="n">
        <v>45973</v>
      </c>
      <c r="K697" t="n">
        <v>104</v>
      </c>
      <c r="L697" t="inlineStr">
        <is>
          <t>Promesa de compraventa firmada</t>
        </is>
      </c>
    </row>
    <row r="698" ht="15.75" customHeight="1" s="25">
      <c r="A698" t="inlineStr">
        <is>
          <t>NEG-0696</t>
        </is>
      </c>
      <c r="B698" t="inlineStr">
        <is>
          <t>Daniel Bedoya Agudelo</t>
        </is>
      </c>
      <c r="C698" t="inlineStr">
        <is>
          <t>PRY-001</t>
        </is>
      </c>
      <c r="D698" t="inlineStr">
        <is>
          <t>Apto 806</t>
        </is>
      </c>
      <c r="E698" t="inlineStr">
        <is>
          <t>Andrés Torres</t>
        </is>
      </c>
      <c r="F698" t="inlineStr">
        <is>
          <t>Ganado</t>
        </is>
      </c>
      <c r="G698" t="n">
        <v>644000000</v>
      </c>
      <c r="H698" t="n">
        <v>1</v>
      </c>
      <c r="I698" s="28" t="n">
        <v>45872</v>
      </c>
      <c r="J698" s="28" t="n">
        <v>45916</v>
      </c>
      <c r="K698" t="n">
        <v>44</v>
      </c>
      <c r="L698" t="inlineStr">
        <is>
          <t>Promesa de compraventa firmada</t>
        </is>
      </c>
    </row>
    <row r="699" ht="15.75" customHeight="1" s="25">
      <c r="A699" t="inlineStr">
        <is>
          <t>NEG-0697</t>
        </is>
      </c>
      <c r="B699" t="inlineStr">
        <is>
          <t>Sofía Sánchez Cano</t>
        </is>
      </c>
      <c r="C699" t="inlineStr">
        <is>
          <t>PRY-008</t>
        </is>
      </c>
      <c r="D699" t="inlineStr">
        <is>
          <t>Casa 68</t>
        </is>
      </c>
      <c r="E699" t="inlineStr">
        <is>
          <t>Daniela Ríos</t>
        </is>
      </c>
      <c r="F699" t="inlineStr">
        <is>
          <t>Ganado</t>
        </is>
      </c>
      <c r="G699" t="n">
        <v>142000000</v>
      </c>
      <c r="H699" t="n">
        <v>1</v>
      </c>
      <c r="I699" s="28" t="n">
        <v>45872</v>
      </c>
      <c r="J699" s="28" t="n">
        <v>45916</v>
      </c>
      <c r="K699" t="n">
        <v>44</v>
      </c>
      <c r="L699" t="inlineStr">
        <is>
          <t>Promesa de compraventa firmada</t>
        </is>
      </c>
    </row>
    <row r="700" ht="15.75" customHeight="1" s="25">
      <c r="A700" t="inlineStr">
        <is>
          <t>NEG-0698</t>
        </is>
      </c>
      <c r="B700" t="inlineStr">
        <is>
          <t>Mateo Franco Vélez</t>
        </is>
      </c>
      <c r="C700" t="inlineStr">
        <is>
          <t>PRY-003</t>
        </is>
      </c>
      <c r="D700" t="inlineStr">
        <is>
          <t>Apto 707</t>
        </is>
      </c>
      <c r="E700" t="inlineStr">
        <is>
          <t>Luis Bedoya</t>
        </is>
      </c>
      <c r="F700" t="inlineStr">
        <is>
          <t>Perdido</t>
        </is>
      </c>
      <c r="G700" t="n">
        <v>398000000</v>
      </c>
      <c r="H700" t="n">
        <v>0</v>
      </c>
      <c r="I700" s="28" t="n">
        <v>45873</v>
      </c>
      <c r="J700" s="28" t="n">
        <v>45917</v>
      </c>
      <c r="K700" t="n">
        <v>44</v>
      </c>
      <c r="L700" t="inlineStr">
        <is>
          <t>Eligió otro proyecto</t>
        </is>
      </c>
    </row>
    <row r="701" ht="15.75" customHeight="1" s="25">
      <c r="A701" t="inlineStr">
        <is>
          <t>NEG-0699</t>
        </is>
      </c>
      <c r="B701" t="inlineStr">
        <is>
          <t>Daniela Arango Ochoa</t>
        </is>
      </c>
      <c r="C701" t="inlineStr">
        <is>
          <t>PRY-002</t>
        </is>
      </c>
      <c r="D701" t="inlineStr">
        <is>
          <t>Casa 60</t>
        </is>
      </c>
      <c r="E701" t="inlineStr">
        <is>
          <t>Sofía Prada</t>
        </is>
      </c>
      <c r="F701" t="inlineStr">
        <is>
          <t>Ganado</t>
        </is>
      </c>
      <c r="G701" t="n">
        <v>841000000</v>
      </c>
      <c r="H701" t="n">
        <v>1</v>
      </c>
      <c r="I701" s="28" t="n">
        <v>45874</v>
      </c>
      <c r="J701" s="28" t="n">
        <v>45963</v>
      </c>
      <c r="K701" t="n">
        <v>89</v>
      </c>
      <c r="L701" t="inlineStr">
        <is>
          <t>Promesa de compraventa firmada</t>
        </is>
      </c>
    </row>
    <row r="702" ht="15.75" customHeight="1" s="25">
      <c r="A702" t="inlineStr">
        <is>
          <t>NEG-0700</t>
        </is>
      </c>
      <c r="B702" t="inlineStr">
        <is>
          <t>Fernando Vargas Salazar</t>
        </is>
      </c>
      <c r="C702" t="inlineStr">
        <is>
          <t>PRY-001</t>
        </is>
      </c>
      <c r="D702" t="inlineStr">
        <is>
          <t>Apto 405</t>
        </is>
      </c>
      <c r="E702" t="inlineStr">
        <is>
          <t>Andrés Torres</t>
        </is>
      </c>
      <c r="F702" t="inlineStr">
        <is>
          <t>Ganado</t>
        </is>
      </c>
      <c r="G702" t="n">
        <v>812000000</v>
      </c>
      <c r="H702" t="n">
        <v>1</v>
      </c>
      <c r="I702" s="28" t="n">
        <v>45875</v>
      </c>
      <c r="J702" s="28" t="n">
        <v>45919</v>
      </c>
      <c r="K702" t="n">
        <v>44</v>
      </c>
      <c r="L702" t="inlineStr">
        <is>
          <t>Promesa de compraventa firmada</t>
        </is>
      </c>
    </row>
    <row r="703" ht="15.75" customHeight="1" s="25">
      <c r="A703" t="inlineStr">
        <is>
          <t>NEG-0701</t>
        </is>
      </c>
      <c r="B703" t="inlineStr">
        <is>
          <t>Ricardo Cano Betancur</t>
        </is>
      </c>
      <c r="C703" t="inlineStr">
        <is>
          <t>PRY-001</t>
        </is>
      </c>
      <c r="D703" t="inlineStr">
        <is>
          <t>Apto 2104</t>
        </is>
      </c>
      <c r="E703" t="inlineStr">
        <is>
          <t>Luis Bedoya</t>
        </is>
      </c>
      <c r="F703" t="inlineStr">
        <is>
          <t>Ganado</t>
        </is>
      </c>
      <c r="G703" t="n">
        <v>737000000</v>
      </c>
      <c r="H703" t="n">
        <v>1</v>
      </c>
      <c r="I703" s="28" t="n">
        <v>45875</v>
      </c>
      <c r="J703" s="28" t="n">
        <v>45949</v>
      </c>
      <c r="K703" t="n">
        <v>74</v>
      </c>
      <c r="L703" t="inlineStr">
        <is>
          <t>Promesa de compraventa firmada</t>
        </is>
      </c>
    </row>
    <row r="704" ht="15.75" customHeight="1" s="25">
      <c r="A704" t="inlineStr">
        <is>
          <t>NEG-0702</t>
        </is>
      </c>
      <c r="B704" t="inlineStr">
        <is>
          <t>Emilio Zuluaga Jaramillo</t>
        </is>
      </c>
      <c r="C704" t="inlineStr">
        <is>
          <t>PRY-003</t>
        </is>
      </c>
      <c r="D704" t="inlineStr">
        <is>
          <t>Apto 205</t>
        </is>
      </c>
      <c r="E704" t="inlineStr">
        <is>
          <t>Mateo Herrera</t>
        </is>
      </c>
      <c r="F704" t="inlineStr">
        <is>
          <t>Ganado</t>
        </is>
      </c>
      <c r="G704" t="n">
        <v>303000000</v>
      </c>
      <c r="H704" t="n">
        <v>1</v>
      </c>
      <c r="I704" s="28" t="n">
        <v>45876</v>
      </c>
      <c r="J704" s="28" t="n">
        <v>45948</v>
      </c>
      <c r="K704" t="n">
        <v>72</v>
      </c>
      <c r="L704" t="inlineStr">
        <is>
          <t>Promesa de compraventa firmada</t>
        </is>
      </c>
    </row>
    <row r="705" ht="15.75" customHeight="1" s="25">
      <c r="A705" t="inlineStr">
        <is>
          <t>NEG-0703</t>
        </is>
      </c>
      <c r="B705" t="inlineStr">
        <is>
          <t>Manuela Hernández Echeverri</t>
        </is>
      </c>
      <c r="C705" t="inlineStr">
        <is>
          <t>PRY-003</t>
        </is>
      </c>
      <c r="D705" t="inlineStr">
        <is>
          <t>Apto 2303</t>
        </is>
      </c>
      <c r="E705" t="inlineStr">
        <is>
          <t>Ana Quintero</t>
        </is>
      </c>
      <c r="F705" t="inlineStr">
        <is>
          <t>Ganado</t>
        </is>
      </c>
      <c r="G705" t="n">
        <v>410000000</v>
      </c>
      <c r="H705" t="n">
        <v>1</v>
      </c>
      <c r="I705" s="28" t="n">
        <v>45877</v>
      </c>
      <c r="J705" s="28" t="n">
        <v>45935</v>
      </c>
      <c r="K705" t="n">
        <v>58</v>
      </c>
      <c r="L705" t="inlineStr">
        <is>
          <t>Promesa de compraventa firmada</t>
        </is>
      </c>
    </row>
    <row r="706" ht="15.75" customHeight="1" s="25">
      <c r="A706" t="inlineStr">
        <is>
          <t>NEG-0704</t>
        </is>
      </c>
      <c r="B706" t="inlineStr">
        <is>
          <t>Fernando Álvarez Sánchez</t>
        </is>
      </c>
      <c r="C706" t="inlineStr">
        <is>
          <t>PRY-005</t>
        </is>
      </c>
      <c r="D706" t="inlineStr">
        <is>
          <t>Apto 207</t>
        </is>
      </c>
      <c r="E706" t="inlineStr">
        <is>
          <t>Luis Bedoya</t>
        </is>
      </c>
      <c r="F706" t="inlineStr">
        <is>
          <t>Perdido</t>
        </is>
      </c>
      <c r="G706" t="n">
        <v>416000000</v>
      </c>
      <c r="H706" t="n">
        <v>0</v>
      </c>
      <c r="I706" s="28" t="n">
        <v>45877</v>
      </c>
      <c r="J706" s="28" t="n">
        <v>45966</v>
      </c>
      <c r="K706" t="n">
        <v>89</v>
      </c>
      <c r="L706" t="inlineStr">
        <is>
          <t>Precio fuera de presupuesto</t>
        </is>
      </c>
    </row>
    <row r="707" ht="15.75" customHeight="1" s="25">
      <c r="A707" t="inlineStr">
        <is>
          <t>NEG-0705</t>
        </is>
      </c>
      <c r="B707" t="inlineStr">
        <is>
          <t>Gloria Salcedo Salazar</t>
        </is>
      </c>
      <c r="C707" t="inlineStr">
        <is>
          <t>PRY-007</t>
        </is>
      </c>
      <c r="D707" t="inlineStr">
        <is>
          <t>Apto 1605</t>
        </is>
      </c>
      <c r="E707" t="inlineStr">
        <is>
          <t>Daniela Ríos</t>
        </is>
      </c>
      <c r="F707" t="inlineStr">
        <is>
          <t>Ganado</t>
        </is>
      </c>
      <c r="G707" t="n">
        <v>684000000</v>
      </c>
      <c r="H707" t="n">
        <v>1</v>
      </c>
      <c r="I707" s="28" t="n">
        <v>45877</v>
      </c>
      <c r="J707" s="28" t="n">
        <v>45961</v>
      </c>
      <c r="K707" t="n">
        <v>84</v>
      </c>
      <c r="L707" t="inlineStr">
        <is>
          <t>Promesa de compraventa firmada</t>
        </is>
      </c>
    </row>
    <row r="708" ht="15.75" customHeight="1" s="25">
      <c r="A708" t="inlineStr">
        <is>
          <t>NEG-0706</t>
        </is>
      </c>
      <c r="B708" t="inlineStr">
        <is>
          <t>Liliana Marín Henao</t>
        </is>
      </c>
      <c r="C708" t="inlineStr">
        <is>
          <t>PRY-003</t>
        </is>
      </c>
      <c r="D708" t="inlineStr">
        <is>
          <t>Apto 2507</t>
        </is>
      </c>
      <c r="E708" t="inlineStr">
        <is>
          <t>Sofía Prada</t>
        </is>
      </c>
      <c r="F708" t="inlineStr">
        <is>
          <t>Ganado</t>
        </is>
      </c>
      <c r="G708" t="n">
        <v>378000000</v>
      </c>
      <c r="H708" t="n">
        <v>1</v>
      </c>
      <c r="I708" s="28" t="n">
        <v>45880</v>
      </c>
      <c r="J708" s="28" t="n">
        <v>45965</v>
      </c>
      <c r="K708" t="n">
        <v>85</v>
      </c>
      <c r="L708" t="inlineStr">
        <is>
          <t>Promesa de compraventa firmada</t>
        </is>
      </c>
    </row>
    <row r="709" ht="15.75" customHeight="1" s="25">
      <c r="A709" t="inlineStr">
        <is>
          <t>NEG-0707</t>
        </is>
      </c>
      <c r="B709" t="inlineStr">
        <is>
          <t>Mauricio Toro Montoya</t>
        </is>
      </c>
      <c r="C709" t="inlineStr">
        <is>
          <t>PRY-002</t>
        </is>
      </c>
      <c r="D709" t="inlineStr">
        <is>
          <t>Casa 29</t>
        </is>
      </c>
      <c r="E709" t="inlineStr">
        <is>
          <t>Mateo Herrera</t>
        </is>
      </c>
      <c r="F709" t="inlineStr">
        <is>
          <t>Ganado</t>
        </is>
      </c>
      <c r="G709" t="n">
        <v>790000000</v>
      </c>
      <c r="H709" t="n">
        <v>1</v>
      </c>
      <c r="I709" s="28" t="n">
        <v>45883</v>
      </c>
      <c r="J709" s="28" t="n">
        <v>45944</v>
      </c>
      <c r="K709" t="n">
        <v>61</v>
      </c>
      <c r="L709" t="inlineStr">
        <is>
          <t>Promesa de compraventa firmada</t>
        </is>
      </c>
    </row>
    <row r="710" ht="15.75" customHeight="1" s="25">
      <c r="A710" t="inlineStr">
        <is>
          <t>NEG-0708</t>
        </is>
      </c>
      <c r="B710" t="inlineStr">
        <is>
          <t>José Henao Peláez</t>
        </is>
      </c>
      <c r="C710" t="inlineStr">
        <is>
          <t>PRY-005</t>
        </is>
      </c>
      <c r="D710" t="inlineStr">
        <is>
          <t>Apto 1302</t>
        </is>
      </c>
      <c r="E710" t="inlineStr">
        <is>
          <t>Paula Arenas</t>
        </is>
      </c>
      <c r="F710" t="inlineStr">
        <is>
          <t>Ganado</t>
        </is>
      </c>
      <c r="G710" t="n">
        <v>515000000</v>
      </c>
      <c r="H710" t="n">
        <v>1</v>
      </c>
      <c r="I710" s="28" t="n">
        <v>45883</v>
      </c>
      <c r="J710" s="28" t="n">
        <v>45994</v>
      </c>
      <c r="K710" t="n">
        <v>111</v>
      </c>
      <c r="L710" t="inlineStr">
        <is>
          <t>Promesa de compraventa firmada</t>
        </is>
      </c>
    </row>
    <row r="711" ht="15.75" customHeight="1" s="25">
      <c r="A711" t="inlineStr">
        <is>
          <t>NEG-0709</t>
        </is>
      </c>
      <c r="B711" t="inlineStr">
        <is>
          <t>Diego Vargas Vélez</t>
        </is>
      </c>
      <c r="C711" t="inlineStr">
        <is>
          <t>PRY-001</t>
        </is>
      </c>
      <c r="D711" t="inlineStr">
        <is>
          <t>Apto 606</t>
        </is>
      </c>
      <c r="E711" t="inlineStr">
        <is>
          <t>Paula Arenas</t>
        </is>
      </c>
      <c r="F711" t="inlineStr">
        <is>
          <t>Perdido</t>
        </is>
      </c>
      <c r="G711" t="n">
        <v>705000000</v>
      </c>
      <c r="H711" t="n">
        <v>0</v>
      </c>
      <c r="I711" s="28" t="n">
        <v>45884</v>
      </c>
      <c r="J711" s="28" t="n">
        <v>45927</v>
      </c>
      <c r="K711" t="n">
        <v>43</v>
      </c>
      <c r="L711" t="inlineStr">
        <is>
          <t>Desistió de la compra</t>
        </is>
      </c>
    </row>
    <row r="712" ht="15.75" customHeight="1" s="25">
      <c r="A712" t="inlineStr">
        <is>
          <t>NEG-0710</t>
        </is>
      </c>
      <c r="B712" t="inlineStr">
        <is>
          <t>Felipe Pérez Agudelo</t>
        </is>
      </c>
      <c r="C712" t="inlineStr">
        <is>
          <t>PRY-003</t>
        </is>
      </c>
      <c r="D712" t="inlineStr">
        <is>
          <t>Apto 602</t>
        </is>
      </c>
      <c r="E712" t="inlineStr">
        <is>
          <t>Juliana Vélez</t>
        </is>
      </c>
      <c r="F712" t="inlineStr">
        <is>
          <t>Perdido</t>
        </is>
      </c>
      <c r="G712" t="n">
        <v>375000000</v>
      </c>
      <c r="H712" t="n">
        <v>0</v>
      </c>
      <c r="I712" s="28" t="n">
        <v>45884</v>
      </c>
      <c r="J712" s="28" t="n">
        <v>45968</v>
      </c>
      <c r="K712" t="n">
        <v>84</v>
      </c>
      <c r="L712" t="inlineStr">
        <is>
          <t>Crédito no aprobado</t>
        </is>
      </c>
    </row>
    <row r="713" ht="15.75" customHeight="1" s="25">
      <c r="A713" t="inlineStr">
        <is>
          <t>NEG-0711</t>
        </is>
      </c>
      <c r="B713" t="inlineStr">
        <is>
          <t>Cristian Henao Jaramillo</t>
        </is>
      </c>
      <c r="C713" t="inlineStr">
        <is>
          <t>PRY-001</t>
        </is>
      </c>
      <c r="D713" t="inlineStr">
        <is>
          <t>Apto 1104</t>
        </is>
      </c>
      <c r="E713" t="inlineStr">
        <is>
          <t>Ana Quintero</t>
        </is>
      </c>
      <c r="F713" t="inlineStr">
        <is>
          <t>Ganado</t>
        </is>
      </c>
      <c r="G713" t="n">
        <v>732000000</v>
      </c>
      <c r="H713" t="n">
        <v>1</v>
      </c>
      <c r="I713" s="28" t="n">
        <v>45885</v>
      </c>
      <c r="J713" s="28" t="n">
        <v>45975</v>
      </c>
      <c r="K713" t="n">
        <v>90</v>
      </c>
      <c r="L713" t="inlineStr">
        <is>
          <t>Promesa de compraventa firmada</t>
        </is>
      </c>
    </row>
    <row r="714" ht="15.75" customHeight="1" s="25">
      <c r="A714" t="inlineStr">
        <is>
          <t>NEG-0712</t>
        </is>
      </c>
      <c r="B714" t="inlineStr">
        <is>
          <t>Gloria Cano López</t>
        </is>
      </c>
      <c r="C714" t="inlineStr">
        <is>
          <t>PRY-002</t>
        </is>
      </c>
      <c r="D714" t="inlineStr">
        <is>
          <t>Casa 16</t>
        </is>
      </c>
      <c r="E714" t="inlineStr">
        <is>
          <t>Sofía Prada</t>
        </is>
      </c>
      <c r="F714" t="inlineStr">
        <is>
          <t>Perdido</t>
        </is>
      </c>
      <c r="G714" t="n">
        <v>778000000</v>
      </c>
      <c r="H714" t="n">
        <v>0</v>
      </c>
      <c r="I714" s="28" t="n">
        <v>45886</v>
      </c>
      <c r="J714" s="28" t="n">
        <v>45947</v>
      </c>
      <c r="K714" t="n">
        <v>61</v>
      </c>
      <c r="L714" t="inlineStr">
        <is>
          <t>Eligió otro proyecto</t>
        </is>
      </c>
    </row>
    <row r="715" ht="15.75" customHeight="1" s="25">
      <c r="A715" t="inlineStr">
        <is>
          <t>NEG-0713</t>
        </is>
      </c>
      <c r="B715" t="inlineStr">
        <is>
          <t>Alejandra Arango Vásquez</t>
        </is>
      </c>
      <c r="C715" t="inlineStr">
        <is>
          <t>PRY-003</t>
        </is>
      </c>
      <c r="D715" t="inlineStr">
        <is>
          <t>Apto 307</t>
        </is>
      </c>
      <c r="E715" t="inlineStr">
        <is>
          <t>Luis Bedoya</t>
        </is>
      </c>
      <c r="F715" t="inlineStr">
        <is>
          <t>Ganado</t>
        </is>
      </c>
      <c r="G715" t="n">
        <v>311000000</v>
      </c>
      <c r="H715" t="n">
        <v>1</v>
      </c>
      <c r="I715" s="28" t="n">
        <v>45886</v>
      </c>
      <c r="J715" s="28" t="n">
        <v>45932</v>
      </c>
      <c r="K715" t="n">
        <v>46</v>
      </c>
      <c r="L715" t="inlineStr">
        <is>
          <t>Promesa de compraventa firmada</t>
        </is>
      </c>
    </row>
    <row r="716" ht="15.75" customHeight="1" s="25">
      <c r="A716" t="inlineStr">
        <is>
          <t>NEG-0714</t>
        </is>
      </c>
      <c r="B716" t="inlineStr">
        <is>
          <t>Hernán Uribe Quintero</t>
        </is>
      </c>
      <c r="C716" t="inlineStr">
        <is>
          <t>PRY-003</t>
        </is>
      </c>
      <c r="D716" t="inlineStr">
        <is>
          <t>Apto 2306</t>
        </is>
      </c>
      <c r="E716" t="inlineStr">
        <is>
          <t>Luis Bedoya</t>
        </is>
      </c>
      <c r="F716" t="inlineStr">
        <is>
          <t>Perdido</t>
        </is>
      </c>
      <c r="G716" t="n">
        <v>397000000</v>
      </c>
      <c r="H716" t="n">
        <v>0</v>
      </c>
      <c r="I716" s="28" t="n">
        <v>45889</v>
      </c>
      <c r="J716" s="28" t="n">
        <v>45963</v>
      </c>
      <c r="K716" t="n">
        <v>74</v>
      </c>
      <c r="L716" t="inlineStr">
        <is>
          <t>Cambió de ciudad</t>
        </is>
      </c>
    </row>
    <row r="717" ht="15.75" customHeight="1" s="25">
      <c r="A717" t="inlineStr">
        <is>
          <t>NEG-0715</t>
        </is>
      </c>
      <c r="B717" t="inlineStr">
        <is>
          <t>Nicolás Uribe Vargas</t>
        </is>
      </c>
      <c r="C717" t="inlineStr">
        <is>
          <t>PRY-005</t>
        </is>
      </c>
      <c r="D717" t="inlineStr">
        <is>
          <t>Casa 16</t>
        </is>
      </c>
      <c r="E717" t="inlineStr">
        <is>
          <t>Luis Bedoya</t>
        </is>
      </c>
      <c r="F717" t="inlineStr">
        <is>
          <t>Perdido</t>
        </is>
      </c>
      <c r="G717" t="n">
        <v>411000000</v>
      </c>
      <c r="H717" t="n">
        <v>0</v>
      </c>
      <c r="I717" s="28" t="n">
        <v>45889</v>
      </c>
      <c r="J717" s="28" t="n">
        <v>45959</v>
      </c>
      <c r="K717" t="n">
        <v>70</v>
      </c>
      <c r="L717" t="inlineStr">
        <is>
          <t>Cambió de ciudad</t>
        </is>
      </c>
    </row>
    <row r="718" ht="15.75" customHeight="1" s="25">
      <c r="A718" t="inlineStr">
        <is>
          <t>NEG-0716</t>
        </is>
      </c>
      <c r="B718" t="inlineStr">
        <is>
          <t>Sandra Osorio Toro</t>
        </is>
      </c>
      <c r="C718" t="inlineStr">
        <is>
          <t>PRY-001</t>
        </is>
      </c>
      <c r="D718" t="inlineStr">
        <is>
          <t>Apto 1705</t>
        </is>
      </c>
      <c r="E718" t="inlineStr">
        <is>
          <t>Luis Bedoya</t>
        </is>
      </c>
      <c r="F718" t="inlineStr">
        <is>
          <t>Ganado</t>
        </is>
      </c>
      <c r="G718" t="n">
        <v>722000000</v>
      </c>
      <c r="H718" t="n">
        <v>1</v>
      </c>
      <c r="I718" s="28" t="n">
        <v>45890</v>
      </c>
      <c r="J718" s="28" t="n">
        <v>46003</v>
      </c>
      <c r="K718" t="n">
        <v>113</v>
      </c>
      <c r="L718" t="inlineStr">
        <is>
          <t>Promesa de compraventa firmada</t>
        </is>
      </c>
    </row>
    <row r="719" ht="15.75" customHeight="1" s="25">
      <c r="A719" t="inlineStr">
        <is>
          <t>NEG-0717</t>
        </is>
      </c>
      <c r="B719" t="inlineStr">
        <is>
          <t>Carolina Bedoya Jaramillo</t>
        </is>
      </c>
      <c r="C719" t="inlineStr">
        <is>
          <t>PRY-003</t>
        </is>
      </c>
      <c r="D719" t="inlineStr">
        <is>
          <t>Apto 203</t>
        </is>
      </c>
      <c r="E719" t="inlineStr">
        <is>
          <t>Luis Bedoya</t>
        </is>
      </c>
      <c r="F719" t="inlineStr">
        <is>
          <t>Perdido</t>
        </is>
      </c>
      <c r="G719" t="n">
        <v>366000000</v>
      </c>
      <c r="H719" t="n">
        <v>0</v>
      </c>
      <c r="I719" s="28" t="n">
        <v>45890</v>
      </c>
      <c r="J719" s="28" t="n">
        <v>45930</v>
      </c>
      <c r="K719" t="n">
        <v>40</v>
      </c>
      <c r="L719" t="inlineStr">
        <is>
          <t>Eligió otro proyecto</t>
        </is>
      </c>
    </row>
    <row r="720" ht="15.75" customHeight="1" s="25">
      <c r="A720" t="inlineStr">
        <is>
          <t>NEG-0718</t>
        </is>
      </c>
      <c r="B720" t="inlineStr">
        <is>
          <t>Mónica Higuita Agudelo</t>
        </is>
      </c>
      <c r="C720" t="inlineStr">
        <is>
          <t>PRY-003</t>
        </is>
      </c>
      <c r="D720" t="inlineStr">
        <is>
          <t>Apto 2208</t>
        </is>
      </c>
      <c r="E720" t="inlineStr">
        <is>
          <t>Mateo Herrera</t>
        </is>
      </c>
      <c r="F720" t="inlineStr">
        <is>
          <t>Perdido</t>
        </is>
      </c>
      <c r="G720" t="n">
        <v>425000000</v>
      </c>
      <c r="H720" t="n">
        <v>0</v>
      </c>
      <c r="I720" s="28" t="n">
        <v>45890</v>
      </c>
      <c r="J720" s="28" t="n">
        <v>45968</v>
      </c>
      <c r="K720" t="n">
        <v>78</v>
      </c>
      <c r="L720" t="inlineStr">
        <is>
          <t>No volvió a responder</t>
        </is>
      </c>
    </row>
    <row r="721" ht="15.75" customHeight="1" s="25">
      <c r="A721" t="inlineStr">
        <is>
          <t>NEG-0719</t>
        </is>
      </c>
      <c r="B721" t="inlineStr">
        <is>
          <t>Tomás Rojas Higuita</t>
        </is>
      </c>
      <c r="C721" t="inlineStr">
        <is>
          <t>PRY-007</t>
        </is>
      </c>
      <c r="D721" t="inlineStr">
        <is>
          <t>Apto 606</t>
        </is>
      </c>
      <c r="E721" t="inlineStr">
        <is>
          <t>Juliana Vélez</t>
        </is>
      </c>
      <c r="F721" t="inlineStr">
        <is>
          <t>Ganado</t>
        </is>
      </c>
      <c r="G721" t="n">
        <v>711000000</v>
      </c>
      <c r="H721" t="n">
        <v>1</v>
      </c>
      <c r="I721" s="28" t="n">
        <v>45890</v>
      </c>
      <c r="J721" s="28" t="n">
        <v>45976</v>
      </c>
      <c r="K721" t="n">
        <v>86</v>
      </c>
      <c r="L721" t="inlineStr">
        <is>
          <t>Promesa de compraventa firmada</t>
        </is>
      </c>
    </row>
    <row r="722" ht="15.75" customHeight="1" s="25">
      <c r="A722" t="inlineStr">
        <is>
          <t>NEG-0720</t>
        </is>
      </c>
      <c r="B722" t="inlineStr">
        <is>
          <t>Emilio Vélez Higuita</t>
        </is>
      </c>
      <c r="C722" t="inlineStr">
        <is>
          <t>PRY-007</t>
        </is>
      </c>
      <c r="D722" t="inlineStr">
        <is>
          <t>Apto 1503</t>
        </is>
      </c>
      <c r="E722" t="inlineStr">
        <is>
          <t>Luis Bedoya</t>
        </is>
      </c>
      <c r="F722" t="inlineStr">
        <is>
          <t>Ganado</t>
        </is>
      </c>
      <c r="G722" t="n">
        <v>763000000</v>
      </c>
      <c r="H722" t="n">
        <v>1</v>
      </c>
      <c r="I722" s="28" t="n">
        <v>45890</v>
      </c>
      <c r="J722" s="28" t="n">
        <v>46005</v>
      </c>
      <c r="K722" t="n">
        <v>115</v>
      </c>
      <c r="L722" t="inlineStr">
        <is>
          <t>Promesa de compraventa firmada</t>
        </is>
      </c>
    </row>
    <row r="723" ht="15.75" customHeight="1" s="25">
      <c r="A723" t="inlineStr">
        <is>
          <t>NEG-0721</t>
        </is>
      </c>
      <c r="B723" t="inlineStr">
        <is>
          <t>Marcela Franco Gaviria</t>
        </is>
      </c>
      <c r="C723" t="inlineStr">
        <is>
          <t>PRY-003</t>
        </is>
      </c>
      <c r="D723" t="inlineStr">
        <is>
          <t>Apto 1908</t>
        </is>
      </c>
      <c r="E723" t="inlineStr">
        <is>
          <t>Sofía Prada</t>
        </is>
      </c>
      <c r="F723" t="inlineStr">
        <is>
          <t>Perdido</t>
        </is>
      </c>
      <c r="G723" t="n">
        <v>328000000</v>
      </c>
      <c r="H723" t="n">
        <v>0</v>
      </c>
      <c r="I723" s="28" t="n">
        <v>45891</v>
      </c>
      <c r="J723" s="28" t="n">
        <v>45960</v>
      </c>
      <c r="K723" t="n">
        <v>69</v>
      </c>
      <c r="L723" t="inlineStr">
        <is>
          <t>Precio fuera de presupuesto</t>
        </is>
      </c>
    </row>
    <row r="724" ht="15.75" customHeight="1" s="25">
      <c r="A724" t="inlineStr">
        <is>
          <t>NEG-0722</t>
        </is>
      </c>
      <c r="B724" t="inlineStr">
        <is>
          <t>Esteban Cano Palacio</t>
        </is>
      </c>
      <c r="C724" t="inlineStr">
        <is>
          <t>PRY-005</t>
        </is>
      </c>
      <c r="D724" t="inlineStr">
        <is>
          <t>Casa 31</t>
        </is>
      </c>
      <c r="E724" t="inlineStr">
        <is>
          <t>Juliana Vélez</t>
        </is>
      </c>
      <c r="F724" t="inlineStr">
        <is>
          <t>Ganado</t>
        </is>
      </c>
      <c r="G724" t="n">
        <v>438000000</v>
      </c>
      <c r="H724" t="n">
        <v>1</v>
      </c>
      <c r="I724" s="28" t="n">
        <v>45893</v>
      </c>
      <c r="J724" s="28" t="n">
        <v>45964</v>
      </c>
      <c r="K724" t="n">
        <v>71</v>
      </c>
      <c r="L724" t="inlineStr">
        <is>
          <t>Promesa de compraventa firmada</t>
        </is>
      </c>
    </row>
    <row r="725" ht="15.75" customHeight="1" s="25">
      <c r="A725" t="inlineStr">
        <is>
          <t>NEG-0723</t>
        </is>
      </c>
      <c r="B725" t="inlineStr">
        <is>
          <t>Patricia Vásquez Zapata</t>
        </is>
      </c>
      <c r="C725" t="inlineStr">
        <is>
          <t>PRY-007</t>
        </is>
      </c>
      <c r="D725" t="inlineStr">
        <is>
          <t>Apto 1003</t>
        </is>
      </c>
      <c r="E725" t="inlineStr">
        <is>
          <t>Luis Bedoya</t>
        </is>
      </c>
      <c r="F725" t="inlineStr">
        <is>
          <t>Ganado</t>
        </is>
      </c>
      <c r="G725" t="n">
        <v>731000000</v>
      </c>
      <c r="H725" t="n">
        <v>1</v>
      </c>
      <c r="I725" s="28" t="n">
        <v>45893</v>
      </c>
      <c r="J725" s="28" t="n">
        <v>45941</v>
      </c>
      <c r="K725" t="n">
        <v>48</v>
      </c>
      <c r="L725" t="inlineStr">
        <is>
          <t>Promesa de compraventa firmada</t>
        </is>
      </c>
    </row>
    <row r="726" ht="15.75" customHeight="1" s="25">
      <c r="A726" t="inlineStr">
        <is>
          <t>NEG-0724</t>
        </is>
      </c>
      <c r="B726" t="inlineStr">
        <is>
          <t>Iván Valencia Salcedo</t>
        </is>
      </c>
      <c r="C726" t="inlineStr">
        <is>
          <t>PRY-003</t>
        </is>
      </c>
      <c r="D726" t="inlineStr">
        <is>
          <t>Apto 2003</t>
        </is>
      </c>
      <c r="E726" t="inlineStr">
        <is>
          <t>Daniela Ríos</t>
        </is>
      </c>
      <c r="F726" t="inlineStr">
        <is>
          <t>Ganado</t>
        </is>
      </c>
      <c r="G726" t="n">
        <v>343000000</v>
      </c>
      <c r="H726" t="n">
        <v>1</v>
      </c>
      <c r="I726" s="28" t="n">
        <v>45894</v>
      </c>
      <c r="J726" s="28" t="n">
        <v>45948</v>
      </c>
      <c r="K726" t="n">
        <v>54</v>
      </c>
      <c r="L726" t="inlineStr">
        <is>
          <t>Promesa de compraventa firmada</t>
        </is>
      </c>
    </row>
    <row r="727" ht="15.75" customHeight="1" s="25">
      <c r="A727" t="inlineStr">
        <is>
          <t>NEG-0725</t>
        </is>
      </c>
      <c r="B727" t="inlineStr">
        <is>
          <t>Juliana Rojas Escobar</t>
        </is>
      </c>
      <c r="C727" t="inlineStr">
        <is>
          <t>PRY-007</t>
        </is>
      </c>
      <c r="D727" t="inlineStr">
        <is>
          <t>Apto 804</t>
        </is>
      </c>
      <c r="E727" t="inlineStr">
        <is>
          <t>Ana Quintero</t>
        </is>
      </c>
      <c r="F727" t="inlineStr">
        <is>
          <t>Ganado</t>
        </is>
      </c>
      <c r="G727" t="n">
        <v>821000000</v>
      </c>
      <c r="H727" t="n">
        <v>1</v>
      </c>
      <c r="I727" s="28" t="n">
        <v>45894</v>
      </c>
      <c r="J727" s="28" t="n">
        <v>46004</v>
      </c>
      <c r="K727" t="n">
        <v>110</v>
      </c>
      <c r="L727" t="inlineStr">
        <is>
          <t>Promesa de compraventa firmada</t>
        </is>
      </c>
    </row>
    <row r="728" ht="15.75" customHeight="1" s="25">
      <c r="A728" t="inlineStr">
        <is>
          <t>NEG-0726</t>
        </is>
      </c>
      <c r="B728" t="inlineStr">
        <is>
          <t>Rodrigo Betancur Pérez</t>
        </is>
      </c>
      <c r="C728" t="inlineStr">
        <is>
          <t>PRY-005</t>
        </is>
      </c>
      <c r="D728" t="inlineStr">
        <is>
          <t>Casa 38</t>
        </is>
      </c>
      <c r="E728" t="inlineStr">
        <is>
          <t>Luis Bedoya</t>
        </is>
      </c>
      <c r="F728" t="inlineStr">
        <is>
          <t>Ganado</t>
        </is>
      </c>
      <c r="G728" t="n">
        <v>466000000</v>
      </c>
      <c r="H728" t="n">
        <v>1</v>
      </c>
      <c r="I728" s="28" t="n">
        <v>45895</v>
      </c>
      <c r="J728" s="28" t="n">
        <v>45984</v>
      </c>
      <c r="K728" t="n">
        <v>89</v>
      </c>
      <c r="L728" t="inlineStr">
        <is>
          <t>Promesa de compraventa firmada</t>
        </is>
      </c>
    </row>
    <row r="729" ht="15.75" customHeight="1" s="25">
      <c r="A729" t="inlineStr">
        <is>
          <t>NEG-0727</t>
        </is>
      </c>
      <c r="B729" t="inlineStr">
        <is>
          <t>Carlos Peláez Castaño</t>
        </is>
      </c>
      <c r="C729" t="inlineStr">
        <is>
          <t>PRY-001</t>
        </is>
      </c>
      <c r="D729" t="inlineStr">
        <is>
          <t>Apto 1801</t>
        </is>
      </c>
      <c r="E729" t="inlineStr">
        <is>
          <t>Luis Bedoya</t>
        </is>
      </c>
      <c r="F729" t="inlineStr">
        <is>
          <t>Ganado</t>
        </is>
      </c>
      <c r="G729" t="n">
        <v>661000000</v>
      </c>
      <c r="H729" t="n">
        <v>1</v>
      </c>
      <c r="I729" s="28" t="n">
        <v>45896</v>
      </c>
      <c r="J729" s="28" t="n">
        <v>45978</v>
      </c>
      <c r="K729" t="n">
        <v>82</v>
      </c>
      <c r="L729" t="inlineStr">
        <is>
          <t>Promesa de compraventa firmada</t>
        </is>
      </c>
    </row>
    <row r="730" ht="15.75" customHeight="1" s="25">
      <c r="A730" t="inlineStr">
        <is>
          <t>NEG-0728</t>
        </is>
      </c>
      <c r="B730" t="inlineStr">
        <is>
          <t>Daniela Restrepo Uribe</t>
        </is>
      </c>
      <c r="C730" t="inlineStr">
        <is>
          <t>PRY-003</t>
        </is>
      </c>
      <c r="D730" t="inlineStr">
        <is>
          <t>Apto 2208</t>
        </is>
      </c>
      <c r="E730" t="inlineStr">
        <is>
          <t>Paula Arenas</t>
        </is>
      </c>
      <c r="F730" t="inlineStr">
        <is>
          <t>Ganado</t>
        </is>
      </c>
      <c r="G730" t="n">
        <v>434000000</v>
      </c>
      <c r="H730" t="n">
        <v>1</v>
      </c>
      <c r="I730" s="28" t="n">
        <v>45896</v>
      </c>
      <c r="J730" s="28" t="n">
        <v>45963</v>
      </c>
      <c r="K730" t="n">
        <v>67</v>
      </c>
      <c r="L730" t="inlineStr">
        <is>
          <t>Promesa de compraventa firmada</t>
        </is>
      </c>
    </row>
    <row r="731" ht="15.75" customHeight="1" s="25">
      <c r="A731" t="inlineStr">
        <is>
          <t>NEG-0729</t>
        </is>
      </c>
      <c r="B731" t="inlineStr">
        <is>
          <t>Hernán Ramírez Uribe</t>
        </is>
      </c>
      <c r="C731" t="inlineStr">
        <is>
          <t>PRY-006</t>
        </is>
      </c>
      <c r="D731" t="inlineStr">
        <is>
          <t>Local 9</t>
        </is>
      </c>
      <c r="E731" t="inlineStr">
        <is>
          <t>Luis Bedoya</t>
        </is>
      </c>
      <c r="F731" t="inlineStr">
        <is>
          <t>Ganado</t>
        </is>
      </c>
      <c r="G731" t="n">
        <v>667000000</v>
      </c>
      <c r="H731" t="n">
        <v>1</v>
      </c>
      <c r="I731" s="28" t="n">
        <v>45896</v>
      </c>
      <c r="J731" s="28" t="n">
        <v>46001</v>
      </c>
      <c r="K731" t="n">
        <v>105</v>
      </c>
      <c r="L731" t="inlineStr">
        <is>
          <t>Promesa de compraventa firmada</t>
        </is>
      </c>
    </row>
    <row r="732" ht="15.75" customHeight="1" s="25">
      <c r="A732" t="inlineStr">
        <is>
          <t>NEG-0730</t>
        </is>
      </c>
      <c r="B732" t="inlineStr">
        <is>
          <t>Gabriel Vélez Toro</t>
        </is>
      </c>
      <c r="C732" t="inlineStr">
        <is>
          <t>PRY-002</t>
        </is>
      </c>
      <c r="D732" t="inlineStr">
        <is>
          <t>Casa 55</t>
        </is>
      </c>
      <c r="E732" t="inlineStr">
        <is>
          <t>Ana Quintero</t>
        </is>
      </c>
      <c r="F732" t="inlineStr">
        <is>
          <t>Ganado</t>
        </is>
      </c>
      <c r="G732" t="n">
        <v>834000000</v>
      </c>
      <c r="H732" t="n">
        <v>1</v>
      </c>
      <c r="I732" s="28" t="n">
        <v>45897</v>
      </c>
      <c r="J732" s="28" t="n">
        <v>45978</v>
      </c>
      <c r="K732" t="n">
        <v>81</v>
      </c>
      <c r="L732" t="inlineStr">
        <is>
          <t>Promesa de compraventa firmada</t>
        </is>
      </c>
    </row>
    <row r="733" ht="15.75" customHeight="1" s="25">
      <c r="A733" t="inlineStr">
        <is>
          <t>NEG-0731</t>
        </is>
      </c>
      <c r="B733" t="inlineStr">
        <is>
          <t>Isabel Higuita Valencia</t>
        </is>
      </c>
      <c r="C733" t="inlineStr">
        <is>
          <t>PRY-005</t>
        </is>
      </c>
      <c r="D733" t="inlineStr">
        <is>
          <t>Apto 802</t>
        </is>
      </c>
      <c r="E733" t="inlineStr">
        <is>
          <t>Ana Quintero</t>
        </is>
      </c>
      <c r="F733" t="inlineStr">
        <is>
          <t>Perdido</t>
        </is>
      </c>
      <c r="G733" t="n">
        <v>375000000</v>
      </c>
      <c r="H733" t="n">
        <v>0</v>
      </c>
      <c r="I733" s="28" t="n">
        <v>45897</v>
      </c>
      <c r="J733" s="28" t="n">
        <v>45939</v>
      </c>
      <c r="K733" t="n">
        <v>42</v>
      </c>
      <c r="L733" t="inlineStr">
        <is>
          <t>No volvió a responder</t>
        </is>
      </c>
    </row>
    <row r="734" ht="15.75" customHeight="1" s="25">
      <c r="A734" t="inlineStr">
        <is>
          <t>NEG-0732</t>
        </is>
      </c>
      <c r="B734" t="inlineStr">
        <is>
          <t>Natalia Zapata Zuluaga</t>
        </is>
      </c>
      <c r="C734" t="inlineStr">
        <is>
          <t>PRY-008</t>
        </is>
      </c>
      <c r="D734" t="inlineStr">
        <is>
          <t>Casa 47</t>
        </is>
      </c>
      <c r="E734" t="inlineStr">
        <is>
          <t>Miguel Salazar</t>
        </is>
      </c>
      <c r="F734" t="inlineStr">
        <is>
          <t>Ganado</t>
        </is>
      </c>
      <c r="G734" t="n">
        <v>161000000</v>
      </c>
      <c r="H734" t="n">
        <v>1</v>
      </c>
      <c r="I734" s="28" t="n">
        <v>45897</v>
      </c>
      <c r="J734" s="28" t="n">
        <v>45933</v>
      </c>
      <c r="K734" t="n">
        <v>36</v>
      </c>
      <c r="L734" t="inlineStr">
        <is>
          <t>Promesa de compraventa firmada</t>
        </is>
      </c>
    </row>
    <row r="735" ht="15.75" customHeight="1" s="25">
      <c r="A735" t="inlineStr">
        <is>
          <t>NEG-0733</t>
        </is>
      </c>
      <c r="B735" t="inlineStr">
        <is>
          <t>Hernán Mejía Vélez</t>
        </is>
      </c>
      <c r="C735" t="inlineStr">
        <is>
          <t>PRY-008</t>
        </is>
      </c>
      <c r="D735" t="inlineStr">
        <is>
          <t>Casa 45</t>
        </is>
      </c>
      <c r="E735" t="inlineStr">
        <is>
          <t>Luis Bedoya</t>
        </is>
      </c>
      <c r="F735" t="inlineStr">
        <is>
          <t>Perdido</t>
        </is>
      </c>
      <c r="G735" t="n">
        <v>181000000</v>
      </c>
      <c r="H735" t="n">
        <v>0</v>
      </c>
      <c r="I735" s="28" t="n">
        <v>45897</v>
      </c>
      <c r="J735" s="28" t="n">
        <v>45925</v>
      </c>
      <c r="K735" t="n">
        <v>28</v>
      </c>
      <c r="L735" t="inlineStr">
        <is>
          <t>Eligió otro proyecto</t>
        </is>
      </c>
    </row>
    <row r="736" ht="15.75" customHeight="1" s="25">
      <c r="A736" t="inlineStr">
        <is>
          <t>NEG-0734</t>
        </is>
      </c>
      <c r="B736" t="inlineStr">
        <is>
          <t>Sebastián Vásquez Cano</t>
        </is>
      </c>
      <c r="C736" t="inlineStr">
        <is>
          <t>PRY-006</t>
        </is>
      </c>
      <c r="D736" t="inlineStr">
        <is>
          <t>Local 28</t>
        </is>
      </c>
      <c r="E736" t="inlineStr">
        <is>
          <t>Miguel Salazar</t>
        </is>
      </c>
      <c r="F736" t="inlineStr">
        <is>
          <t>Perdido</t>
        </is>
      </c>
      <c r="G736" t="n">
        <v>814000000</v>
      </c>
      <c r="H736" t="n">
        <v>0</v>
      </c>
      <c r="I736" s="28" t="n">
        <v>45898</v>
      </c>
      <c r="J736" s="28" t="n">
        <v>45983</v>
      </c>
      <c r="K736" t="n">
        <v>85</v>
      </c>
      <c r="L736" t="inlineStr">
        <is>
          <t>No volvió a responder</t>
        </is>
      </c>
    </row>
    <row r="737" ht="15.75" customHeight="1" s="25">
      <c r="A737" t="inlineStr">
        <is>
          <t>NEG-0735</t>
        </is>
      </c>
      <c r="B737" t="inlineStr">
        <is>
          <t>Esteban Zuluaga Palacio</t>
        </is>
      </c>
      <c r="C737" t="inlineStr">
        <is>
          <t>PRY-008</t>
        </is>
      </c>
      <c r="D737" t="inlineStr">
        <is>
          <t>Casa 19</t>
        </is>
      </c>
      <c r="E737" t="inlineStr">
        <is>
          <t>Paula Arenas</t>
        </is>
      </c>
      <c r="F737" t="inlineStr">
        <is>
          <t>Ganado</t>
        </is>
      </c>
      <c r="G737" t="n">
        <v>164000000</v>
      </c>
      <c r="H737" t="n">
        <v>1</v>
      </c>
      <c r="I737" s="28" t="n">
        <v>45899</v>
      </c>
      <c r="J737" s="28" t="n">
        <v>45949</v>
      </c>
      <c r="K737" t="n">
        <v>50</v>
      </c>
      <c r="L737" t="inlineStr">
        <is>
          <t>Promesa de compraventa firmada</t>
        </is>
      </c>
    </row>
    <row r="738" ht="15.75" customHeight="1" s="25">
      <c r="A738" t="inlineStr">
        <is>
          <t>NEG-0736</t>
        </is>
      </c>
      <c r="B738" t="inlineStr">
        <is>
          <t>Fernando Álvarez Cano</t>
        </is>
      </c>
      <c r="C738" t="inlineStr">
        <is>
          <t>PRY-001</t>
        </is>
      </c>
      <c r="D738" t="inlineStr">
        <is>
          <t>Apto 1902</t>
        </is>
      </c>
      <c r="E738" t="inlineStr">
        <is>
          <t>Santiago Muñoz</t>
        </is>
      </c>
      <c r="F738" t="inlineStr">
        <is>
          <t>Ganado</t>
        </is>
      </c>
      <c r="G738" t="n">
        <v>660000000</v>
      </c>
      <c r="H738" t="n">
        <v>1</v>
      </c>
      <c r="I738" s="28" t="n">
        <v>45900</v>
      </c>
      <c r="J738" s="28" t="n">
        <v>45946</v>
      </c>
      <c r="K738" t="n">
        <v>46</v>
      </c>
      <c r="L738" t="inlineStr">
        <is>
          <t>Promesa de compraventa firmada</t>
        </is>
      </c>
    </row>
    <row r="739" ht="15.75" customHeight="1" s="25">
      <c r="A739" t="inlineStr">
        <is>
          <t>NEG-0737</t>
        </is>
      </c>
      <c r="B739" t="inlineStr">
        <is>
          <t>Jorge Restrepo Giraldo</t>
        </is>
      </c>
      <c r="C739" t="inlineStr">
        <is>
          <t>PRY-003</t>
        </is>
      </c>
      <c r="D739" t="inlineStr">
        <is>
          <t>Apto 506</t>
        </is>
      </c>
      <c r="E739" t="inlineStr">
        <is>
          <t>Luis Bedoya</t>
        </is>
      </c>
      <c r="F739" t="inlineStr">
        <is>
          <t>Perdido</t>
        </is>
      </c>
      <c r="G739" t="n">
        <v>320000000</v>
      </c>
      <c r="H739" t="n">
        <v>0</v>
      </c>
      <c r="I739" s="28" t="n">
        <v>45901</v>
      </c>
      <c r="J739" s="28" t="n">
        <v>45940</v>
      </c>
      <c r="K739" t="n">
        <v>39</v>
      </c>
      <c r="L739" t="inlineStr">
        <is>
          <t>No volvió a responder</t>
        </is>
      </c>
    </row>
    <row r="740" ht="15.75" customHeight="1" s="25">
      <c r="A740" t="inlineStr">
        <is>
          <t>NEG-0738</t>
        </is>
      </c>
      <c r="B740" t="inlineStr">
        <is>
          <t>Manuela Mejía Montoya</t>
        </is>
      </c>
      <c r="C740" t="inlineStr">
        <is>
          <t>PRY-006</t>
        </is>
      </c>
      <c r="D740" t="inlineStr">
        <is>
          <t>Local 18</t>
        </is>
      </c>
      <c r="E740" t="inlineStr">
        <is>
          <t>Mateo Herrera</t>
        </is>
      </c>
      <c r="F740" t="inlineStr">
        <is>
          <t>Ganado</t>
        </is>
      </c>
      <c r="G740" t="n">
        <v>532000000</v>
      </c>
      <c r="H740" t="n">
        <v>1</v>
      </c>
      <c r="I740" s="28" t="n">
        <v>45901</v>
      </c>
      <c r="J740" s="28" t="n">
        <v>45969</v>
      </c>
      <c r="K740" t="n">
        <v>68</v>
      </c>
      <c r="L740" t="inlineStr">
        <is>
          <t>Promesa de compraventa firmada</t>
        </is>
      </c>
    </row>
    <row r="741" ht="15.75" customHeight="1" s="25">
      <c r="A741" t="inlineStr">
        <is>
          <t>NEG-0739</t>
        </is>
      </c>
      <c r="B741" t="inlineStr">
        <is>
          <t>Catalina Vásquez Zapata</t>
        </is>
      </c>
      <c r="C741" t="inlineStr">
        <is>
          <t>PRY-008</t>
        </is>
      </c>
      <c r="D741" t="inlineStr">
        <is>
          <t>Casa 23</t>
        </is>
      </c>
      <c r="E741" t="inlineStr">
        <is>
          <t>Andrés Torres</t>
        </is>
      </c>
      <c r="F741" t="inlineStr">
        <is>
          <t>Ganado</t>
        </is>
      </c>
      <c r="G741" t="n">
        <v>164000000</v>
      </c>
      <c r="H741" t="n">
        <v>1</v>
      </c>
      <c r="I741" s="28" t="n">
        <v>45902</v>
      </c>
      <c r="J741" s="28" t="n">
        <v>45935</v>
      </c>
      <c r="K741" t="n">
        <v>33</v>
      </c>
      <c r="L741" t="inlineStr">
        <is>
          <t>Promesa de compraventa firmada</t>
        </is>
      </c>
    </row>
    <row r="742" ht="15.75" customHeight="1" s="25">
      <c r="A742" t="inlineStr">
        <is>
          <t>NEG-0740</t>
        </is>
      </c>
      <c r="B742" t="inlineStr">
        <is>
          <t>Natalia Londoño Gaviria</t>
        </is>
      </c>
      <c r="C742" t="inlineStr">
        <is>
          <t>PRY-002</t>
        </is>
      </c>
      <c r="D742" t="inlineStr">
        <is>
          <t>Casa 37</t>
        </is>
      </c>
      <c r="E742" t="inlineStr">
        <is>
          <t>Daniela Ríos</t>
        </is>
      </c>
      <c r="F742" t="inlineStr">
        <is>
          <t>Ganado</t>
        </is>
      </c>
      <c r="G742" t="n">
        <v>795000000</v>
      </c>
      <c r="H742" t="n">
        <v>1</v>
      </c>
      <c r="I742" s="28" t="n">
        <v>45903</v>
      </c>
      <c r="J742" s="28" t="n">
        <v>45993</v>
      </c>
      <c r="K742" t="n">
        <v>90</v>
      </c>
      <c r="L742" t="inlineStr">
        <is>
          <t>Promesa de compraventa firmada</t>
        </is>
      </c>
    </row>
    <row r="743" ht="15.75" customHeight="1" s="25">
      <c r="A743" t="inlineStr">
        <is>
          <t>NEG-0741</t>
        </is>
      </c>
      <c r="B743" t="inlineStr">
        <is>
          <t>Sandra Quintero Hernández</t>
        </is>
      </c>
      <c r="C743" t="inlineStr">
        <is>
          <t>PRY-002</t>
        </is>
      </c>
      <c r="D743" t="inlineStr">
        <is>
          <t>Casa 33</t>
        </is>
      </c>
      <c r="E743" t="inlineStr">
        <is>
          <t>Miguel Salazar</t>
        </is>
      </c>
      <c r="F743" t="inlineStr">
        <is>
          <t>Perdido</t>
        </is>
      </c>
      <c r="G743" t="n">
        <v>720000000</v>
      </c>
      <c r="H743" t="n">
        <v>0</v>
      </c>
      <c r="I743" s="28" t="n">
        <v>45903</v>
      </c>
      <c r="J743" s="28" t="n">
        <v>45979</v>
      </c>
      <c r="K743" t="n">
        <v>76</v>
      </c>
      <c r="L743" t="inlineStr">
        <is>
          <t>Precio fuera de presupuesto</t>
        </is>
      </c>
    </row>
    <row r="744" ht="15.75" customHeight="1" s="25">
      <c r="A744" t="inlineStr">
        <is>
          <t>NEG-0742</t>
        </is>
      </c>
      <c r="B744" t="inlineStr">
        <is>
          <t>Paula Pérez López</t>
        </is>
      </c>
      <c r="C744" t="inlineStr">
        <is>
          <t>PRY-007</t>
        </is>
      </c>
      <c r="D744" t="inlineStr">
        <is>
          <t>Apto 1101</t>
        </is>
      </c>
      <c r="E744" t="inlineStr">
        <is>
          <t>Miguel Salazar</t>
        </is>
      </c>
      <c r="F744" t="inlineStr">
        <is>
          <t>Perdido</t>
        </is>
      </c>
      <c r="G744" t="n">
        <v>661000000</v>
      </c>
      <c r="H744" t="n">
        <v>0</v>
      </c>
      <c r="I744" s="28" t="n">
        <v>45905</v>
      </c>
      <c r="J744" s="28" t="n">
        <v>45968</v>
      </c>
      <c r="K744" t="n">
        <v>63</v>
      </c>
      <c r="L744" t="inlineStr">
        <is>
          <t>Crédito no aprobado</t>
        </is>
      </c>
    </row>
    <row r="745" ht="15.75" customHeight="1" s="25">
      <c r="A745" t="inlineStr">
        <is>
          <t>NEG-0743</t>
        </is>
      </c>
      <c r="B745" t="inlineStr">
        <is>
          <t>Laura Palacio Castaño</t>
        </is>
      </c>
      <c r="C745" t="inlineStr">
        <is>
          <t>PRY-002</t>
        </is>
      </c>
      <c r="D745" t="inlineStr">
        <is>
          <t>Casa 26</t>
        </is>
      </c>
      <c r="E745" t="inlineStr">
        <is>
          <t>Juliana Vélez</t>
        </is>
      </c>
      <c r="F745" t="inlineStr">
        <is>
          <t>Ganado</t>
        </is>
      </c>
      <c r="G745" t="n">
        <v>762000000</v>
      </c>
      <c r="H745" t="n">
        <v>1</v>
      </c>
      <c r="I745" s="28" t="n">
        <v>45906</v>
      </c>
      <c r="J745" s="28" t="n">
        <v>46000</v>
      </c>
      <c r="K745" t="n">
        <v>94</v>
      </c>
      <c r="L745" t="inlineStr">
        <is>
          <t>Promesa de compraventa firmada</t>
        </is>
      </c>
    </row>
    <row r="746" ht="15.75" customHeight="1" s="25">
      <c r="A746" t="inlineStr">
        <is>
          <t>NEG-0744</t>
        </is>
      </c>
      <c r="B746" t="inlineStr">
        <is>
          <t>Juan Pablo Quintero Ríos</t>
        </is>
      </c>
      <c r="C746" t="inlineStr">
        <is>
          <t>PRY-003</t>
        </is>
      </c>
      <c r="D746" t="inlineStr">
        <is>
          <t>Apto 1405</t>
        </is>
      </c>
      <c r="E746" t="inlineStr">
        <is>
          <t>Sofía Prada</t>
        </is>
      </c>
      <c r="F746" t="inlineStr">
        <is>
          <t>Ganado</t>
        </is>
      </c>
      <c r="G746" t="n">
        <v>423000000</v>
      </c>
      <c r="H746" t="n">
        <v>1</v>
      </c>
      <c r="I746" s="28" t="n">
        <v>45906</v>
      </c>
      <c r="J746" s="28" t="n">
        <v>45966</v>
      </c>
      <c r="K746" t="n">
        <v>60</v>
      </c>
      <c r="L746" t="inlineStr">
        <is>
          <t>Promesa de compraventa firmada</t>
        </is>
      </c>
    </row>
    <row r="747" ht="15.75" customHeight="1" s="25">
      <c r="A747" t="inlineStr">
        <is>
          <t>NEG-0745</t>
        </is>
      </c>
      <c r="B747" t="inlineStr">
        <is>
          <t>Liliana Espinosa Salazar</t>
        </is>
      </c>
      <c r="C747" t="inlineStr">
        <is>
          <t>PRY-001</t>
        </is>
      </c>
      <c r="D747" t="inlineStr">
        <is>
          <t>Apto 902</t>
        </is>
      </c>
      <c r="E747" t="inlineStr">
        <is>
          <t>Miguel Salazar</t>
        </is>
      </c>
      <c r="F747" t="inlineStr">
        <is>
          <t>Ganado</t>
        </is>
      </c>
      <c r="G747" t="n">
        <v>823000000</v>
      </c>
      <c r="H747" t="n">
        <v>1</v>
      </c>
      <c r="I747" s="28" t="n">
        <v>45907</v>
      </c>
      <c r="J747" s="28" t="n">
        <v>45956</v>
      </c>
      <c r="K747" t="n">
        <v>49</v>
      </c>
      <c r="L747" t="inlineStr">
        <is>
          <t>Promesa de compraventa firmada</t>
        </is>
      </c>
    </row>
    <row r="748" ht="15.75" customHeight="1" s="25">
      <c r="A748" t="inlineStr">
        <is>
          <t>NEG-0746</t>
        </is>
      </c>
      <c r="B748" t="inlineStr">
        <is>
          <t>Ricardo Henao Álvarez</t>
        </is>
      </c>
      <c r="C748" t="inlineStr">
        <is>
          <t>PRY-001</t>
        </is>
      </c>
      <c r="D748" t="inlineStr">
        <is>
          <t>Apto 1105</t>
        </is>
      </c>
      <c r="E748" t="inlineStr">
        <is>
          <t>Santiago Muñoz</t>
        </is>
      </c>
      <c r="F748" t="inlineStr">
        <is>
          <t>Ganado</t>
        </is>
      </c>
      <c r="G748" t="n">
        <v>805000000</v>
      </c>
      <c r="H748" t="n">
        <v>1</v>
      </c>
      <c r="I748" s="28" t="n">
        <v>45909</v>
      </c>
      <c r="J748" s="28" t="n">
        <v>46018</v>
      </c>
      <c r="K748" t="n">
        <v>109</v>
      </c>
      <c r="L748" t="inlineStr">
        <is>
          <t>Promesa de compraventa firmada</t>
        </is>
      </c>
    </row>
    <row r="749" ht="15.75" customHeight="1" s="25">
      <c r="A749" t="inlineStr">
        <is>
          <t>NEG-0747</t>
        </is>
      </c>
      <c r="B749" t="inlineStr">
        <is>
          <t>Laura Betancur Bedoya</t>
        </is>
      </c>
      <c r="C749" t="inlineStr">
        <is>
          <t>PRY-002</t>
        </is>
      </c>
      <c r="D749" t="inlineStr">
        <is>
          <t>Casa 58</t>
        </is>
      </c>
      <c r="E749" t="inlineStr">
        <is>
          <t>Luis Bedoya</t>
        </is>
      </c>
      <c r="F749" t="inlineStr">
        <is>
          <t>Perdido</t>
        </is>
      </c>
      <c r="G749" t="n">
        <v>797000000</v>
      </c>
      <c r="H749" t="n">
        <v>0</v>
      </c>
      <c r="I749" s="28" t="n">
        <v>45911</v>
      </c>
      <c r="J749" s="28" t="n">
        <v>46008</v>
      </c>
      <c r="K749" t="n">
        <v>97</v>
      </c>
      <c r="L749" t="inlineStr">
        <is>
          <t>Precio fuera de presupuesto</t>
        </is>
      </c>
    </row>
    <row r="750" ht="15.75" customHeight="1" s="25">
      <c r="A750" t="inlineStr">
        <is>
          <t>NEG-0748</t>
        </is>
      </c>
      <c r="B750" t="inlineStr">
        <is>
          <t>Isabel Marín Zapata</t>
        </is>
      </c>
      <c r="C750" t="inlineStr">
        <is>
          <t>PRY-003</t>
        </is>
      </c>
      <c r="D750" t="inlineStr">
        <is>
          <t>Apto 1303</t>
        </is>
      </c>
      <c r="E750" t="inlineStr">
        <is>
          <t>Luis Bedoya</t>
        </is>
      </c>
      <c r="F750" t="inlineStr">
        <is>
          <t>Ganado</t>
        </is>
      </c>
      <c r="G750" t="n">
        <v>337000000</v>
      </c>
      <c r="H750" t="n">
        <v>1</v>
      </c>
      <c r="I750" s="28" t="n">
        <v>45911</v>
      </c>
      <c r="J750" s="28" t="n">
        <v>45936</v>
      </c>
      <c r="K750" t="n">
        <v>25</v>
      </c>
      <c r="L750" t="inlineStr">
        <is>
          <t>Promesa de compraventa firmada</t>
        </is>
      </c>
    </row>
    <row r="751" ht="15.75" customHeight="1" s="25">
      <c r="A751" t="inlineStr">
        <is>
          <t>NEG-0749</t>
        </is>
      </c>
      <c r="B751" t="inlineStr">
        <is>
          <t>Daniela Sánchez Betancur</t>
        </is>
      </c>
      <c r="C751" t="inlineStr">
        <is>
          <t>PRY-008</t>
        </is>
      </c>
      <c r="D751" t="inlineStr">
        <is>
          <t>Casa 26</t>
        </is>
      </c>
      <c r="E751" t="inlineStr">
        <is>
          <t>Sofía Prada</t>
        </is>
      </c>
      <c r="F751" t="inlineStr">
        <is>
          <t>Perdido</t>
        </is>
      </c>
      <c r="G751" t="n">
        <v>157000000</v>
      </c>
      <c r="H751" t="n">
        <v>0</v>
      </c>
      <c r="I751" s="28" t="n">
        <v>45911</v>
      </c>
      <c r="J751" s="28" t="n">
        <v>45942</v>
      </c>
      <c r="K751" t="n">
        <v>31</v>
      </c>
      <c r="L751" t="inlineStr">
        <is>
          <t>Crédito no aprobado</t>
        </is>
      </c>
    </row>
    <row r="752" ht="15.75" customHeight="1" s="25">
      <c r="A752" t="inlineStr">
        <is>
          <t>NEG-0750</t>
        </is>
      </c>
      <c r="B752" t="inlineStr">
        <is>
          <t>Camila Sánchez Arango</t>
        </is>
      </c>
      <c r="C752" t="inlineStr">
        <is>
          <t>PRY-003</t>
        </is>
      </c>
      <c r="D752" t="inlineStr">
        <is>
          <t>Apto 2101</t>
        </is>
      </c>
      <c r="E752" t="inlineStr">
        <is>
          <t>Andrés Torres</t>
        </is>
      </c>
      <c r="F752" t="inlineStr">
        <is>
          <t>Perdido</t>
        </is>
      </c>
      <c r="G752" t="n">
        <v>410000000</v>
      </c>
      <c r="H752" t="n">
        <v>0</v>
      </c>
      <c r="I752" s="28" t="n">
        <v>45912</v>
      </c>
      <c r="J752" s="28" t="n">
        <v>45997</v>
      </c>
      <c r="K752" t="n">
        <v>85</v>
      </c>
      <c r="L752" t="inlineStr">
        <is>
          <t>Eligió otro proyecto</t>
        </is>
      </c>
    </row>
    <row r="753" ht="15.75" customHeight="1" s="25">
      <c r="A753" t="inlineStr">
        <is>
          <t>NEG-0751</t>
        </is>
      </c>
      <c r="B753" t="inlineStr">
        <is>
          <t>David Salcedo Giraldo</t>
        </is>
      </c>
      <c r="C753" t="inlineStr">
        <is>
          <t>PRY-005</t>
        </is>
      </c>
      <c r="D753" t="inlineStr">
        <is>
          <t>Casa 41</t>
        </is>
      </c>
      <c r="E753" t="inlineStr">
        <is>
          <t>Luis Bedoya</t>
        </is>
      </c>
      <c r="F753" t="inlineStr">
        <is>
          <t>Ganado</t>
        </is>
      </c>
      <c r="G753" t="n">
        <v>423000000</v>
      </c>
      <c r="H753" t="n">
        <v>1</v>
      </c>
      <c r="I753" s="28" t="n">
        <v>45912</v>
      </c>
      <c r="J753" s="28" t="n">
        <v>46020</v>
      </c>
      <c r="K753" t="n">
        <v>108</v>
      </c>
      <c r="L753" t="inlineStr">
        <is>
          <t>Promesa de compraventa firmada</t>
        </is>
      </c>
    </row>
    <row r="754" ht="15.75" customHeight="1" s="25">
      <c r="A754" t="inlineStr">
        <is>
          <t>NEG-0752</t>
        </is>
      </c>
      <c r="B754" t="inlineStr">
        <is>
          <t>Simón Vásquez Quintero</t>
        </is>
      </c>
      <c r="C754" t="inlineStr">
        <is>
          <t>PRY-003</t>
        </is>
      </c>
      <c r="D754" t="inlineStr">
        <is>
          <t>Apto 1702</t>
        </is>
      </c>
      <c r="E754" t="inlineStr">
        <is>
          <t>Luis Bedoya</t>
        </is>
      </c>
      <c r="F754" t="inlineStr">
        <is>
          <t>Ganado</t>
        </is>
      </c>
      <c r="G754" t="n">
        <v>450000000</v>
      </c>
      <c r="H754" t="n">
        <v>1</v>
      </c>
      <c r="I754" s="28" t="n">
        <v>45913</v>
      </c>
      <c r="J754" s="28" t="n">
        <v>45941</v>
      </c>
      <c r="K754" t="n">
        <v>28</v>
      </c>
      <c r="L754" t="inlineStr">
        <is>
          <t>Promesa de compraventa firmada</t>
        </is>
      </c>
    </row>
    <row r="755" ht="15.75" customHeight="1" s="25">
      <c r="A755" t="inlineStr">
        <is>
          <t>NEG-0753</t>
        </is>
      </c>
      <c r="B755" t="inlineStr">
        <is>
          <t>María Arango Franco</t>
        </is>
      </c>
      <c r="C755" t="inlineStr">
        <is>
          <t>PRY-008</t>
        </is>
      </c>
      <c r="D755" t="inlineStr">
        <is>
          <t>Casa 32</t>
        </is>
      </c>
      <c r="E755" t="inlineStr">
        <is>
          <t>Miguel Salazar</t>
        </is>
      </c>
      <c r="F755" t="inlineStr">
        <is>
          <t>Ganado</t>
        </is>
      </c>
      <c r="G755" t="n">
        <v>159000000</v>
      </c>
      <c r="H755" t="n">
        <v>1</v>
      </c>
      <c r="I755" s="28" t="n">
        <v>45913</v>
      </c>
      <c r="J755" s="28" t="n">
        <v>45962</v>
      </c>
      <c r="K755" t="n">
        <v>49</v>
      </c>
      <c r="L755" t="inlineStr">
        <is>
          <t>Promesa de compraventa firmada</t>
        </is>
      </c>
    </row>
    <row r="756" ht="15.75" customHeight="1" s="25">
      <c r="A756" t="inlineStr">
        <is>
          <t>NEG-0754</t>
        </is>
      </c>
      <c r="B756" t="inlineStr">
        <is>
          <t>Mauricio Cifuentes Jaramillo</t>
        </is>
      </c>
      <c r="C756" t="inlineStr">
        <is>
          <t>PRY-005</t>
        </is>
      </c>
      <c r="D756" t="inlineStr">
        <is>
          <t>Apto 406</t>
        </is>
      </c>
      <c r="E756" t="inlineStr">
        <is>
          <t>Sofía Prada</t>
        </is>
      </c>
      <c r="F756" t="inlineStr">
        <is>
          <t>Ganado</t>
        </is>
      </c>
      <c r="G756" t="n">
        <v>447000000</v>
      </c>
      <c r="H756" t="n">
        <v>1</v>
      </c>
      <c r="I756" s="28" t="n">
        <v>45914</v>
      </c>
      <c r="J756" s="28" t="n">
        <v>46017</v>
      </c>
      <c r="K756" t="n">
        <v>103</v>
      </c>
      <c r="L756" t="inlineStr">
        <is>
          <t>Promesa de compraventa firmada</t>
        </is>
      </c>
    </row>
    <row r="757" ht="15.75" customHeight="1" s="25">
      <c r="A757" t="inlineStr">
        <is>
          <t>NEG-0755</t>
        </is>
      </c>
      <c r="B757" t="inlineStr">
        <is>
          <t>Paola Restrepo Mejía</t>
        </is>
      </c>
      <c r="C757" t="inlineStr">
        <is>
          <t>PRY-006</t>
        </is>
      </c>
      <c r="D757" t="inlineStr">
        <is>
          <t>Local 10</t>
        </is>
      </c>
      <c r="E757" t="inlineStr">
        <is>
          <t>Daniela Ríos</t>
        </is>
      </c>
      <c r="F757" t="inlineStr">
        <is>
          <t>Ganado</t>
        </is>
      </c>
      <c r="G757" t="n">
        <v>497000000</v>
      </c>
      <c r="H757" t="n">
        <v>1</v>
      </c>
      <c r="I757" s="28" t="n">
        <v>45914</v>
      </c>
      <c r="J757" s="28" t="n">
        <v>46016</v>
      </c>
      <c r="K757" t="n">
        <v>102</v>
      </c>
      <c r="L757" t="inlineStr">
        <is>
          <t>Promesa de compraventa firmada</t>
        </is>
      </c>
    </row>
    <row r="758" ht="15.75" customHeight="1" s="25">
      <c r="A758" t="inlineStr">
        <is>
          <t>NEG-0756</t>
        </is>
      </c>
      <c r="B758" t="inlineStr">
        <is>
          <t>Felipe Muñoz Espinosa</t>
        </is>
      </c>
      <c r="C758" t="inlineStr">
        <is>
          <t>PRY-007</t>
        </is>
      </c>
      <c r="D758" t="inlineStr">
        <is>
          <t>Apto 1401</t>
        </is>
      </c>
      <c r="E758" t="inlineStr">
        <is>
          <t>Luis Bedoya</t>
        </is>
      </c>
      <c r="F758" t="inlineStr">
        <is>
          <t>Perdido</t>
        </is>
      </c>
      <c r="G758" t="n">
        <v>645000000</v>
      </c>
      <c r="H758" t="n">
        <v>0</v>
      </c>
      <c r="I758" s="28" t="n">
        <v>45914</v>
      </c>
      <c r="J758" s="28" t="n">
        <v>46011</v>
      </c>
      <c r="K758" t="n">
        <v>97</v>
      </c>
      <c r="L758" t="inlineStr">
        <is>
          <t>Cambió de ciudad</t>
        </is>
      </c>
    </row>
    <row r="759" ht="15.75" customHeight="1" s="25">
      <c r="A759" t="inlineStr">
        <is>
          <t>NEG-0757</t>
        </is>
      </c>
      <c r="B759" t="inlineStr">
        <is>
          <t>Julián Duque Bedoya</t>
        </is>
      </c>
      <c r="C759" t="inlineStr">
        <is>
          <t>PRY-008</t>
        </is>
      </c>
      <c r="D759" t="inlineStr">
        <is>
          <t>Casa 108</t>
        </is>
      </c>
      <c r="E759" t="inlineStr">
        <is>
          <t>Andrés Torres</t>
        </is>
      </c>
      <c r="F759" t="inlineStr">
        <is>
          <t>Perdido</t>
        </is>
      </c>
      <c r="G759" t="n">
        <v>139000000</v>
      </c>
      <c r="H759" t="n">
        <v>0</v>
      </c>
      <c r="I759" s="28" t="n">
        <v>45914</v>
      </c>
      <c r="J759" s="28" t="n">
        <v>45939</v>
      </c>
      <c r="K759" t="n">
        <v>25</v>
      </c>
      <c r="L759" t="inlineStr">
        <is>
          <t>Cambió de ciudad</t>
        </is>
      </c>
    </row>
    <row r="760" ht="15.75" customHeight="1" s="25">
      <c r="A760" t="inlineStr">
        <is>
          <t>NEG-0758</t>
        </is>
      </c>
      <c r="B760" t="inlineStr">
        <is>
          <t>Lorena Bedoya Peláez</t>
        </is>
      </c>
      <c r="C760" t="inlineStr">
        <is>
          <t>PRY-003</t>
        </is>
      </c>
      <c r="D760" t="inlineStr">
        <is>
          <t>Apto 1906</t>
        </is>
      </c>
      <c r="E760" t="inlineStr">
        <is>
          <t>Miguel Salazar</t>
        </is>
      </c>
      <c r="F760" t="inlineStr">
        <is>
          <t>Ganado</t>
        </is>
      </c>
      <c r="G760" t="n">
        <v>458000000</v>
      </c>
      <c r="H760" t="n">
        <v>1</v>
      </c>
      <c r="I760" s="28" t="n">
        <v>45916</v>
      </c>
      <c r="J760" s="28" t="n">
        <v>45972</v>
      </c>
      <c r="K760" t="n">
        <v>56</v>
      </c>
      <c r="L760" t="inlineStr">
        <is>
          <t>Promesa de compraventa firmada</t>
        </is>
      </c>
    </row>
    <row r="761" ht="15.75" customHeight="1" s="25">
      <c r="A761" t="inlineStr">
        <is>
          <t>NEG-0759</t>
        </is>
      </c>
      <c r="B761" t="inlineStr">
        <is>
          <t>Valeria Bedoya Marín</t>
        </is>
      </c>
      <c r="C761" t="inlineStr">
        <is>
          <t>PRY-001</t>
        </is>
      </c>
      <c r="D761" t="inlineStr">
        <is>
          <t>Apto 1706</t>
        </is>
      </c>
      <c r="E761" t="inlineStr">
        <is>
          <t>Sofía Prada</t>
        </is>
      </c>
      <c r="F761" t="inlineStr">
        <is>
          <t>Ganado</t>
        </is>
      </c>
      <c r="G761" t="n">
        <v>866000000</v>
      </c>
      <c r="H761" t="n">
        <v>1</v>
      </c>
      <c r="I761" s="28" t="n">
        <v>45917</v>
      </c>
      <c r="J761" s="28" t="n">
        <v>45973</v>
      </c>
      <c r="K761" t="n">
        <v>56</v>
      </c>
      <c r="L761" t="inlineStr">
        <is>
          <t>Promesa de compraventa firmada</t>
        </is>
      </c>
    </row>
    <row r="762" ht="15.75" customHeight="1" s="25">
      <c r="A762" t="inlineStr">
        <is>
          <t>NEG-0760</t>
        </is>
      </c>
      <c r="B762" t="inlineStr">
        <is>
          <t>Mariana Zuluaga Mejía</t>
        </is>
      </c>
      <c r="C762" t="inlineStr">
        <is>
          <t>PRY-007</t>
        </is>
      </c>
      <c r="D762" t="inlineStr">
        <is>
          <t>Apto 806</t>
        </is>
      </c>
      <c r="E762" t="inlineStr">
        <is>
          <t>Juliana Vélez</t>
        </is>
      </c>
      <c r="F762" t="inlineStr">
        <is>
          <t>Ganado</t>
        </is>
      </c>
      <c r="G762" t="n">
        <v>655000000</v>
      </c>
      <c r="H762" t="n">
        <v>1</v>
      </c>
      <c r="I762" s="28" t="n">
        <v>45920</v>
      </c>
      <c r="J762" s="28" t="n">
        <v>45993</v>
      </c>
      <c r="K762" t="n">
        <v>73</v>
      </c>
      <c r="L762" t="inlineStr">
        <is>
          <t>Promesa de compraventa firmada</t>
        </is>
      </c>
    </row>
    <row r="763" ht="15.75" customHeight="1" s="25">
      <c r="A763" t="inlineStr">
        <is>
          <t>NEG-0761</t>
        </is>
      </c>
      <c r="B763" t="inlineStr">
        <is>
          <t>Sandra Castaño Zapata</t>
        </is>
      </c>
      <c r="C763" t="inlineStr">
        <is>
          <t>PRY-001</t>
        </is>
      </c>
      <c r="D763" t="inlineStr">
        <is>
          <t>Apto 1002</t>
        </is>
      </c>
      <c r="E763" t="inlineStr">
        <is>
          <t>Santiago Muñoz</t>
        </is>
      </c>
      <c r="F763" t="inlineStr">
        <is>
          <t>Ganado</t>
        </is>
      </c>
      <c r="G763" t="n">
        <v>887000000</v>
      </c>
      <c r="H763" t="n">
        <v>1</v>
      </c>
      <c r="I763" s="28" t="n">
        <v>45922</v>
      </c>
      <c r="J763" s="28" t="n">
        <v>46018</v>
      </c>
      <c r="K763" t="n">
        <v>96</v>
      </c>
      <c r="L763" t="inlineStr">
        <is>
          <t>Promesa de compraventa firmada</t>
        </is>
      </c>
    </row>
    <row r="764" ht="15.75" customHeight="1" s="25">
      <c r="A764" t="inlineStr">
        <is>
          <t>NEG-0762</t>
        </is>
      </c>
      <c r="B764" t="inlineStr">
        <is>
          <t>Tomás Zuluaga Restrepo</t>
        </is>
      </c>
      <c r="C764" t="inlineStr">
        <is>
          <t>PRY-003</t>
        </is>
      </c>
      <c r="D764" t="inlineStr">
        <is>
          <t>Apto 701</t>
        </is>
      </c>
      <c r="E764" t="inlineStr">
        <is>
          <t>Paula Arenas</t>
        </is>
      </c>
      <c r="F764" t="inlineStr">
        <is>
          <t>Ganado</t>
        </is>
      </c>
      <c r="G764" t="n">
        <v>428000000</v>
      </c>
      <c r="H764" t="n">
        <v>1</v>
      </c>
      <c r="I764" s="28" t="n">
        <v>45927</v>
      </c>
      <c r="J764" s="28" t="n">
        <v>45978</v>
      </c>
      <c r="K764" t="n">
        <v>51</v>
      </c>
      <c r="L764" t="inlineStr">
        <is>
          <t>Promesa de compraventa firmada</t>
        </is>
      </c>
    </row>
    <row r="765" ht="15.75" customHeight="1" s="25">
      <c r="A765" t="inlineStr">
        <is>
          <t>NEG-0763</t>
        </is>
      </c>
      <c r="B765" t="inlineStr">
        <is>
          <t>Valentina Zuluaga Mejía</t>
        </is>
      </c>
      <c r="C765" t="inlineStr">
        <is>
          <t>PRY-005</t>
        </is>
      </c>
      <c r="D765" t="inlineStr">
        <is>
          <t>Apto 405</t>
        </is>
      </c>
      <c r="E765" t="inlineStr">
        <is>
          <t>Daniela Ríos</t>
        </is>
      </c>
      <c r="F765" t="inlineStr">
        <is>
          <t>Perdido</t>
        </is>
      </c>
      <c r="G765" t="n">
        <v>424000000</v>
      </c>
      <c r="H765" t="n">
        <v>0</v>
      </c>
      <c r="I765" s="28" t="n">
        <v>45927</v>
      </c>
      <c r="J765" s="28" t="n">
        <v>46009</v>
      </c>
      <c r="K765" t="n">
        <v>82</v>
      </c>
      <c r="L765" t="inlineStr">
        <is>
          <t>Crédito no aprobado</t>
        </is>
      </c>
    </row>
    <row r="766" ht="15.75" customHeight="1" s="25">
      <c r="A766" t="inlineStr">
        <is>
          <t>NEG-0764</t>
        </is>
      </c>
      <c r="B766" t="inlineStr">
        <is>
          <t>Catalina Montoya Hernández</t>
        </is>
      </c>
      <c r="C766" t="inlineStr">
        <is>
          <t>PRY-003</t>
        </is>
      </c>
      <c r="D766" t="inlineStr">
        <is>
          <t>Apto 905</t>
        </is>
      </c>
      <c r="E766" t="inlineStr">
        <is>
          <t>Ana Quintero</t>
        </is>
      </c>
      <c r="F766" t="inlineStr">
        <is>
          <t>Ganado</t>
        </is>
      </c>
      <c r="G766" t="n">
        <v>429000000</v>
      </c>
      <c r="H766" t="n">
        <v>1</v>
      </c>
      <c r="I766" s="28" t="n">
        <v>45928</v>
      </c>
      <c r="J766" s="28" t="n">
        <v>46010</v>
      </c>
      <c r="K766" t="n">
        <v>82</v>
      </c>
      <c r="L766" t="inlineStr">
        <is>
          <t>Promesa de compraventa firmada</t>
        </is>
      </c>
    </row>
    <row r="767" ht="15.75" customHeight="1" s="25">
      <c r="A767" t="inlineStr">
        <is>
          <t>NEG-0765</t>
        </is>
      </c>
      <c r="B767" t="inlineStr">
        <is>
          <t>Isabel Henao Osorio</t>
        </is>
      </c>
      <c r="C767" t="inlineStr">
        <is>
          <t>PRY-007</t>
        </is>
      </c>
      <c r="D767" t="inlineStr">
        <is>
          <t>Apto 302</t>
        </is>
      </c>
      <c r="E767" t="inlineStr">
        <is>
          <t>Luis Bedoya</t>
        </is>
      </c>
      <c r="F767" t="inlineStr">
        <is>
          <t>Ganado</t>
        </is>
      </c>
      <c r="G767" t="n">
        <v>778000000</v>
      </c>
      <c r="H767" t="n">
        <v>1</v>
      </c>
      <c r="I767" s="28" t="n">
        <v>45928</v>
      </c>
      <c r="J767" s="28" t="n">
        <v>46044</v>
      </c>
      <c r="K767" t="n">
        <v>116</v>
      </c>
      <c r="L767" t="inlineStr">
        <is>
          <t>Promesa de compraventa firmada</t>
        </is>
      </c>
    </row>
    <row r="768" ht="15.75" customHeight="1" s="25">
      <c r="A768" t="inlineStr">
        <is>
          <t>NEG-0766</t>
        </is>
      </c>
      <c r="B768" t="inlineStr">
        <is>
          <t>Daniel Higuita Osorio</t>
        </is>
      </c>
      <c r="C768" t="inlineStr">
        <is>
          <t>PRY-008</t>
        </is>
      </c>
      <c r="D768" t="inlineStr">
        <is>
          <t>Casa 71</t>
        </is>
      </c>
      <c r="E768" t="inlineStr">
        <is>
          <t>Sofía Prada</t>
        </is>
      </c>
      <c r="F768" t="inlineStr">
        <is>
          <t>Perdido</t>
        </is>
      </c>
      <c r="G768" t="n">
        <v>142000000</v>
      </c>
      <c r="H768" t="n">
        <v>0</v>
      </c>
      <c r="I768" s="28" t="n">
        <v>45928</v>
      </c>
      <c r="J768" s="28" t="n">
        <v>45996</v>
      </c>
      <c r="K768" t="n">
        <v>68</v>
      </c>
      <c r="L768" t="inlineStr">
        <is>
          <t>Cambió de ciudad</t>
        </is>
      </c>
    </row>
    <row r="769" ht="15.75" customHeight="1" s="25">
      <c r="A769" t="inlineStr">
        <is>
          <t>NEG-0767</t>
        </is>
      </c>
      <c r="B769" t="inlineStr">
        <is>
          <t>Camila Osorio Valencia</t>
        </is>
      </c>
      <c r="C769" t="inlineStr">
        <is>
          <t>PRY-005</t>
        </is>
      </c>
      <c r="D769" t="inlineStr">
        <is>
          <t>Apto 1402</t>
        </is>
      </c>
      <c r="E769" t="inlineStr">
        <is>
          <t>Paula Arenas</t>
        </is>
      </c>
      <c r="F769" t="inlineStr">
        <is>
          <t>Ganado</t>
        </is>
      </c>
      <c r="G769" t="n">
        <v>389000000</v>
      </c>
      <c r="H769" t="n">
        <v>1</v>
      </c>
      <c r="I769" s="28" t="n">
        <v>45932</v>
      </c>
      <c r="J769" s="28" t="n">
        <v>45992</v>
      </c>
      <c r="K769" t="n">
        <v>60</v>
      </c>
      <c r="L769" t="inlineStr">
        <is>
          <t>Promesa de compraventa firmada</t>
        </is>
      </c>
    </row>
    <row r="770" ht="15.75" customHeight="1" s="25">
      <c r="A770" t="inlineStr">
        <is>
          <t>NEG-0768</t>
        </is>
      </c>
      <c r="B770" t="inlineStr">
        <is>
          <t>Sandra Ramírez Ríos</t>
        </is>
      </c>
      <c r="C770" t="inlineStr">
        <is>
          <t>PRY-007</t>
        </is>
      </c>
      <c r="D770" t="inlineStr">
        <is>
          <t>Apto 1405</t>
        </is>
      </c>
      <c r="E770" t="inlineStr">
        <is>
          <t>Mateo Herrera</t>
        </is>
      </c>
      <c r="F770" t="inlineStr">
        <is>
          <t>Ganado</t>
        </is>
      </c>
      <c r="G770" t="n">
        <v>637000000</v>
      </c>
      <c r="H770" t="n">
        <v>1</v>
      </c>
      <c r="I770" s="28" t="n">
        <v>45932</v>
      </c>
      <c r="J770" s="28" t="n">
        <v>45971</v>
      </c>
      <c r="K770" t="n">
        <v>39</v>
      </c>
      <c r="L770" t="inlineStr">
        <is>
          <t>Promesa de compraventa firmada</t>
        </is>
      </c>
    </row>
    <row r="771" ht="15.75" customHeight="1" s="25">
      <c r="A771" t="inlineStr">
        <is>
          <t>NEG-0769</t>
        </is>
      </c>
      <c r="B771" t="inlineStr">
        <is>
          <t>Natalia Ríos Uribe</t>
        </is>
      </c>
      <c r="C771" t="inlineStr">
        <is>
          <t>PRY-001</t>
        </is>
      </c>
      <c r="D771" t="inlineStr">
        <is>
          <t>Apto 1206</t>
        </is>
      </c>
      <c r="E771" t="inlineStr">
        <is>
          <t>Juliana Vélez</t>
        </is>
      </c>
      <c r="F771" t="inlineStr">
        <is>
          <t>Ganado</t>
        </is>
      </c>
      <c r="G771" t="n">
        <v>843000000</v>
      </c>
      <c r="H771" t="n">
        <v>1</v>
      </c>
      <c r="I771" s="28" t="n">
        <v>45933</v>
      </c>
      <c r="J771" s="28" t="n">
        <v>45985</v>
      </c>
      <c r="K771" t="n">
        <v>52</v>
      </c>
      <c r="L771" t="inlineStr">
        <is>
          <t>Promesa de compraventa firmada</t>
        </is>
      </c>
    </row>
    <row r="772" ht="15.75" customHeight="1" s="25">
      <c r="A772" t="inlineStr">
        <is>
          <t>NEG-0770</t>
        </is>
      </c>
      <c r="B772" t="inlineStr">
        <is>
          <t>Ximena Vásquez Vásquez</t>
        </is>
      </c>
      <c r="C772" t="inlineStr">
        <is>
          <t>PRY-001</t>
        </is>
      </c>
      <c r="D772" t="inlineStr">
        <is>
          <t>Apto 805</t>
        </is>
      </c>
      <c r="E772" t="inlineStr">
        <is>
          <t>Luis Bedoya</t>
        </is>
      </c>
      <c r="F772" t="inlineStr">
        <is>
          <t>Perdido</t>
        </is>
      </c>
      <c r="G772" t="n">
        <v>808000000</v>
      </c>
      <c r="H772" t="n">
        <v>0</v>
      </c>
      <c r="I772" s="28" t="n">
        <v>45933</v>
      </c>
      <c r="J772" s="28" t="n">
        <v>45987</v>
      </c>
      <c r="K772" t="n">
        <v>54</v>
      </c>
      <c r="L772" t="inlineStr">
        <is>
          <t>Precio fuera de presupuesto</t>
        </is>
      </c>
    </row>
    <row r="773" ht="15.75" customHeight="1" s="25">
      <c r="A773" t="inlineStr">
        <is>
          <t>NEG-0771</t>
        </is>
      </c>
      <c r="B773" t="inlineStr">
        <is>
          <t>Mónica Montoya Osorio</t>
        </is>
      </c>
      <c r="C773" t="inlineStr">
        <is>
          <t>PRY-002</t>
        </is>
      </c>
      <c r="D773" t="inlineStr">
        <is>
          <t>Casa 9</t>
        </is>
      </c>
      <c r="E773" t="inlineStr">
        <is>
          <t>Luis Bedoya</t>
        </is>
      </c>
      <c r="F773" t="inlineStr">
        <is>
          <t>Ganado</t>
        </is>
      </c>
      <c r="G773" t="n">
        <v>786000000</v>
      </c>
      <c r="H773" t="n">
        <v>1</v>
      </c>
      <c r="I773" s="28" t="n">
        <v>45934</v>
      </c>
      <c r="J773" s="28" t="n">
        <v>46070</v>
      </c>
      <c r="K773" t="n">
        <v>136</v>
      </c>
      <c r="L773" t="inlineStr">
        <is>
          <t>Promesa de compraventa firmada</t>
        </is>
      </c>
    </row>
    <row r="774" ht="15.75" customHeight="1" s="25">
      <c r="A774" t="inlineStr">
        <is>
          <t>NEG-0772</t>
        </is>
      </c>
      <c r="B774" t="inlineStr">
        <is>
          <t>Gloria Castaño Mejía</t>
        </is>
      </c>
      <c r="C774" t="inlineStr">
        <is>
          <t>PRY-003</t>
        </is>
      </c>
      <c r="D774" t="inlineStr">
        <is>
          <t>Apto 1707</t>
        </is>
      </c>
      <c r="E774" t="inlineStr">
        <is>
          <t>Mateo Herrera</t>
        </is>
      </c>
      <c r="F774" t="inlineStr">
        <is>
          <t>Ganado</t>
        </is>
      </c>
      <c r="G774" t="n">
        <v>445000000</v>
      </c>
      <c r="H774" t="n">
        <v>1</v>
      </c>
      <c r="I774" s="28" t="n">
        <v>45935</v>
      </c>
      <c r="J774" s="28" t="n">
        <v>45980</v>
      </c>
      <c r="K774" t="n">
        <v>45</v>
      </c>
      <c r="L774" t="inlineStr">
        <is>
          <t>Promesa de compraventa firmada</t>
        </is>
      </c>
    </row>
    <row r="775" ht="15.75" customHeight="1" s="25">
      <c r="A775" t="inlineStr">
        <is>
          <t>NEG-0773</t>
        </is>
      </c>
      <c r="B775" t="inlineStr">
        <is>
          <t>Verónica Correa Salcedo</t>
        </is>
      </c>
      <c r="C775" t="inlineStr">
        <is>
          <t>PRY-005</t>
        </is>
      </c>
      <c r="D775" t="inlineStr">
        <is>
          <t>Casa 39</t>
        </is>
      </c>
      <c r="E775" t="inlineStr">
        <is>
          <t>Ana Quintero</t>
        </is>
      </c>
      <c r="F775" t="inlineStr">
        <is>
          <t>Perdido</t>
        </is>
      </c>
      <c r="G775" t="n">
        <v>422000000</v>
      </c>
      <c r="H775" t="n">
        <v>0</v>
      </c>
      <c r="I775" s="28" t="n">
        <v>45935</v>
      </c>
      <c r="J775" s="28" t="n">
        <v>45986</v>
      </c>
      <c r="K775" t="n">
        <v>51</v>
      </c>
      <c r="L775" t="inlineStr">
        <is>
          <t>Precio fuera de presupuesto</t>
        </is>
      </c>
    </row>
    <row r="776" ht="15.75" customHeight="1" s="25">
      <c r="A776" t="inlineStr">
        <is>
          <t>NEG-0774</t>
        </is>
      </c>
      <c r="B776" t="inlineStr">
        <is>
          <t>Nicolás Restrepo Salazar</t>
        </is>
      </c>
      <c r="C776" t="inlineStr">
        <is>
          <t>PRY-007</t>
        </is>
      </c>
      <c r="D776" t="inlineStr">
        <is>
          <t>Apto 1301</t>
        </is>
      </c>
      <c r="E776" t="inlineStr">
        <is>
          <t>Juliana Vélez</t>
        </is>
      </c>
      <c r="F776" t="inlineStr">
        <is>
          <t>Ganado</t>
        </is>
      </c>
      <c r="G776" t="n">
        <v>705000000</v>
      </c>
      <c r="H776" t="n">
        <v>1</v>
      </c>
      <c r="I776" s="28" t="n">
        <v>45935</v>
      </c>
      <c r="J776" s="28" t="n">
        <v>45986</v>
      </c>
      <c r="K776" t="n">
        <v>51</v>
      </c>
      <c r="L776" t="inlineStr">
        <is>
          <t>Promesa de compraventa firmada</t>
        </is>
      </c>
    </row>
    <row r="777" ht="15.75" customHeight="1" s="25">
      <c r="A777" t="inlineStr">
        <is>
          <t>NEG-0775</t>
        </is>
      </c>
      <c r="B777" t="inlineStr">
        <is>
          <t>Santiago Jaramillo Londoño</t>
        </is>
      </c>
      <c r="C777" t="inlineStr">
        <is>
          <t>PRY-008</t>
        </is>
      </c>
      <c r="D777" t="inlineStr">
        <is>
          <t>Casa 57</t>
        </is>
      </c>
      <c r="E777" t="inlineStr">
        <is>
          <t>Daniela Ríos</t>
        </is>
      </c>
      <c r="F777" t="inlineStr">
        <is>
          <t>Ganado</t>
        </is>
      </c>
      <c r="G777" t="n">
        <v>141000000</v>
      </c>
      <c r="H777" t="n">
        <v>1</v>
      </c>
      <c r="I777" s="28" t="n">
        <v>45935</v>
      </c>
      <c r="J777" s="28" t="n">
        <v>46003</v>
      </c>
      <c r="K777" t="n">
        <v>68</v>
      </c>
      <c r="L777" t="inlineStr">
        <is>
          <t>Promesa de compraventa firmada</t>
        </is>
      </c>
    </row>
    <row r="778" ht="15.75" customHeight="1" s="25">
      <c r="A778" t="inlineStr">
        <is>
          <t>NEG-0776</t>
        </is>
      </c>
      <c r="B778" t="inlineStr">
        <is>
          <t>Diego Duque Correa</t>
        </is>
      </c>
      <c r="C778" t="inlineStr">
        <is>
          <t>PRY-005</t>
        </is>
      </c>
      <c r="D778" t="inlineStr">
        <is>
          <t>Apto 1304</t>
        </is>
      </c>
      <c r="E778" t="inlineStr">
        <is>
          <t>Santiago Muñoz</t>
        </is>
      </c>
      <c r="F778" t="inlineStr">
        <is>
          <t>Perdido</t>
        </is>
      </c>
      <c r="G778" t="n">
        <v>513000000</v>
      </c>
      <c r="H778" t="n">
        <v>0</v>
      </c>
      <c r="I778" s="28" t="n">
        <v>45936</v>
      </c>
      <c r="J778" s="28" t="n">
        <v>46002</v>
      </c>
      <c r="K778" t="n">
        <v>66</v>
      </c>
      <c r="L778" t="inlineStr">
        <is>
          <t>Eligió otro proyecto</t>
        </is>
      </c>
    </row>
    <row r="779" ht="15.75" customHeight="1" s="25">
      <c r="A779" t="inlineStr">
        <is>
          <t>NEG-0777</t>
        </is>
      </c>
      <c r="B779" t="inlineStr">
        <is>
          <t>Diego Marín Cifuentes</t>
        </is>
      </c>
      <c r="C779" t="inlineStr">
        <is>
          <t>PRY-003</t>
        </is>
      </c>
      <c r="D779" t="inlineStr">
        <is>
          <t>Apto 1502</t>
        </is>
      </c>
      <c r="E779" t="inlineStr">
        <is>
          <t>Santiago Muñoz</t>
        </is>
      </c>
      <c r="F779" t="inlineStr">
        <is>
          <t>Ganado</t>
        </is>
      </c>
      <c r="G779" t="n">
        <v>406000000</v>
      </c>
      <c r="H779" t="n">
        <v>1</v>
      </c>
      <c r="I779" s="28" t="n">
        <v>45937</v>
      </c>
      <c r="J779" s="28" t="n">
        <v>46008</v>
      </c>
      <c r="K779" t="n">
        <v>71</v>
      </c>
      <c r="L779" t="inlineStr">
        <is>
          <t>Promesa de compraventa firmada</t>
        </is>
      </c>
    </row>
    <row r="780" ht="15.75" customHeight="1" s="25">
      <c r="A780" t="inlineStr">
        <is>
          <t>NEG-0778</t>
        </is>
      </c>
      <c r="B780" t="inlineStr">
        <is>
          <t>Diego Higuita Ochoa</t>
        </is>
      </c>
      <c r="C780" t="inlineStr">
        <is>
          <t>PRY-001</t>
        </is>
      </c>
      <c r="D780" t="inlineStr">
        <is>
          <t>Apto 1703</t>
        </is>
      </c>
      <c r="E780" t="inlineStr">
        <is>
          <t>Sofía Prada</t>
        </is>
      </c>
      <c r="F780" t="inlineStr">
        <is>
          <t>Perdido</t>
        </is>
      </c>
      <c r="G780" t="n">
        <v>919000000</v>
      </c>
      <c r="H780" t="n">
        <v>0</v>
      </c>
      <c r="I780" s="28" t="n">
        <v>45939</v>
      </c>
      <c r="J780" s="28" t="n">
        <v>46038</v>
      </c>
      <c r="K780" t="n">
        <v>99</v>
      </c>
      <c r="L780" t="inlineStr">
        <is>
          <t>No volvió a responder</t>
        </is>
      </c>
    </row>
    <row r="781" ht="15.75" customHeight="1" s="25">
      <c r="A781" t="inlineStr">
        <is>
          <t>NEG-0779</t>
        </is>
      </c>
      <c r="B781" t="inlineStr">
        <is>
          <t>Valentina Jaramillo Álvarez</t>
        </is>
      </c>
      <c r="C781" t="inlineStr">
        <is>
          <t>PRY-002</t>
        </is>
      </c>
      <c r="D781" t="inlineStr">
        <is>
          <t>Casa 46</t>
        </is>
      </c>
      <c r="E781" t="inlineStr">
        <is>
          <t>Sofía Prada</t>
        </is>
      </c>
      <c r="F781" t="inlineStr">
        <is>
          <t>Perdido</t>
        </is>
      </c>
      <c r="G781" t="n">
        <v>738000000</v>
      </c>
      <c r="H781" t="n">
        <v>0</v>
      </c>
      <c r="I781" s="28" t="n">
        <v>45939</v>
      </c>
      <c r="J781" s="28" t="n">
        <v>46067</v>
      </c>
      <c r="K781" t="n">
        <v>128</v>
      </c>
      <c r="L781" t="inlineStr">
        <is>
          <t>Precio fuera de presupuesto</t>
        </is>
      </c>
    </row>
    <row r="782" ht="15.75" customHeight="1" s="25">
      <c r="A782" t="inlineStr">
        <is>
          <t>NEG-0780</t>
        </is>
      </c>
      <c r="B782" t="inlineStr">
        <is>
          <t>David Gaviria Hernández</t>
        </is>
      </c>
      <c r="C782" t="inlineStr">
        <is>
          <t>PRY-008</t>
        </is>
      </c>
      <c r="D782" t="inlineStr">
        <is>
          <t>Casa 100</t>
        </is>
      </c>
      <c r="E782" t="inlineStr">
        <is>
          <t>Paula Arenas</t>
        </is>
      </c>
      <c r="F782" t="inlineStr">
        <is>
          <t>Perdido</t>
        </is>
      </c>
      <c r="G782" t="n">
        <v>183000000</v>
      </c>
      <c r="H782" t="n">
        <v>0</v>
      </c>
      <c r="I782" s="28" t="n">
        <v>45940</v>
      </c>
      <c r="J782" s="28" t="n">
        <v>45976</v>
      </c>
      <c r="K782" t="n">
        <v>36</v>
      </c>
      <c r="L782" t="inlineStr">
        <is>
          <t>Precio fuera de presupuesto</t>
        </is>
      </c>
    </row>
    <row r="783" ht="15.75" customHeight="1" s="25">
      <c r="A783" t="inlineStr">
        <is>
          <t>NEG-0781</t>
        </is>
      </c>
      <c r="B783" t="inlineStr">
        <is>
          <t>Diana Correa Toro</t>
        </is>
      </c>
      <c r="C783" t="inlineStr">
        <is>
          <t>PRY-003</t>
        </is>
      </c>
      <c r="D783" t="inlineStr">
        <is>
          <t>Apto 302</t>
        </is>
      </c>
      <c r="E783" t="inlineStr">
        <is>
          <t>Mateo Herrera</t>
        </is>
      </c>
      <c r="F783" t="inlineStr">
        <is>
          <t>Ganado</t>
        </is>
      </c>
      <c r="G783" t="n">
        <v>368000000</v>
      </c>
      <c r="H783" t="n">
        <v>1</v>
      </c>
      <c r="I783" s="28" t="n">
        <v>45941</v>
      </c>
      <c r="J783" s="28" t="n">
        <v>46029</v>
      </c>
      <c r="K783" t="n">
        <v>88</v>
      </c>
      <c r="L783" t="inlineStr">
        <is>
          <t>Promesa de compraventa firmada</t>
        </is>
      </c>
    </row>
    <row r="784" ht="15.75" customHeight="1" s="25">
      <c r="A784" t="inlineStr">
        <is>
          <t>NEG-0782</t>
        </is>
      </c>
      <c r="B784" t="inlineStr">
        <is>
          <t>Verónica Rojas Marín</t>
        </is>
      </c>
      <c r="C784" t="inlineStr">
        <is>
          <t>PRY-001</t>
        </is>
      </c>
      <c r="D784" t="inlineStr">
        <is>
          <t>Apto 404</t>
        </is>
      </c>
      <c r="E784" t="inlineStr">
        <is>
          <t>Miguel Salazar</t>
        </is>
      </c>
      <c r="F784" t="inlineStr">
        <is>
          <t>Perdido</t>
        </is>
      </c>
      <c r="G784" t="n">
        <v>753000000</v>
      </c>
      <c r="H784" t="n">
        <v>0</v>
      </c>
      <c r="I784" s="28" t="n">
        <v>45944</v>
      </c>
      <c r="J784" s="28" t="n">
        <v>46015</v>
      </c>
      <c r="K784" t="n">
        <v>71</v>
      </c>
      <c r="L784" t="inlineStr">
        <is>
          <t>Crédito no aprobado</t>
        </is>
      </c>
    </row>
    <row r="785" ht="15.75" customHeight="1" s="25">
      <c r="A785" t="inlineStr">
        <is>
          <t>NEG-0783</t>
        </is>
      </c>
      <c r="B785" t="inlineStr">
        <is>
          <t>Gloria Osorio Cano</t>
        </is>
      </c>
      <c r="C785" t="inlineStr">
        <is>
          <t>PRY-003</t>
        </is>
      </c>
      <c r="D785" t="inlineStr">
        <is>
          <t>Apto 1808</t>
        </is>
      </c>
      <c r="E785" t="inlineStr">
        <is>
          <t>Andrés Torres</t>
        </is>
      </c>
      <c r="F785" t="inlineStr">
        <is>
          <t>Ganado</t>
        </is>
      </c>
      <c r="G785" t="n">
        <v>372000000</v>
      </c>
      <c r="H785" t="n">
        <v>1</v>
      </c>
      <c r="I785" s="28" t="n">
        <v>45944</v>
      </c>
      <c r="J785" s="28" t="n">
        <v>45982</v>
      </c>
      <c r="K785" t="n">
        <v>38</v>
      </c>
      <c r="L785" t="inlineStr">
        <is>
          <t>Promesa de compraventa firmada</t>
        </is>
      </c>
    </row>
    <row r="786" ht="15.75" customHeight="1" s="25">
      <c r="A786" t="inlineStr">
        <is>
          <t>NEG-0784</t>
        </is>
      </c>
      <c r="B786" t="inlineStr">
        <is>
          <t>Valeria Marín Castaño</t>
        </is>
      </c>
      <c r="C786" t="inlineStr">
        <is>
          <t>PRY-005</t>
        </is>
      </c>
      <c r="D786" t="inlineStr">
        <is>
          <t>Casa 16</t>
        </is>
      </c>
      <c r="E786" t="inlineStr">
        <is>
          <t>Luis Bedoya</t>
        </is>
      </c>
      <c r="F786" t="inlineStr">
        <is>
          <t>Ganado</t>
        </is>
      </c>
      <c r="G786" t="n">
        <v>426000000</v>
      </c>
      <c r="H786" t="n">
        <v>1</v>
      </c>
      <c r="I786" s="28" t="n">
        <v>45945</v>
      </c>
      <c r="J786" s="28" t="n">
        <v>46053</v>
      </c>
      <c r="K786" t="n">
        <v>108</v>
      </c>
      <c r="L786" t="inlineStr">
        <is>
          <t>Promesa de compraventa firmada</t>
        </is>
      </c>
    </row>
    <row r="787" ht="15.75" customHeight="1" s="25">
      <c r="A787" t="inlineStr">
        <is>
          <t>NEG-0785</t>
        </is>
      </c>
      <c r="B787" t="inlineStr">
        <is>
          <t>Marcela Vélez Escobar</t>
        </is>
      </c>
      <c r="C787" t="inlineStr">
        <is>
          <t>PRY-003</t>
        </is>
      </c>
      <c r="D787" t="inlineStr">
        <is>
          <t>Apto 2204</t>
        </is>
      </c>
      <c r="E787" t="inlineStr">
        <is>
          <t>Sofía Prada</t>
        </is>
      </c>
      <c r="F787" t="inlineStr">
        <is>
          <t>Perdido</t>
        </is>
      </c>
      <c r="G787" t="n">
        <v>408000000</v>
      </c>
      <c r="H787" t="n">
        <v>0</v>
      </c>
      <c r="I787" s="28" t="n">
        <v>45946</v>
      </c>
      <c r="J787" s="28" t="n">
        <v>46002</v>
      </c>
      <c r="K787" t="n">
        <v>56</v>
      </c>
      <c r="L787" t="inlineStr">
        <is>
          <t>Eligió otro proyecto</t>
        </is>
      </c>
    </row>
    <row r="788" ht="15.75" customHeight="1" s="25">
      <c r="A788" t="inlineStr">
        <is>
          <t>NEG-0786</t>
        </is>
      </c>
      <c r="B788" t="inlineStr">
        <is>
          <t>Liliana Rojas Cifuentes</t>
        </is>
      </c>
      <c r="C788" t="inlineStr">
        <is>
          <t>PRY-002</t>
        </is>
      </c>
      <c r="D788" t="inlineStr">
        <is>
          <t>Casa 16</t>
        </is>
      </c>
      <c r="E788" t="inlineStr">
        <is>
          <t>Luis Bedoya</t>
        </is>
      </c>
      <c r="F788" t="inlineStr">
        <is>
          <t>Ganado</t>
        </is>
      </c>
      <c r="G788" t="n">
        <v>807000000</v>
      </c>
      <c r="H788" t="n">
        <v>1</v>
      </c>
      <c r="I788" s="28" t="n">
        <v>45947</v>
      </c>
      <c r="J788" s="28" t="n">
        <v>46027</v>
      </c>
      <c r="K788" t="n">
        <v>80</v>
      </c>
      <c r="L788" t="inlineStr">
        <is>
          <t>Promesa de compraventa firmada</t>
        </is>
      </c>
    </row>
    <row r="789" ht="15.75" customHeight="1" s="25">
      <c r="A789" t="inlineStr">
        <is>
          <t>NEG-0787</t>
        </is>
      </c>
      <c r="B789" t="inlineStr">
        <is>
          <t>Daniela Giraldo Vélez</t>
        </is>
      </c>
      <c r="C789" t="inlineStr">
        <is>
          <t>PRY-003</t>
        </is>
      </c>
      <c r="D789" t="inlineStr">
        <is>
          <t>Apto 2601</t>
        </is>
      </c>
      <c r="E789" t="inlineStr">
        <is>
          <t>Paula Arenas</t>
        </is>
      </c>
      <c r="F789" t="inlineStr">
        <is>
          <t>Perdido</t>
        </is>
      </c>
      <c r="G789" t="n">
        <v>456000000</v>
      </c>
      <c r="H789" t="n">
        <v>0</v>
      </c>
      <c r="I789" s="28" t="n">
        <v>45949</v>
      </c>
      <c r="J789" s="28" t="n">
        <v>46025</v>
      </c>
      <c r="K789" t="n">
        <v>76</v>
      </c>
      <c r="L789" t="inlineStr">
        <is>
          <t>No volvió a responder</t>
        </is>
      </c>
    </row>
    <row r="790" ht="15.75" customHeight="1" s="25">
      <c r="A790" t="inlineStr">
        <is>
          <t>NEG-0788</t>
        </is>
      </c>
      <c r="B790" t="inlineStr">
        <is>
          <t>Cristian Salcedo Ochoa</t>
        </is>
      </c>
      <c r="C790" t="inlineStr">
        <is>
          <t>PRY-008</t>
        </is>
      </c>
      <c r="D790" t="inlineStr">
        <is>
          <t>Casa 108</t>
        </is>
      </c>
      <c r="E790" t="inlineStr">
        <is>
          <t>Juliana Vélez</t>
        </is>
      </c>
      <c r="F790" t="inlineStr">
        <is>
          <t>Ganado</t>
        </is>
      </c>
      <c r="G790" t="n">
        <v>140000000</v>
      </c>
      <c r="H790" t="n">
        <v>1</v>
      </c>
      <c r="I790" s="28" t="n">
        <v>45949</v>
      </c>
      <c r="J790" s="28" t="n">
        <v>45972</v>
      </c>
      <c r="K790" t="n">
        <v>23</v>
      </c>
      <c r="L790" t="inlineStr">
        <is>
          <t>Promesa de compraventa firmada</t>
        </is>
      </c>
    </row>
    <row r="791" ht="15.75" customHeight="1" s="25">
      <c r="A791" t="inlineStr">
        <is>
          <t>NEG-0789</t>
        </is>
      </c>
      <c r="B791" t="inlineStr">
        <is>
          <t>Sara Pérez Higuita</t>
        </is>
      </c>
      <c r="C791" t="inlineStr">
        <is>
          <t>PRY-001</t>
        </is>
      </c>
      <c r="D791" t="inlineStr">
        <is>
          <t>Apto 201</t>
        </is>
      </c>
      <c r="E791" t="inlineStr">
        <is>
          <t>Miguel Salazar</t>
        </is>
      </c>
      <c r="F791" t="inlineStr">
        <is>
          <t>Perdido</t>
        </is>
      </c>
      <c r="G791" t="n">
        <v>645000000</v>
      </c>
      <c r="H791" t="n">
        <v>0</v>
      </c>
      <c r="I791" s="28" t="n">
        <v>45950</v>
      </c>
      <c r="J791" s="28" t="n">
        <v>46014</v>
      </c>
      <c r="K791" t="n">
        <v>64</v>
      </c>
      <c r="L791" t="inlineStr">
        <is>
          <t>Eligió otro proyecto</t>
        </is>
      </c>
    </row>
    <row r="792" ht="15.75" customHeight="1" s="25">
      <c r="A792" t="inlineStr">
        <is>
          <t>NEG-0790</t>
        </is>
      </c>
      <c r="B792" t="inlineStr">
        <is>
          <t>Luisa Rojas Jaramillo</t>
        </is>
      </c>
      <c r="C792" t="inlineStr">
        <is>
          <t>PRY-008</t>
        </is>
      </c>
      <c r="D792" t="inlineStr">
        <is>
          <t>Casa 63</t>
        </is>
      </c>
      <c r="E792" t="inlineStr">
        <is>
          <t>Daniela Ríos</t>
        </is>
      </c>
      <c r="F792" t="inlineStr">
        <is>
          <t>Ganado</t>
        </is>
      </c>
      <c r="G792" t="n">
        <v>169000000</v>
      </c>
      <c r="H792" t="n">
        <v>1</v>
      </c>
      <c r="I792" s="28" t="n">
        <v>45950</v>
      </c>
      <c r="J792" s="28" t="n">
        <v>45992</v>
      </c>
      <c r="K792" t="n">
        <v>42</v>
      </c>
      <c r="L792" t="inlineStr">
        <is>
          <t>Promesa de compraventa firmada</t>
        </is>
      </c>
    </row>
    <row r="793" ht="15.75" customHeight="1" s="25">
      <c r="A793" t="inlineStr">
        <is>
          <t>NEG-0791</t>
        </is>
      </c>
      <c r="B793" t="inlineStr">
        <is>
          <t>Rodrigo Cifuentes Agudelo</t>
        </is>
      </c>
      <c r="C793" t="inlineStr">
        <is>
          <t>PRY-003</t>
        </is>
      </c>
      <c r="D793" t="inlineStr">
        <is>
          <t>Apto 2505</t>
        </is>
      </c>
      <c r="E793" t="inlineStr">
        <is>
          <t>Santiago Muñoz</t>
        </is>
      </c>
      <c r="F793" t="inlineStr">
        <is>
          <t>Ganado</t>
        </is>
      </c>
      <c r="G793" t="n">
        <v>381000000</v>
      </c>
      <c r="H793" t="n">
        <v>1</v>
      </c>
      <c r="I793" s="28" t="n">
        <v>45953</v>
      </c>
      <c r="J793" s="28" t="n">
        <v>46016</v>
      </c>
      <c r="K793" t="n">
        <v>63</v>
      </c>
      <c r="L793" t="inlineStr">
        <is>
          <t>Promesa de compraventa firmada</t>
        </is>
      </c>
    </row>
    <row r="794" ht="15.75" customHeight="1" s="25">
      <c r="A794" t="inlineStr">
        <is>
          <t>NEG-0792</t>
        </is>
      </c>
      <c r="B794" t="inlineStr">
        <is>
          <t>Nicolás Ochoa Hernández</t>
        </is>
      </c>
      <c r="C794" t="inlineStr">
        <is>
          <t>PRY-008</t>
        </is>
      </c>
      <c r="D794" t="inlineStr">
        <is>
          <t>Casa 44</t>
        </is>
      </c>
      <c r="E794" t="inlineStr">
        <is>
          <t>Sofía Prada</t>
        </is>
      </c>
      <c r="F794" t="inlineStr">
        <is>
          <t>Ganado</t>
        </is>
      </c>
      <c r="G794" t="n">
        <v>152000000</v>
      </c>
      <c r="H794" t="n">
        <v>1</v>
      </c>
      <c r="I794" s="28" t="n">
        <v>45953</v>
      </c>
      <c r="J794" s="28" t="n">
        <v>45986</v>
      </c>
      <c r="K794" t="n">
        <v>33</v>
      </c>
      <c r="L794" t="inlineStr">
        <is>
          <t>Promesa de compraventa firmada</t>
        </is>
      </c>
    </row>
    <row r="795" ht="15.75" customHeight="1" s="25">
      <c r="A795" t="inlineStr">
        <is>
          <t>NEG-0793</t>
        </is>
      </c>
      <c r="B795" t="inlineStr">
        <is>
          <t>Mónica Ramírez Agudelo</t>
        </is>
      </c>
      <c r="C795" t="inlineStr">
        <is>
          <t>PRY-006</t>
        </is>
      </c>
      <c r="D795" t="inlineStr">
        <is>
          <t>Local 28</t>
        </is>
      </c>
      <c r="E795" t="inlineStr">
        <is>
          <t>Ana Quintero</t>
        </is>
      </c>
      <c r="F795" t="inlineStr">
        <is>
          <t>Perdido</t>
        </is>
      </c>
      <c r="G795" t="n">
        <v>826000000</v>
      </c>
      <c r="H795" t="n">
        <v>0</v>
      </c>
      <c r="I795" s="28" t="n">
        <v>45954</v>
      </c>
      <c r="J795" s="28" t="n">
        <v>46014</v>
      </c>
      <c r="K795" t="n">
        <v>60</v>
      </c>
      <c r="L795" t="inlineStr">
        <is>
          <t>Eligió otro proyecto</t>
        </is>
      </c>
    </row>
    <row r="796" ht="15.75" customHeight="1" s="25">
      <c r="A796" t="inlineStr">
        <is>
          <t>NEG-0794</t>
        </is>
      </c>
      <c r="B796" t="inlineStr">
        <is>
          <t>Natalia Henao Echeverri</t>
        </is>
      </c>
      <c r="C796" t="inlineStr">
        <is>
          <t>PRY-003</t>
        </is>
      </c>
      <c r="D796" t="inlineStr">
        <is>
          <t>Apto 1306</t>
        </is>
      </c>
      <c r="E796" t="inlineStr">
        <is>
          <t>Luis Bedoya</t>
        </is>
      </c>
      <c r="F796" t="inlineStr">
        <is>
          <t>Perdido</t>
        </is>
      </c>
      <c r="G796" t="n">
        <v>330000000</v>
      </c>
      <c r="H796" t="n">
        <v>0</v>
      </c>
      <c r="I796" s="28" t="n">
        <v>45955</v>
      </c>
      <c r="J796" s="28" t="n">
        <v>45993</v>
      </c>
      <c r="K796" t="n">
        <v>38</v>
      </c>
      <c r="L796" t="inlineStr">
        <is>
          <t>No volvió a responder</t>
        </is>
      </c>
    </row>
    <row r="797" ht="15.75" customHeight="1" s="25">
      <c r="A797" t="inlineStr">
        <is>
          <t>NEG-0795</t>
        </is>
      </c>
      <c r="B797" t="inlineStr">
        <is>
          <t>Diego López Espinosa</t>
        </is>
      </c>
      <c r="C797" t="inlineStr">
        <is>
          <t>PRY-008</t>
        </is>
      </c>
      <c r="D797" t="inlineStr">
        <is>
          <t>Casa 103</t>
        </is>
      </c>
      <c r="E797" t="inlineStr">
        <is>
          <t>Andrés Torres</t>
        </is>
      </c>
      <c r="F797" t="inlineStr">
        <is>
          <t>Perdido</t>
        </is>
      </c>
      <c r="G797" t="n">
        <v>139000000</v>
      </c>
      <c r="H797" t="n">
        <v>0</v>
      </c>
      <c r="I797" s="28" t="n">
        <v>45955</v>
      </c>
      <c r="J797" s="28" t="n">
        <v>46019</v>
      </c>
      <c r="K797" t="n">
        <v>64</v>
      </c>
      <c r="L797" t="inlineStr">
        <is>
          <t>Precio fuera de presupuesto</t>
        </is>
      </c>
    </row>
    <row r="798" ht="15.75" customHeight="1" s="25">
      <c r="A798" t="inlineStr">
        <is>
          <t>NEG-0796</t>
        </is>
      </c>
      <c r="B798" t="inlineStr">
        <is>
          <t>Sebastián Álvarez Palacio</t>
        </is>
      </c>
      <c r="C798" t="inlineStr">
        <is>
          <t>PRY-002</t>
        </is>
      </c>
      <c r="D798" t="inlineStr">
        <is>
          <t>Casa 33</t>
        </is>
      </c>
      <c r="E798" t="inlineStr">
        <is>
          <t>Santiago Muñoz</t>
        </is>
      </c>
      <c r="F798" t="inlineStr">
        <is>
          <t>Perdido</t>
        </is>
      </c>
      <c r="G798" t="n">
        <v>726000000</v>
      </c>
      <c r="H798" t="n">
        <v>0</v>
      </c>
      <c r="I798" s="28" t="n">
        <v>45957</v>
      </c>
      <c r="J798" s="28" t="n">
        <v>46101</v>
      </c>
      <c r="K798" t="n">
        <v>144</v>
      </c>
      <c r="L798" t="inlineStr">
        <is>
          <t>Eligió otro proyecto</t>
        </is>
      </c>
    </row>
    <row r="799" ht="15.75" customHeight="1" s="25">
      <c r="A799" t="inlineStr">
        <is>
          <t>NEG-0797</t>
        </is>
      </c>
      <c r="B799" t="inlineStr">
        <is>
          <t>Paola Salazar Restrepo</t>
        </is>
      </c>
      <c r="C799" t="inlineStr">
        <is>
          <t>PRY-006</t>
        </is>
      </c>
      <c r="D799" t="inlineStr">
        <is>
          <t>Local 27</t>
        </is>
      </c>
      <c r="E799" t="inlineStr">
        <is>
          <t>Sofía Prada</t>
        </is>
      </c>
      <c r="F799" t="inlineStr">
        <is>
          <t>Ganado</t>
        </is>
      </c>
      <c r="G799" t="n">
        <v>539000000</v>
      </c>
      <c r="H799" t="n">
        <v>1</v>
      </c>
      <c r="I799" s="28" t="n">
        <v>45960</v>
      </c>
      <c r="J799" s="28" t="n">
        <v>46045</v>
      </c>
      <c r="K799" t="n">
        <v>85</v>
      </c>
      <c r="L799" t="inlineStr">
        <is>
          <t>Promesa de compraventa firmada</t>
        </is>
      </c>
    </row>
    <row r="800" ht="15.75" customHeight="1" s="25">
      <c r="A800" t="inlineStr">
        <is>
          <t>NEG-0798</t>
        </is>
      </c>
      <c r="B800" t="inlineStr">
        <is>
          <t>Ricardo Álvarez Henao</t>
        </is>
      </c>
      <c r="C800" t="inlineStr">
        <is>
          <t>PRY-001</t>
        </is>
      </c>
      <c r="D800" t="inlineStr">
        <is>
          <t>Apto 1005</t>
        </is>
      </c>
      <c r="E800" t="inlineStr">
        <is>
          <t>Sofía Prada</t>
        </is>
      </c>
      <c r="F800" t="inlineStr">
        <is>
          <t>Ganado</t>
        </is>
      </c>
      <c r="G800" t="n">
        <v>832000000</v>
      </c>
      <c r="H800" t="n">
        <v>1</v>
      </c>
      <c r="I800" s="28" t="n">
        <v>45961</v>
      </c>
      <c r="J800" s="28" t="n">
        <v>46080</v>
      </c>
      <c r="K800" t="n">
        <v>119</v>
      </c>
      <c r="L800" t="inlineStr">
        <is>
          <t>Promesa de compraventa firmada</t>
        </is>
      </c>
    </row>
    <row r="801" ht="15.75" customHeight="1" s="25">
      <c r="A801" t="inlineStr">
        <is>
          <t>NEG-0799</t>
        </is>
      </c>
      <c r="B801" t="inlineStr">
        <is>
          <t>Catalina Betancur Zuluaga</t>
        </is>
      </c>
      <c r="C801" t="inlineStr">
        <is>
          <t>PRY-008</t>
        </is>
      </c>
      <c r="D801" t="inlineStr">
        <is>
          <t>Casa 66</t>
        </is>
      </c>
      <c r="E801" t="inlineStr">
        <is>
          <t>Mateo Herrera</t>
        </is>
      </c>
      <c r="F801" t="inlineStr">
        <is>
          <t>Ganado</t>
        </is>
      </c>
      <c r="G801" t="n">
        <v>162000000</v>
      </c>
      <c r="H801" t="n">
        <v>1</v>
      </c>
      <c r="I801" s="28" t="n">
        <v>45961</v>
      </c>
      <c r="J801" s="28" t="n">
        <v>45990</v>
      </c>
      <c r="K801" t="n">
        <v>29</v>
      </c>
      <c r="L801" t="inlineStr">
        <is>
          <t>Promesa de compraventa firmada</t>
        </is>
      </c>
    </row>
    <row r="802" ht="15.75" customHeight="1" s="25">
      <c r="A802" t="inlineStr">
        <is>
          <t>NEG-0800</t>
        </is>
      </c>
      <c r="B802" t="inlineStr">
        <is>
          <t>Cristian Salazar Franco</t>
        </is>
      </c>
      <c r="C802" t="inlineStr">
        <is>
          <t>PRY-008</t>
        </is>
      </c>
      <c r="D802" t="inlineStr">
        <is>
          <t>Casa 22</t>
        </is>
      </c>
      <c r="E802" t="inlineStr">
        <is>
          <t>Ana Quintero</t>
        </is>
      </c>
      <c r="F802" t="inlineStr">
        <is>
          <t>Ganado</t>
        </is>
      </c>
      <c r="G802" t="n">
        <v>169000000</v>
      </c>
      <c r="H802" t="n">
        <v>1</v>
      </c>
      <c r="I802" s="28" t="n">
        <v>45961</v>
      </c>
      <c r="J802" s="28" t="n">
        <v>45992</v>
      </c>
      <c r="K802" t="n">
        <v>31</v>
      </c>
      <c r="L802" t="inlineStr">
        <is>
          <t>Promesa de compraventa firmada</t>
        </is>
      </c>
    </row>
    <row r="803" ht="15.75" customHeight="1" s="25">
      <c r="A803" t="inlineStr">
        <is>
          <t>NEG-0801</t>
        </is>
      </c>
      <c r="B803" t="inlineStr">
        <is>
          <t>Liliana Palacio Sánchez</t>
        </is>
      </c>
      <c r="C803" t="inlineStr">
        <is>
          <t>PRY-006</t>
        </is>
      </c>
      <c r="D803" t="inlineStr">
        <is>
          <t>Local 17</t>
        </is>
      </c>
      <c r="E803" t="inlineStr">
        <is>
          <t>Andrés Torres</t>
        </is>
      </c>
      <c r="F803" t="inlineStr">
        <is>
          <t>Ganado</t>
        </is>
      </c>
      <c r="G803" t="n">
        <v>598000000</v>
      </c>
      <c r="H803" t="n">
        <v>1</v>
      </c>
      <c r="I803" s="28" t="n">
        <v>45962</v>
      </c>
      <c r="J803" s="28" t="n">
        <v>46064</v>
      </c>
      <c r="K803" t="n">
        <v>102</v>
      </c>
      <c r="L803" t="inlineStr">
        <is>
          <t>Promesa de compraventa firmada</t>
        </is>
      </c>
    </row>
    <row r="804" ht="15.75" customHeight="1" s="25">
      <c r="A804" t="inlineStr">
        <is>
          <t>NEG-0802</t>
        </is>
      </c>
      <c r="B804" t="inlineStr">
        <is>
          <t>Gabriel Valencia Toro</t>
        </is>
      </c>
      <c r="C804" t="inlineStr">
        <is>
          <t>PRY-001</t>
        </is>
      </c>
      <c r="D804" t="inlineStr">
        <is>
          <t>Apto 206</t>
        </is>
      </c>
      <c r="E804" t="inlineStr">
        <is>
          <t>Luis Bedoya</t>
        </is>
      </c>
      <c r="F804" t="inlineStr">
        <is>
          <t>Ganado</t>
        </is>
      </c>
      <c r="G804" t="n">
        <v>755000000</v>
      </c>
      <c r="H804" t="n">
        <v>1</v>
      </c>
      <c r="I804" s="28" t="n">
        <v>45963</v>
      </c>
      <c r="J804" s="28" t="n">
        <v>46016</v>
      </c>
      <c r="K804" t="n">
        <v>53</v>
      </c>
      <c r="L804" t="inlineStr">
        <is>
          <t>Promesa de compraventa firmada</t>
        </is>
      </c>
    </row>
    <row r="805" ht="15.75" customHeight="1" s="25">
      <c r="A805" t="inlineStr">
        <is>
          <t>NEG-0803</t>
        </is>
      </c>
      <c r="B805" t="inlineStr">
        <is>
          <t>Rodrigo Uribe Restrepo</t>
        </is>
      </c>
      <c r="C805" t="inlineStr">
        <is>
          <t>PRY-008</t>
        </is>
      </c>
      <c r="D805" t="inlineStr">
        <is>
          <t>Casa 14</t>
        </is>
      </c>
      <c r="E805" t="inlineStr">
        <is>
          <t>Juliana Vélez</t>
        </is>
      </c>
      <c r="F805" t="inlineStr">
        <is>
          <t>Perdido</t>
        </is>
      </c>
      <c r="G805" t="n">
        <v>152000000</v>
      </c>
      <c r="H805" t="n">
        <v>0</v>
      </c>
      <c r="I805" s="28" t="n">
        <v>45964</v>
      </c>
      <c r="J805" s="28" t="n">
        <v>45991</v>
      </c>
      <c r="K805" t="n">
        <v>27</v>
      </c>
      <c r="L805" t="inlineStr">
        <is>
          <t>Crédito no aprobado</t>
        </is>
      </c>
    </row>
    <row r="806" ht="15.75" customHeight="1" s="25">
      <c r="A806" t="inlineStr">
        <is>
          <t>NEG-0804</t>
        </is>
      </c>
      <c r="B806" t="inlineStr">
        <is>
          <t>Ximena Restrepo Higuita</t>
        </is>
      </c>
      <c r="C806" t="inlineStr">
        <is>
          <t>PRY-005</t>
        </is>
      </c>
      <c r="D806" t="inlineStr">
        <is>
          <t>Casa 3</t>
        </is>
      </c>
      <c r="E806" t="inlineStr">
        <is>
          <t>Andrés Torres</t>
        </is>
      </c>
      <c r="F806" t="inlineStr">
        <is>
          <t>Ganado</t>
        </is>
      </c>
      <c r="G806" t="n">
        <v>455000000</v>
      </c>
      <c r="H806" t="n">
        <v>1</v>
      </c>
      <c r="I806" s="28" t="n">
        <v>45965</v>
      </c>
      <c r="J806" s="28" t="n">
        <v>46015</v>
      </c>
      <c r="K806" t="n">
        <v>50</v>
      </c>
      <c r="L806" t="inlineStr">
        <is>
          <t>Promesa de compraventa firmada</t>
        </is>
      </c>
    </row>
    <row r="807" ht="15.75" customHeight="1" s="25">
      <c r="A807" t="inlineStr">
        <is>
          <t>NEG-0805</t>
        </is>
      </c>
      <c r="B807" t="inlineStr">
        <is>
          <t>Carolina Vélez Echeverri</t>
        </is>
      </c>
      <c r="C807" t="inlineStr">
        <is>
          <t>PRY-003</t>
        </is>
      </c>
      <c r="D807" t="inlineStr">
        <is>
          <t>Apto 2606</t>
        </is>
      </c>
      <c r="E807" t="inlineStr">
        <is>
          <t>Andrés Torres</t>
        </is>
      </c>
      <c r="F807" t="inlineStr">
        <is>
          <t>Ganado</t>
        </is>
      </c>
      <c r="G807" t="n">
        <v>401000000</v>
      </c>
      <c r="H807" t="n">
        <v>1</v>
      </c>
      <c r="I807" s="28" t="n">
        <v>45966</v>
      </c>
      <c r="J807" s="28" t="n">
        <v>46029</v>
      </c>
      <c r="K807" t="n">
        <v>63</v>
      </c>
      <c r="L807" t="inlineStr">
        <is>
          <t>Promesa de compraventa firmada</t>
        </is>
      </c>
    </row>
    <row r="808" ht="15.75" customHeight="1" s="25">
      <c r="A808" t="inlineStr">
        <is>
          <t>NEG-0806</t>
        </is>
      </c>
      <c r="B808" t="inlineStr">
        <is>
          <t>Santiago Correa Vargas</t>
        </is>
      </c>
      <c r="C808" t="inlineStr">
        <is>
          <t>PRY-003</t>
        </is>
      </c>
      <c r="D808" t="inlineStr">
        <is>
          <t>Apto 401</t>
        </is>
      </c>
      <c r="E808" t="inlineStr">
        <is>
          <t>Daniela Ríos</t>
        </is>
      </c>
      <c r="F808" t="inlineStr">
        <is>
          <t>Ganado</t>
        </is>
      </c>
      <c r="G808" t="n">
        <v>346000000</v>
      </c>
      <c r="H808" t="n">
        <v>1</v>
      </c>
      <c r="I808" s="28" t="n">
        <v>45967</v>
      </c>
      <c r="J808" s="28" t="n">
        <v>45997</v>
      </c>
      <c r="K808" t="n">
        <v>30</v>
      </c>
      <c r="L808" t="inlineStr">
        <is>
          <t>Promesa de compraventa firmada</t>
        </is>
      </c>
    </row>
    <row r="809" ht="15.75" customHeight="1" s="25">
      <c r="A809" t="inlineStr">
        <is>
          <t>NEG-0807</t>
        </is>
      </c>
      <c r="B809" t="inlineStr">
        <is>
          <t>Rodrigo Gaviria Ríos</t>
        </is>
      </c>
      <c r="C809" t="inlineStr">
        <is>
          <t>PRY-003</t>
        </is>
      </c>
      <c r="D809" t="inlineStr">
        <is>
          <t>Apto 505</t>
        </is>
      </c>
      <c r="E809" t="inlineStr">
        <is>
          <t>Miguel Salazar</t>
        </is>
      </c>
      <c r="F809" t="inlineStr">
        <is>
          <t>Ganado</t>
        </is>
      </c>
      <c r="G809" t="n">
        <v>298000000</v>
      </c>
      <c r="H809" t="n">
        <v>1</v>
      </c>
      <c r="I809" s="28" t="n">
        <v>45967</v>
      </c>
      <c r="J809" s="28" t="n">
        <v>46001</v>
      </c>
      <c r="K809" t="n">
        <v>34</v>
      </c>
      <c r="L809" t="inlineStr">
        <is>
          <t>Promesa de compraventa firmada</t>
        </is>
      </c>
    </row>
    <row r="810" ht="15.75" customHeight="1" s="25">
      <c r="A810" t="inlineStr">
        <is>
          <t>NEG-0808</t>
        </is>
      </c>
      <c r="B810" t="inlineStr">
        <is>
          <t>Alejandra Betancur Pérez</t>
        </is>
      </c>
      <c r="C810" t="inlineStr">
        <is>
          <t>PRY-007</t>
        </is>
      </c>
      <c r="D810" t="inlineStr">
        <is>
          <t>Apto 1506</t>
        </is>
      </c>
      <c r="E810" t="inlineStr">
        <is>
          <t>Sofía Prada</t>
        </is>
      </c>
      <c r="F810" t="inlineStr">
        <is>
          <t>Ganado</t>
        </is>
      </c>
      <c r="G810" t="n">
        <v>783000000</v>
      </c>
      <c r="H810" t="n">
        <v>1</v>
      </c>
      <c r="I810" s="28" t="n">
        <v>45967</v>
      </c>
      <c r="J810" s="28" t="n">
        <v>46061</v>
      </c>
      <c r="K810" t="n">
        <v>94</v>
      </c>
      <c r="L810" t="inlineStr">
        <is>
          <t>Promesa de compraventa firmada</t>
        </is>
      </c>
    </row>
    <row r="811" ht="15.75" customHeight="1" s="25">
      <c r="A811" t="inlineStr">
        <is>
          <t>NEG-0809</t>
        </is>
      </c>
      <c r="B811" t="inlineStr">
        <is>
          <t>José Bedoya Correa</t>
        </is>
      </c>
      <c r="C811" t="inlineStr">
        <is>
          <t>PRY-002</t>
        </is>
      </c>
      <c r="D811" t="inlineStr">
        <is>
          <t>Casa 52</t>
        </is>
      </c>
      <c r="E811" t="inlineStr">
        <is>
          <t>Mateo Herrera</t>
        </is>
      </c>
      <c r="F811" t="inlineStr">
        <is>
          <t>Ganado</t>
        </is>
      </c>
      <c r="G811" t="n">
        <v>792000000</v>
      </c>
      <c r="H811" t="n">
        <v>1</v>
      </c>
      <c r="I811" s="28" t="n">
        <v>45968</v>
      </c>
      <c r="J811" s="28" t="n">
        <v>46087</v>
      </c>
      <c r="K811" t="n">
        <v>119</v>
      </c>
      <c r="L811" t="inlineStr">
        <is>
          <t>Promesa de compraventa firmada</t>
        </is>
      </c>
    </row>
    <row r="812" ht="15.75" customHeight="1" s="25">
      <c r="A812" t="inlineStr">
        <is>
          <t>NEG-0810</t>
        </is>
      </c>
      <c r="B812" t="inlineStr">
        <is>
          <t>Marcela Zuluaga Higuita</t>
        </is>
      </c>
      <c r="C812" t="inlineStr">
        <is>
          <t>PRY-003</t>
        </is>
      </c>
      <c r="D812" t="inlineStr">
        <is>
          <t>Apto 1404</t>
        </is>
      </c>
      <c r="E812" t="inlineStr">
        <is>
          <t>Miguel Salazar</t>
        </is>
      </c>
      <c r="F812" t="inlineStr">
        <is>
          <t>Ganado</t>
        </is>
      </c>
      <c r="G812" t="n">
        <v>369000000</v>
      </c>
      <c r="H812" t="n">
        <v>1</v>
      </c>
      <c r="I812" s="28" t="n">
        <v>45968</v>
      </c>
      <c r="J812" s="28" t="n">
        <v>46025</v>
      </c>
      <c r="K812" t="n">
        <v>57</v>
      </c>
      <c r="L812" t="inlineStr">
        <is>
          <t>Promesa de compraventa firmada</t>
        </is>
      </c>
    </row>
    <row r="813" ht="15.75" customHeight="1" s="25">
      <c r="A813" t="inlineStr">
        <is>
          <t>NEG-0811</t>
        </is>
      </c>
      <c r="B813" t="inlineStr">
        <is>
          <t>Óscar Hernández Mejía</t>
        </is>
      </c>
      <c r="C813" t="inlineStr">
        <is>
          <t>PRY-008</t>
        </is>
      </c>
      <c r="D813" t="inlineStr">
        <is>
          <t>Casa 73</t>
        </is>
      </c>
      <c r="E813" t="inlineStr">
        <is>
          <t>Sofía Prada</t>
        </is>
      </c>
      <c r="F813" t="inlineStr">
        <is>
          <t>Ganado</t>
        </is>
      </c>
      <c r="G813" t="n">
        <v>166000000</v>
      </c>
      <c r="H813" t="n">
        <v>1</v>
      </c>
      <c r="I813" s="28" t="n">
        <v>45970</v>
      </c>
      <c r="J813" s="28" t="n">
        <v>46014</v>
      </c>
      <c r="K813" t="n">
        <v>44</v>
      </c>
      <c r="L813" t="inlineStr">
        <is>
          <t>Promesa de compraventa firmada</t>
        </is>
      </c>
    </row>
    <row r="814" ht="15.75" customHeight="1" s="25">
      <c r="A814" t="inlineStr">
        <is>
          <t>NEG-0812</t>
        </is>
      </c>
      <c r="B814" t="inlineStr">
        <is>
          <t>Valeria Toro Londoño</t>
        </is>
      </c>
      <c r="C814" t="inlineStr">
        <is>
          <t>PRY-003</t>
        </is>
      </c>
      <c r="D814" t="inlineStr">
        <is>
          <t>Apto 805</t>
        </is>
      </c>
      <c r="E814" t="inlineStr">
        <is>
          <t>Sofía Prada</t>
        </is>
      </c>
      <c r="F814" t="inlineStr">
        <is>
          <t>Ganado</t>
        </is>
      </c>
      <c r="G814" t="n">
        <v>376000000</v>
      </c>
      <c r="H814" t="n">
        <v>1</v>
      </c>
      <c r="I814" s="28" t="n">
        <v>45971</v>
      </c>
      <c r="J814" s="28" t="n">
        <v>46008</v>
      </c>
      <c r="K814" t="n">
        <v>37</v>
      </c>
      <c r="L814" t="inlineStr">
        <is>
          <t>Promesa de compraventa firmada</t>
        </is>
      </c>
    </row>
    <row r="815" ht="15.75" customHeight="1" s="25">
      <c r="A815" t="inlineStr">
        <is>
          <t>NEG-0813</t>
        </is>
      </c>
      <c r="B815" t="inlineStr">
        <is>
          <t>Nicolás Cano Uribe</t>
        </is>
      </c>
      <c r="C815" t="inlineStr">
        <is>
          <t>PRY-005</t>
        </is>
      </c>
      <c r="D815" t="inlineStr">
        <is>
          <t>Apto 203</t>
        </is>
      </c>
      <c r="E815" t="inlineStr">
        <is>
          <t>Luis Bedoya</t>
        </is>
      </c>
      <c r="F815" t="inlineStr">
        <is>
          <t>Perdido</t>
        </is>
      </c>
      <c r="G815" t="n">
        <v>471000000</v>
      </c>
      <c r="H815" t="n">
        <v>0</v>
      </c>
      <c r="I815" s="28" t="n">
        <v>45972</v>
      </c>
      <c r="J815" s="28" t="n">
        <v>46073</v>
      </c>
      <c r="K815" t="n">
        <v>101</v>
      </c>
      <c r="L815" t="inlineStr">
        <is>
          <t>Precio fuera de presupuesto</t>
        </is>
      </c>
    </row>
    <row r="816" ht="15.75" customHeight="1" s="25">
      <c r="A816" t="inlineStr">
        <is>
          <t>NEG-0814</t>
        </is>
      </c>
      <c r="B816" t="inlineStr">
        <is>
          <t>Hernán Rojas Muñoz</t>
        </is>
      </c>
      <c r="C816" t="inlineStr">
        <is>
          <t>PRY-001</t>
        </is>
      </c>
      <c r="D816" t="inlineStr">
        <is>
          <t>Apto 604</t>
        </is>
      </c>
      <c r="E816" t="inlineStr">
        <is>
          <t>Luis Bedoya</t>
        </is>
      </c>
      <c r="F816" t="inlineStr">
        <is>
          <t>Ganado</t>
        </is>
      </c>
      <c r="G816" t="n">
        <v>622000000</v>
      </c>
      <c r="H816" t="n">
        <v>1</v>
      </c>
      <c r="I816" s="28" t="n">
        <v>45974</v>
      </c>
      <c r="J816" s="28" t="n">
        <v>46074</v>
      </c>
      <c r="K816" t="n">
        <v>100</v>
      </c>
      <c r="L816" t="inlineStr">
        <is>
          <t>Promesa de compraventa firmada</t>
        </is>
      </c>
    </row>
    <row r="817" ht="15.75" customHeight="1" s="25">
      <c r="A817" t="inlineStr">
        <is>
          <t>NEG-0815</t>
        </is>
      </c>
      <c r="B817" t="inlineStr">
        <is>
          <t>Andrés Toro Quintero</t>
        </is>
      </c>
      <c r="C817" t="inlineStr">
        <is>
          <t>PRY-005</t>
        </is>
      </c>
      <c r="D817" t="inlineStr">
        <is>
          <t>Apto 1006</t>
        </is>
      </c>
      <c r="E817" t="inlineStr">
        <is>
          <t>Ana Quintero</t>
        </is>
      </c>
      <c r="F817" t="inlineStr">
        <is>
          <t>Ganado</t>
        </is>
      </c>
      <c r="G817" t="n">
        <v>368000000</v>
      </c>
      <c r="H817" t="n">
        <v>1</v>
      </c>
      <c r="I817" s="28" t="n">
        <v>45975</v>
      </c>
      <c r="J817" s="28" t="n">
        <v>46050</v>
      </c>
      <c r="K817" t="n">
        <v>75</v>
      </c>
      <c r="L817" t="inlineStr">
        <is>
          <t>Promesa de compraventa firmada</t>
        </is>
      </c>
    </row>
    <row r="818" ht="15.75" customHeight="1" s="25">
      <c r="A818" t="inlineStr">
        <is>
          <t>NEG-0816</t>
        </is>
      </c>
      <c r="B818" t="inlineStr">
        <is>
          <t>Sandra Arango Montes</t>
        </is>
      </c>
      <c r="C818" t="inlineStr">
        <is>
          <t>PRY-005</t>
        </is>
      </c>
      <c r="D818" t="inlineStr">
        <is>
          <t>Casa 14</t>
        </is>
      </c>
      <c r="E818" t="inlineStr">
        <is>
          <t>Santiago Muñoz</t>
        </is>
      </c>
      <c r="F818" t="inlineStr">
        <is>
          <t>Perdido</t>
        </is>
      </c>
      <c r="G818" t="n">
        <v>411000000</v>
      </c>
      <c r="H818" t="n">
        <v>0</v>
      </c>
      <c r="I818" s="28" t="n">
        <v>45975</v>
      </c>
      <c r="J818" s="28" t="n">
        <v>46039</v>
      </c>
      <c r="K818" t="n">
        <v>64</v>
      </c>
      <c r="L818" t="inlineStr">
        <is>
          <t>Eligió otro proyecto</t>
        </is>
      </c>
    </row>
    <row r="819" ht="15.75" customHeight="1" s="25">
      <c r="A819" t="inlineStr">
        <is>
          <t>NEG-0817</t>
        </is>
      </c>
      <c r="B819" t="inlineStr">
        <is>
          <t>Diego Zuluaga Cifuentes</t>
        </is>
      </c>
      <c r="C819" t="inlineStr">
        <is>
          <t>PRY-005</t>
        </is>
      </c>
      <c r="D819" t="inlineStr">
        <is>
          <t>Casa 47</t>
        </is>
      </c>
      <c r="E819" t="inlineStr">
        <is>
          <t>Luis Bedoya</t>
        </is>
      </c>
      <c r="F819" t="inlineStr">
        <is>
          <t>Ganado</t>
        </is>
      </c>
      <c r="G819" t="n">
        <v>354000000</v>
      </c>
      <c r="H819" t="n">
        <v>1</v>
      </c>
      <c r="I819" s="28" t="n">
        <v>45976</v>
      </c>
      <c r="J819" s="28" t="n">
        <v>46077</v>
      </c>
      <c r="K819" t="n">
        <v>101</v>
      </c>
      <c r="L819" t="inlineStr">
        <is>
          <t>Promesa de compraventa firmada</t>
        </is>
      </c>
    </row>
    <row r="820" ht="15.75" customHeight="1" s="25">
      <c r="A820" t="inlineStr">
        <is>
          <t>NEG-0818</t>
        </is>
      </c>
      <c r="B820" t="inlineStr">
        <is>
          <t>Natalia Gómez Ramírez</t>
        </is>
      </c>
      <c r="C820" t="inlineStr">
        <is>
          <t>PRY-005</t>
        </is>
      </c>
      <c r="D820" t="inlineStr">
        <is>
          <t>Apto 905</t>
        </is>
      </c>
      <c r="E820" t="inlineStr">
        <is>
          <t>Andrés Torres</t>
        </is>
      </c>
      <c r="F820" t="inlineStr">
        <is>
          <t>Ganado</t>
        </is>
      </c>
      <c r="G820" t="n">
        <v>505000000</v>
      </c>
      <c r="H820" t="n">
        <v>1</v>
      </c>
      <c r="I820" s="28" t="n">
        <v>45977</v>
      </c>
      <c r="J820" s="28" t="n">
        <v>46091</v>
      </c>
      <c r="K820" t="n">
        <v>114</v>
      </c>
      <c r="L820" t="inlineStr">
        <is>
          <t>Promesa de compraventa firmada</t>
        </is>
      </c>
    </row>
    <row r="821" ht="15.75" customHeight="1" s="25">
      <c r="A821" t="inlineStr">
        <is>
          <t>NEG-0819</t>
        </is>
      </c>
      <c r="B821" t="inlineStr">
        <is>
          <t>Camila Salcedo Cardona</t>
        </is>
      </c>
      <c r="C821" t="inlineStr">
        <is>
          <t>PRY-003</t>
        </is>
      </c>
      <c r="D821" t="inlineStr">
        <is>
          <t>Apto 2104</t>
        </is>
      </c>
      <c r="E821" t="inlineStr">
        <is>
          <t>Santiago Muñoz</t>
        </is>
      </c>
      <c r="F821" t="inlineStr">
        <is>
          <t>Ganado</t>
        </is>
      </c>
      <c r="G821" t="n">
        <v>331000000</v>
      </c>
      <c r="H821" t="n">
        <v>1</v>
      </c>
      <c r="I821" s="28" t="n">
        <v>45978</v>
      </c>
      <c r="J821" s="28" t="n">
        <v>46063</v>
      </c>
      <c r="K821" t="n">
        <v>85</v>
      </c>
      <c r="L821" t="inlineStr">
        <is>
          <t>Promesa de compraventa firmada</t>
        </is>
      </c>
    </row>
    <row r="822" ht="15.75" customHeight="1" s="25">
      <c r="A822" t="inlineStr">
        <is>
          <t>NEG-0820</t>
        </is>
      </c>
      <c r="B822" t="inlineStr">
        <is>
          <t>Esteban Jaramillo Quintero</t>
        </is>
      </c>
      <c r="C822" t="inlineStr">
        <is>
          <t>PRY-003</t>
        </is>
      </c>
      <c r="D822" t="inlineStr">
        <is>
          <t>Apto 1701</t>
        </is>
      </c>
      <c r="E822" t="inlineStr">
        <is>
          <t>Miguel Salazar</t>
        </is>
      </c>
      <c r="F822" t="inlineStr">
        <is>
          <t>Ganado</t>
        </is>
      </c>
      <c r="G822" t="n">
        <v>388000000</v>
      </c>
      <c r="H822" t="n">
        <v>1</v>
      </c>
      <c r="I822" s="28" t="n">
        <v>45979</v>
      </c>
      <c r="J822" s="28" t="n">
        <v>46010</v>
      </c>
      <c r="K822" t="n">
        <v>31</v>
      </c>
      <c r="L822" t="inlineStr">
        <is>
          <t>Promesa de compraventa firmada</t>
        </is>
      </c>
    </row>
    <row r="823" ht="15.75" customHeight="1" s="25">
      <c r="A823" t="inlineStr">
        <is>
          <t>NEG-0821</t>
        </is>
      </c>
      <c r="B823" t="inlineStr">
        <is>
          <t>Santiago Álvarez Pérez</t>
        </is>
      </c>
      <c r="C823" t="inlineStr">
        <is>
          <t>PRY-001</t>
        </is>
      </c>
      <c r="D823" t="inlineStr">
        <is>
          <t>Apto 503</t>
        </is>
      </c>
      <c r="E823" t="inlineStr">
        <is>
          <t>Ana Quintero</t>
        </is>
      </c>
      <c r="F823" t="inlineStr">
        <is>
          <t>Ganado</t>
        </is>
      </c>
      <c r="G823" t="n">
        <v>717000000</v>
      </c>
      <c r="H823" t="n">
        <v>1</v>
      </c>
      <c r="I823" s="28" t="n">
        <v>45981</v>
      </c>
      <c r="J823" s="28" t="n">
        <v>46023</v>
      </c>
      <c r="K823" t="n">
        <v>42</v>
      </c>
      <c r="L823" t="inlineStr">
        <is>
          <t>Promesa de compraventa firmada</t>
        </is>
      </c>
    </row>
    <row r="824" ht="15.75" customHeight="1" s="25">
      <c r="A824" t="inlineStr">
        <is>
          <t>NEG-0822</t>
        </is>
      </c>
      <c r="B824" t="inlineStr">
        <is>
          <t>Nicolás Gómez Sánchez</t>
        </is>
      </c>
      <c r="C824" t="inlineStr">
        <is>
          <t>PRY-002</t>
        </is>
      </c>
      <c r="D824" t="inlineStr">
        <is>
          <t>Casa 20</t>
        </is>
      </c>
      <c r="E824" t="inlineStr">
        <is>
          <t>Ana Quintero</t>
        </is>
      </c>
      <c r="F824" t="inlineStr">
        <is>
          <t>Ganado</t>
        </is>
      </c>
      <c r="G824" t="n">
        <v>818000000</v>
      </c>
      <c r="H824" t="n">
        <v>1</v>
      </c>
      <c r="I824" s="28" t="n">
        <v>45983</v>
      </c>
      <c r="J824" s="28" t="n">
        <v>46120</v>
      </c>
      <c r="K824" t="n">
        <v>137</v>
      </c>
      <c r="L824" t="inlineStr">
        <is>
          <t>Promesa de compraventa firmada</t>
        </is>
      </c>
    </row>
    <row r="825" ht="15.75" customHeight="1" s="25">
      <c r="A825" t="inlineStr">
        <is>
          <t>NEG-0823</t>
        </is>
      </c>
      <c r="B825" t="inlineStr">
        <is>
          <t>Sofía Mejía Quintero</t>
        </is>
      </c>
      <c r="C825" t="inlineStr">
        <is>
          <t>PRY-003</t>
        </is>
      </c>
      <c r="D825" t="inlineStr">
        <is>
          <t>Apto 1206</t>
        </is>
      </c>
      <c r="E825" t="inlineStr">
        <is>
          <t>Mateo Herrera</t>
        </is>
      </c>
      <c r="F825" t="inlineStr">
        <is>
          <t>Perdido</t>
        </is>
      </c>
      <c r="G825" t="n">
        <v>374000000</v>
      </c>
      <c r="H825" t="n">
        <v>0</v>
      </c>
      <c r="I825" s="28" t="n">
        <v>45984</v>
      </c>
      <c r="J825" s="28" t="n">
        <v>46065</v>
      </c>
      <c r="K825" t="n">
        <v>81</v>
      </c>
      <c r="L825" t="inlineStr">
        <is>
          <t>Crédito no aprobado</t>
        </is>
      </c>
    </row>
    <row r="826" ht="15.75" customHeight="1" s="25">
      <c r="A826" t="inlineStr">
        <is>
          <t>NEG-0824</t>
        </is>
      </c>
      <c r="B826" t="inlineStr">
        <is>
          <t>Rodrigo Ramírez Arango</t>
        </is>
      </c>
      <c r="C826" t="inlineStr">
        <is>
          <t>PRY-007</t>
        </is>
      </c>
      <c r="D826" t="inlineStr">
        <is>
          <t>Apto 204</t>
        </is>
      </c>
      <c r="E826" t="inlineStr">
        <is>
          <t>Luis Bedoya</t>
        </is>
      </c>
      <c r="F826" t="inlineStr">
        <is>
          <t>Ganado</t>
        </is>
      </c>
      <c r="G826" t="n">
        <v>633000000</v>
      </c>
      <c r="H826" t="n">
        <v>1</v>
      </c>
      <c r="I826" s="28" t="n">
        <v>45984</v>
      </c>
      <c r="J826" s="28" t="n">
        <v>46063</v>
      </c>
      <c r="K826" t="n">
        <v>79</v>
      </c>
      <c r="L826" t="inlineStr">
        <is>
          <t>Promesa de compraventa firmada</t>
        </is>
      </c>
    </row>
    <row r="827" ht="15.75" customHeight="1" s="25">
      <c r="A827" t="inlineStr">
        <is>
          <t>NEG-0825</t>
        </is>
      </c>
      <c r="B827" t="inlineStr">
        <is>
          <t>David Cano Zuluaga</t>
        </is>
      </c>
      <c r="C827" t="inlineStr">
        <is>
          <t>PRY-008</t>
        </is>
      </c>
      <c r="D827" t="inlineStr">
        <is>
          <t>Casa 50</t>
        </is>
      </c>
      <c r="E827" t="inlineStr">
        <is>
          <t>Luis Bedoya</t>
        </is>
      </c>
      <c r="F827" t="inlineStr">
        <is>
          <t>Ganado</t>
        </is>
      </c>
      <c r="G827" t="n">
        <v>173000000</v>
      </c>
      <c r="H827" t="n">
        <v>1</v>
      </c>
      <c r="I827" s="28" t="n">
        <v>45986</v>
      </c>
      <c r="J827" s="28" t="n">
        <v>46052</v>
      </c>
      <c r="K827" t="n">
        <v>66</v>
      </c>
      <c r="L827" t="inlineStr">
        <is>
          <t>Promesa de compraventa firmada</t>
        </is>
      </c>
    </row>
    <row r="828" ht="15.75" customHeight="1" s="25">
      <c r="A828" t="inlineStr">
        <is>
          <t>NEG-0826</t>
        </is>
      </c>
      <c r="B828" t="inlineStr">
        <is>
          <t>Jhon Duque Ríos</t>
        </is>
      </c>
      <c r="C828" t="inlineStr">
        <is>
          <t>PRY-005</t>
        </is>
      </c>
      <c r="D828" t="inlineStr">
        <is>
          <t>Apto 1104</t>
        </is>
      </c>
      <c r="E828" t="inlineStr">
        <is>
          <t>Ana Quintero</t>
        </is>
      </c>
      <c r="F828" t="inlineStr">
        <is>
          <t>Ganado</t>
        </is>
      </c>
      <c r="G828" t="n">
        <v>421000000</v>
      </c>
      <c r="H828" t="n">
        <v>1</v>
      </c>
      <c r="I828" s="28" t="n">
        <v>45988</v>
      </c>
      <c r="J828" s="28" t="n">
        <v>46104</v>
      </c>
      <c r="K828" t="n">
        <v>116</v>
      </c>
      <c r="L828" t="inlineStr">
        <is>
          <t>Promesa de compraventa firmada</t>
        </is>
      </c>
    </row>
    <row r="829" ht="15.75" customHeight="1" s="25">
      <c r="A829" t="inlineStr">
        <is>
          <t>NEG-0827</t>
        </is>
      </c>
      <c r="B829" t="inlineStr">
        <is>
          <t>Ricardo Henao Correa</t>
        </is>
      </c>
      <c r="C829" t="inlineStr">
        <is>
          <t>PRY-005</t>
        </is>
      </c>
      <c r="D829" t="inlineStr">
        <is>
          <t>Apto 202</t>
        </is>
      </c>
      <c r="E829" t="inlineStr">
        <is>
          <t>Sofía Prada</t>
        </is>
      </c>
      <c r="F829" t="inlineStr">
        <is>
          <t>Ganado</t>
        </is>
      </c>
      <c r="G829" t="n">
        <v>420000000</v>
      </c>
      <c r="H829" t="n">
        <v>1</v>
      </c>
      <c r="I829" s="28" t="n">
        <v>45989</v>
      </c>
      <c r="J829" s="28" t="n">
        <v>46062</v>
      </c>
      <c r="K829" t="n">
        <v>73</v>
      </c>
      <c r="L829" t="inlineStr">
        <is>
          <t>Promesa de compraventa firmada</t>
        </is>
      </c>
    </row>
    <row r="830" ht="15.75" customHeight="1" s="25">
      <c r="A830" t="inlineStr">
        <is>
          <t>NEG-0828</t>
        </is>
      </c>
      <c r="B830" t="inlineStr">
        <is>
          <t>José Escobar Sánchez</t>
        </is>
      </c>
      <c r="C830" t="inlineStr">
        <is>
          <t>PRY-001</t>
        </is>
      </c>
      <c r="D830" t="inlineStr">
        <is>
          <t>Apto 1904</t>
        </is>
      </c>
      <c r="E830" t="inlineStr">
        <is>
          <t>Paula Arenas</t>
        </is>
      </c>
      <c r="F830" t="inlineStr">
        <is>
          <t>Ganado</t>
        </is>
      </c>
      <c r="G830" t="n">
        <v>673000000</v>
      </c>
      <c r="H830" t="n">
        <v>1</v>
      </c>
      <c r="I830" s="28" t="n">
        <v>45993</v>
      </c>
      <c r="J830" s="28" t="n">
        <v>46103</v>
      </c>
      <c r="K830" t="n">
        <v>110</v>
      </c>
      <c r="L830" t="inlineStr">
        <is>
          <t>Promesa de compraventa firmada</t>
        </is>
      </c>
    </row>
    <row r="831" ht="15.75" customHeight="1" s="25">
      <c r="A831" t="inlineStr">
        <is>
          <t>NEG-0829</t>
        </is>
      </c>
      <c r="B831" t="inlineStr">
        <is>
          <t>Sandra Escobar Salcedo</t>
        </is>
      </c>
      <c r="C831" t="inlineStr">
        <is>
          <t>PRY-008</t>
        </is>
      </c>
      <c r="D831" t="inlineStr">
        <is>
          <t>Casa 98</t>
        </is>
      </c>
      <c r="E831" t="inlineStr">
        <is>
          <t>Juliana Vélez</t>
        </is>
      </c>
      <c r="F831" t="inlineStr">
        <is>
          <t>Perdido</t>
        </is>
      </c>
      <c r="G831" t="n">
        <v>144000000</v>
      </c>
      <c r="H831" t="n">
        <v>0</v>
      </c>
      <c r="I831" s="28" t="n">
        <v>45995</v>
      </c>
      <c r="J831" s="28" t="n">
        <v>46036</v>
      </c>
      <c r="K831" t="n">
        <v>41</v>
      </c>
      <c r="L831" t="inlineStr">
        <is>
          <t>Desistió de la compra</t>
        </is>
      </c>
    </row>
    <row r="832" ht="15.75" customHeight="1" s="25">
      <c r="A832" t="inlineStr">
        <is>
          <t>NEG-0830</t>
        </is>
      </c>
      <c r="B832" t="inlineStr">
        <is>
          <t>Ricardo Agudelo Gómez</t>
        </is>
      </c>
      <c r="C832" t="inlineStr">
        <is>
          <t>PRY-003</t>
        </is>
      </c>
      <c r="D832" t="inlineStr">
        <is>
          <t>Apto 206</t>
        </is>
      </c>
      <c r="E832" t="inlineStr">
        <is>
          <t>Santiago Muñoz</t>
        </is>
      </c>
      <c r="F832" t="inlineStr">
        <is>
          <t>Ganado</t>
        </is>
      </c>
      <c r="G832" t="n">
        <v>401000000</v>
      </c>
      <c r="H832" t="n">
        <v>1</v>
      </c>
      <c r="I832" s="28" t="n">
        <v>45997</v>
      </c>
      <c r="J832" s="28" t="n">
        <v>46044</v>
      </c>
      <c r="K832" t="n">
        <v>47</v>
      </c>
      <c r="L832" t="inlineStr">
        <is>
          <t>Promesa de compraventa firmada</t>
        </is>
      </c>
    </row>
    <row r="833" ht="15.75" customHeight="1" s="25">
      <c r="A833" t="inlineStr">
        <is>
          <t>NEG-0831</t>
        </is>
      </c>
      <c r="B833" t="inlineStr">
        <is>
          <t>Diego Sánchez Valencia</t>
        </is>
      </c>
      <c r="C833" t="inlineStr">
        <is>
          <t>PRY-003</t>
        </is>
      </c>
      <c r="D833" t="inlineStr">
        <is>
          <t>Apto 1006</t>
        </is>
      </c>
      <c r="E833" t="inlineStr">
        <is>
          <t>Ana Quintero</t>
        </is>
      </c>
      <c r="F833" t="inlineStr">
        <is>
          <t>Perdido</t>
        </is>
      </c>
      <c r="G833" t="n">
        <v>395000000</v>
      </c>
      <c r="H833" t="n">
        <v>0</v>
      </c>
      <c r="I833" s="28" t="n">
        <v>45997</v>
      </c>
      <c r="J833" s="28" t="n">
        <v>46031</v>
      </c>
      <c r="K833" t="n">
        <v>34</v>
      </c>
      <c r="L833" t="inlineStr">
        <is>
          <t>Crédito no aprobado</t>
        </is>
      </c>
    </row>
    <row r="834" ht="15.75" customHeight="1" s="25">
      <c r="A834" t="inlineStr">
        <is>
          <t>NEG-0832</t>
        </is>
      </c>
      <c r="B834" t="inlineStr">
        <is>
          <t>Marcela Echeverri Henao</t>
        </is>
      </c>
      <c r="C834" t="inlineStr">
        <is>
          <t>PRY-007</t>
        </is>
      </c>
      <c r="D834" t="inlineStr">
        <is>
          <t>Apto 706</t>
        </is>
      </c>
      <c r="E834" t="inlineStr">
        <is>
          <t>Sofía Prada</t>
        </is>
      </c>
      <c r="F834" t="inlineStr">
        <is>
          <t>Perdido</t>
        </is>
      </c>
      <c r="G834" t="n">
        <v>790000000</v>
      </c>
      <c r="H834" t="n">
        <v>0</v>
      </c>
      <c r="I834" s="28" t="n">
        <v>45997</v>
      </c>
      <c r="J834" s="28" t="n">
        <v>46073</v>
      </c>
      <c r="K834" t="n">
        <v>76</v>
      </c>
      <c r="L834" t="inlineStr">
        <is>
          <t>Crédito no aprobado</t>
        </is>
      </c>
    </row>
    <row r="835" ht="15.75" customHeight="1" s="25">
      <c r="A835" t="inlineStr">
        <is>
          <t>NEG-0833</t>
        </is>
      </c>
      <c r="B835" t="inlineStr">
        <is>
          <t>Daniel Betancur Higuita</t>
        </is>
      </c>
      <c r="C835" t="inlineStr">
        <is>
          <t>PRY-001</t>
        </is>
      </c>
      <c r="D835" t="inlineStr">
        <is>
          <t>Apto 502</t>
        </is>
      </c>
      <c r="E835" t="inlineStr">
        <is>
          <t>Daniela Ríos</t>
        </is>
      </c>
      <c r="F835" t="inlineStr">
        <is>
          <t>Ganado</t>
        </is>
      </c>
      <c r="G835" t="n">
        <v>887000000</v>
      </c>
      <c r="H835" t="n">
        <v>1</v>
      </c>
      <c r="I835" s="28" t="n">
        <v>45999</v>
      </c>
      <c r="J835" s="28" t="n">
        <v>46119</v>
      </c>
      <c r="K835" t="n">
        <v>120</v>
      </c>
      <c r="L835" t="inlineStr">
        <is>
          <t>Promesa de compraventa firmada</t>
        </is>
      </c>
    </row>
    <row r="836" ht="15.75" customHeight="1" s="25">
      <c r="A836" t="inlineStr">
        <is>
          <t>NEG-0834</t>
        </is>
      </c>
      <c r="B836" t="inlineStr">
        <is>
          <t>Gabriel Salcedo Londoño</t>
        </is>
      </c>
      <c r="C836" t="inlineStr">
        <is>
          <t>PRY-007</t>
        </is>
      </c>
      <c r="D836" t="inlineStr">
        <is>
          <t>Apto 306</t>
        </is>
      </c>
      <c r="E836" t="inlineStr">
        <is>
          <t>Andrés Torres</t>
        </is>
      </c>
      <c r="F836" t="inlineStr">
        <is>
          <t>Ganado</t>
        </is>
      </c>
      <c r="G836" t="n">
        <v>803000000</v>
      </c>
      <c r="H836" t="n">
        <v>1</v>
      </c>
      <c r="I836" s="28" t="n">
        <v>45999</v>
      </c>
      <c r="J836" s="28" t="n">
        <v>46049</v>
      </c>
      <c r="K836" t="n">
        <v>50</v>
      </c>
      <c r="L836" t="inlineStr">
        <is>
          <t>Promesa de compraventa firmada</t>
        </is>
      </c>
    </row>
    <row r="837" ht="15.75" customHeight="1" s="25">
      <c r="A837" t="inlineStr">
        <is>
          <t>NEG-0835</t>
        </is>
      </c>
      <c r="B837" t="inlineStr">
        <is>
          <t>Esteban Zapata Peláez</t>
        </is>
      </c>
      <c r="C837" t="inlineStr">
        <is>
          <t>PRY-007</t>
        </is>
      </c>
      <c r="D837" t="inlineStr">
        <is>
          <t>Apto 1003</t>
        </is>
      </c>
      <c r="E837" t="inlineStr">
        <is>
          <t>Luis Bedoya</t>
        </is>
      </c>
      <c r="F837" t="inlineStr">
        <is>
          <t>Perdido</t>
        </is>
      </c>
      <c r="G837" t="n">
        <v>742000000</v>
      </c>
      <c r="H837" t="n">
        <v>0</v>
      </c>
      <c r="I837" s="28" t="n">
        <v>46000</v>
      </c>
      <c r="J837" s="28" t="n">
        <v>46052</v>
      </c>
      <c r="K837" t="n">
        <v>52</v>
      </c>
      <c r="L837" t="inlineStr">
        <is>
          <t>Eligió otro proyecto</t>
        </is>
      </c>
    </row>
    <row r="838" ht="15.75" customHeight="1" s="25">
      <c r="A838" t="inlineStr">
        <is>
          <t>NEG-0836</t>
        </is>
      </c>
      <c r="B838" t="inlineStr">
        <is>
          <t>Santiago Rojas Franco</t>
        </is>
      </c>
      <c r="C838" t="inlineStr">
        <is>
          <t>PRY-005</t>
        </is>
      </c>
      <c r="D838" t="inlineStr">
        <is>
          <t>Casa 6</t>
        </is>
      </c>
      <c r="E838" t="inlineStr">
        <is>
          <t>Paula Arenas</t>
        </is>
      </c>
      <c r="F838" t="inlineStr">
        <is>
          <t>Ganado</t>
        </is>
      </c>
      <c r="G838" t="n">
        <v>464000000</v>
      </c>
      <c r="H838" t="n">
        <v>1</v>
      </c>
      <c r="I838" s="28" t="n">
        <v>46001</v>
      </c>
      <c r="J838" s="28" t="n">
        <v>46113</v>
      </c>
      <c r="K838" t="n">
        <v>112</v>
      </c>
      <c r="L838" t="inlineStr">
        <is>
          <t>Promesa de compraventa firmada</t>
        </is>
      </c>
    </row>
    <row r="839" ht="15.75" customHeight="1" s="25">
      <c r="A839" t="inlineStr">
        <is>
          <t>NEG-0837</t>
        </is>
      </c>
      <c r="B839" t="inlineStr">
        <is>
          <t>Emilio Bedoya Espinosa</t>
        </is>
      </c>
      <c r="C839" t="inlineStr">
        <is>
          <t>PRY-008</t>
        </is>
      </c>
      <c r="D839" t="inlineStr">
        <is>
          <t>Casa 77</t>
        </is>
      </c>
      <c r="E839" t="inlineStr">
        <is>
          <t>Paula Arenas</t>
        </is>
      </c>
      <c r="F839" t="inlineStr">
        <is>
          <t>Ganado</t>
        </is>
      </c>
      <c r="G839" t="n">
        <v>151000000</v>
      </c>
      <c r="H839" t="n">
        <v>1</v>
      </c>
      <c r="I839" s="28" t="n">
        <v>46001</v>
      </c>
      <c r="J839" s="28" t="n">
        <v>46047</v>
      </c>
      <c r="K839" t="n">
        <v>46</v>
      </c>
      <c r="L839" t="inlineStr">
        <is>
          <t>Promesa de compraventa firmada</t>
        </is>
      </c>
    </row>
    <row r="840" ht="15.75" customHeight="1" s="25">
      <c r="A840" t="inlineStr">
        <is>
          <t>NEG-0838</t>
        </is>
      </c>
      <c r="B840" t="inlineStr">
        <is>
          <t>Daniela Restrepo Palacio</t>
        </is>
      </c>
      <c r="C840" t="inlineStr">
        <is>
          <t>PRY-006</t>
        </is>
      </c>
      <c r="D840" t="inlineStr">
        <is>
          <t>Local 11</t>
        </is>
      </c>
      <c r="E840" t="inlineStr">
        <is>
          <t>Miguel Salazar</t>
        </is>
      </c>
      <c r="F840" t="inlineStr">
        <is>
          <t>Perdido</t>
        </is>
      </c>
      <c r="G840" t="n">
        <v>427000000</v>
      </c>
      <c r="H840" t="n">
        <v>0</v>
      </c>
      <c r="I840" s="28" t="n">
        <v>46002</v>
      </c>
      <c r="J840" s="28" t="n">
        <v>46137</v>
      </c>
      <c r="K840" t="n">
        <v>135</v>
      </c>
      <c r="L840" t="inlineStr">
        <is>
          <t>No volvió a responder</t>
        </is>
      </c>
    </row>
    <row r="841" ht="15.75" customHeight="1" s="25">
      <c r="A841" t="inlineStr">
        <is>
          <t>NEG-0839</t>
        </is>
      </c>
      <c r="B841" t="inlineStr">
        <is>
          <t>Gloria Castaño Giraldo</t>
        </is>
      </c>
      <c r="C841" t="inlineStr">
        <is>
          <t>PRY-005</t>
        </is>
      </c>
      <c r="D841" t="inlineStr">
        <is>
          <t>Apto 407</t>
        </is>
      </c>
      <c r="E841" t="inlineStr">
        <is>
          <t>Paula Arenas</t>
        </is>
      </c>
      <c r="F841" t="inlineStr">
        <is>
          <t>Perdido</t>
        </is>
      </c>
      <c r="G841" t="n">
        <v>372000000</v>
      </c>
      <c r="H841" t="n">
        <v>0</v>
      </c>
      <c r="I841" s="28" t="n">
        <v>46005</v>
      </c>
      <c r="J841" s="28" t="n">
        <v>46109</v>
      </c>
      <c r="K841" t="n">
        <v>104</v>
      </c>
      <c r="L841" t="inlineStr">
        <is>
          <t>No volvió a responder</t>
        </is>
      </c>
    </row>
    <row r="842" ht="15.75" customHeight="1" s="25">
      <c r="A842" t="inlineStr">
        <is>
          <t>NEG-0840</t>
        </is>
      </c>
      <c r="B842" t="inlineStr">
        <is>
          <t>Sara Agudelo Toro</t>
        </is>
      </c>
      <c r="C842" t="inlineStr">
        <is>
          <t>PRY-001</t>
        </is>
      </c>
      <c r="D842" t="inlineStr">
        <is>
          <t>Apto 801</t>
        </is>
      </c>
      <c r="E842" t="inlineStr">
        <is>
          <t>Paula Arenas</t>
        </is>
      </c>
      <c r="F842" t="inlineStr">
        <is>
          <t>Ganado</t>
        </is>
      </c>
      <c r="G842" t="n">
        <v>677000000</v>
      </c>
      <c r="H842" t="n">
        <v>1</v>
      </c>
      <c r="I842" s="28" t="n">
        <v>46006</v>
      </c>
      <c r="J842" s="28" t="n">
        <v>46078</v>
      </c>
      <c r="K842" t="n">
        <v>72</v>
      </c>
      <c r="L842" t="inlineStr">
        <is>
          <t>Promesa de compraventa firmada</t>
        </is>
      </c>
    </row>
    <row r="843" ht="15.75" customHeight="1" s="25">
      <c r="A843" t="inlineStr">
        <is>
          <t>NEG-0841</t>
        </is>
      </c>
      <c r="B843" t="inlineStr">
        <is>
          <t>Wilson Pérez Vásquez</t>
        </is>
      </c>
      <c r="C843" t="inlineStr">
        <is>
          <t>PRY-001</t>
        </is>
      </c>
      <c r="D843" t="inlineStr">
        <is>
          <t>Apto 1406</t>
        </is>
      </c>
      <c r="E843" t="inlineStr">
        <is>
          <t>Santiago Muñoz</t>
        </is>
      </c>
      <c r="F843" t="inlineStr">
        <is>
          <t>Ganado</t>
        </is>
      </c>
      <c r="G843" t="n">
        <v>893000000</v>
      </c>
      <c r="H843" t="n">
        <v>1</v>
      </c>
      <c r="I843" s="28" t="n">
        <v>46007</v>
      </c>
      <c r="J843" s="28" t="n">
        <v>46117</v>
      </c>
      <c r="K843" t="n">
        <v>110</v>
      </c>
      <c r="L843" t="inlineStr">
        <is>
          <t>Promesa de compraventa firmada</t>
        </is>
      </c>
    </row>
    <row r="844" ht="15.75" customHeight="1" s="25">
      <c r="A844" t="inlineStr">
        <is>
          <t>NEG-0842</t>
        </is>
      </c>
      <c r="B844" t="inlineStr">
        <is>
          <t>Valeria Toro Bedoya</t>
        </is>
      </c>
      <c r="C844" t="inlineStr">
        <is>
          <t>PRY-001</t>
        </is>
      </c>
      <c r="D844" t="inlineStr">
        <is>
          <t>Apto 704</t>
        </is>
      </c>
      <c r="E844" t="inlineStr">
        <is>
          <t>Luis Bedoya</t>
        </is>
      </c>
      <c r="F844" t="inlineStr">
        <is>
          <t>Perdido</t>
        </is>
      </c>
      <c r="G844" t="n">
        <v>683000000</v>
      </c>
      <c r="H844" t="n">
        <v>0</v>
      </c>
      <c r="I844" s="28" t="n">
        <v>46009</v>
      </c>
      <c r="J844" s="28" t="n">
        <v>46059</v>
      </c>
      <c r="K844" t="n">
        <v>50</v>
      </c>
      <c r="L844" t="inlineStr">
        <is>
          <t>Eligió otro proyecto</t>
        </is>
      </c>
    </row>
    <row r="845" ht="15.75" customHeight="1" s="25">
      <c r="A845" t="inlineStr">
        <is>
          <t>NEG-0843</t>
        </is>
      </c>
      <c r="B845" t="inlineStr">
        <is>
          <t>Jhon Valencia Osorio</t>
        </is>
      </c>
      <c r="C845" t="inlineStr">
        <is>
          <t>PRY-008</t>
        </is>
      </c>
      <c r="D845" t="inlineStr">
        <is>
          <t>Casa 106</t>
        </is>
      </c>
      <c r="E845" t="inlineStr">
        <is>
          <t>Miguel Salazar</t>
        </is>
      </c>
      <c r="F845" t="inlineStr">
        <is>
          <t>Ganado</t>
        </is>
      </c>
      <c r="G845" t="n">
        <v>164000000</v>
      </c>
      <c r="H845" t="n">
        <v>1</v>
      </c>
      <c r="I845" s="28" t="n">
        <v>46009</v>
      </c>
      <c r="J845" s="28" t="n">
        <v>46066</v>
      </c>
      <c r="K845" t="n">
        <v>57</v>
      </c>
      <c r="L845" t="inlineStr">
        <is>
          <t>Promesa de compraventa firmada</t>
        </is>
      </c>
    </row>
    <row r="846" ht="15.75" customHeight="1" s="25">
      <c r="A846" t="inlineStr">
        <is>
          <t>NEG-0844</t>
        </is>
      </c>
      <c r="B846" t="inlineStr">
        <is>
          <t>Santiago Ramírez Zuluaga</t>
        </is>
      </c>
      <c r="C846" t="inlineStr">
        <is>
          <t>PRY-001</t>
        </is>
      </c>
      <c r="D846" t="inlineStr">
        <is>
          <t>Apto 203</t>
        </is>
      </c>
      <c r="E846" t="inlineStr">
        <is>
          <t>Paula Arenas</t>
        </is>
      </c>
      <c r="F846" t="inlineStr">
        <is>
          <t>Ganado</t>
        </is>
      </c>
      <c r="G846" t="n">
        <v>714000000</v>
      </c>
      <c r="H846" t="n">
        <v>1</v>
      </c>
      <c r="I846" s="28" t="n">
        <v>46010</v>
      </c>
      <c r="J846" s="28" t="n">
        <v>46048</v>
      </c>
      <c r="K846" t="n">
        <v>38</v>
      </c>
      <c r="L846" t="inlineStr">
        <is>
          <t>Promesa de compraventa firmada</t>
        </is>
      </c>
    </row>
    <row r="847" ht="15.75" customHeight="1" s="25">
      <c r="A847" t="inlineStr">
        <is>
          <t>NEG-0845</t>
        </is>
      </c>
      <c r="B847" t="inlineStr">
        <is>
          <t>Esteban Osorio Cardona</t>
        </is>
      </c>
      <c r="C847" t="inlineStr">
        <is>
          <t>PRY-001</t>
        </is>
      </c>
      <c r="D847" t="inlineStr">
        <is>
          <t>Apto 504</t>
        </is>
      </c>
      <c r="E847" t="inlineStr">
        <is>
          <t>Luis Bedoya</t>
        </is>
      </c>
      <c r="F847" t="inlineStr">
        <is>
          <t>Ganado</t>
        </is>
      </c>
      <c r="G847" t="n">
        <v>776000000</v>
      </c>
      <c r="H847" t="n">
        <v>1</v>
      </c>
      <c r="I847" s="28" t="n">
        <v>46011</v>
      </c>
      <c r="J847" s="28" t="n">
        <v>46097</v>
      </c>
      <c r="K847" t="n">
        <v>86</v>
      </c>
      <c r="L847" t="inlineStr">
        <is>
          <t>Promesa de compraventa firmada</t>
        </is>
      </c>
    </row>
    <row r="848" ht="15.75" customHeight="1" s="25">
      <c r="A848" t="inlineStr">
        <is>
          <t>NEG-0846</t>
        </is>
      </c>
      <c r="B848" t="inlineStr">
        <is>
          <t>Wilson Arango Gómez</t>
        </is>
      </c>
      <c r="C848" t="inlineStr">
        <is>
          <t>PRY-006</t>
        </is>
      </c>
      <c r="D848" t="inlineStr">
        <is>
          <t>Local 16</t>
        </is>
      </c>
      <c r="E848" t="inlineStr">
        <is>
          <t>Sofía Prada</t>
        </is>
      </c>
      <c r="F848" t="inlineStr">
        <is>
          <t>Perdido</t>
        </is>
      </c>
      <c r="G848" t="n">
        <v>838000000</v>
      </c>
      <c r="H848" t="n">
        <v>0</v>
      </c>
      <c r="I848" s="28" t="n">
        <v>46012</v>
      </c>
      <c r="J848" s="28" t="n">
        <v>46103</v>
      </c>
      <c r="K848" t="n">
        <v>91</v>
      </c>
      <c r="L848" t="inlineStr">
        <is>
          <t>Precio fuera de presupuesto</t>
        </is>
      </c>
    </row>
    <row r="849" ht="15.75" customHeight="1" s="25">
      <c r="A849" t="inlineStr">
        <is>
          <t>NEG-0847</t>
        </is>
      </c>
      <c r="B849" t="inlineStr">
        <is>
          <t>Iván Palacio Vélez</t>
        </is>
      </c>
      <c r="C849" t="inlineStr">
        <is>
          <t>PRY-003</t>
        </is>
      </c>
      <c r="D849" t="inlineStr">
        <is>
          <t>Apto 1805</t>
        </is>
      </c>
      <c r="E849" t="inlineStr">
        <is>
          <t>Ana Quintero</t>
        </is>
      </c>
      <c r="F849" t="inlineStr">
        <is>
          <t>Perdido</t>
        </is>
      </c>
      <c r="G849" t="n">
        <v>336000000</v>
      </c>
      <c r="H849" t="n">
        <v>0</v>
      </c>
      <c r="I849" s="28" t="n">
        <v>46013</v>
      </c>
      <c r="J849" s="28" t="n">
        <v>46088</v>
      </c>
      <c r="K849" t="n">
        <v>75</v>
      </c>
      <c r="L849" t="inlineStr">
        <is>
          <t>Precio fuera de presupuesto</t>
        </is>
      </c>
    </row>
    <row r="850" ht="15.75" customHeight="1" s="25">
      <c r="A850" t="inlineStr">
        <is>
          <t>NEG-0848</t>
        </is>
      </c>
      <c r="B850" t="inlineStr">
        <is>
          <t>David Sánchez Pérez</t>
        </is>
      </c>
      <c r="C850" t="inlineStr">
        <is>
          <t>PRY-003</t>
        </is>
      </c>
      <c r="D850" t="inlineStr">
        <is>
          <t>Apto 507</t>
        </is>
      </c>
      <c r="E850" t="inlineStr">
        <is>
          <t>Paula Arenas</t>
        </is>
      </c>
      <c r="F850" t="inlineStr">
        <is>
          <t>Ganado</t>
        </is>
      </c>
      <c r="G850" t="n">
        <v>331000000</v>
      </c>
      <c r="H850" t="n">
        <v>1</v>
      </c>
      <c r="I850" s="28" t="n">
        <v>46018</v>
      </c>
      <c r="J850" s="28" t="n">
        <v>46056</v>
      </c>
      <c r="K850" t="n">
        <v>38</v>
      </c>
      <c r="L850" t="inlineStr">
        <is>
          <t>Promesa de compraventa firmada</t>
        </is>
      </c>
    </row>
    <row r="851" ht="15.75" customHeight="1" s="25">
      <c r="A851" t="inlineStr">
        <is>
          <t>NEG-0849</t>
        </is>
      </c>
      <c r="B851" t="inlineStr">
        <is>
          <t>Fernando Marín Arango</t>
        </is>
      </c>
      <c r="C851" t="inlineStr">
        <is>
          <t>PRY-008</t>
        </is>
      </c>
      <c r="D851" t="inlineStr">
        <is>
          <t>Casa 105</t>
        </is>
      </c>
      <c r="E851" t="inlineStr">
        <is>
          <t>Ana Quintero</t>
        </is>
      </c>
      <c r="F851" t="inlineStr">
        <is>
          <t>Perdido</t>
        </is>
      </c>
      <c r="G851" t="n">
        <v>181000000</v>
      </c>
      <c r="H851" t="n">
        <v>0</v>
      </c>
      <c r="I851" s="28" t="n">
        <v>46021</v>
      </c>
      <c r="J851" s="28" t="n">
        <v>46062</v>
      </c>
      <c r="K851" t="n">
        <v>41</v>
      </c>
      <c r="L851" t="inlineStr">
        <is>
          <t>Crédito no aprobado</t>
        </is>
      </c>
    </row>
    <row r="852" ht="15.75" customHeight="1" s="25">
      <c r="A852" t="inlineStr">
        <is>
          <t>NEG-0850</t>
        </is>
      </c>
      <c r="B852" t="inlineStr">
        <is>
          <t>Fernando Palacio Zapata</t>
        </is>
      </c>
      <c r="C852" t="inlineStr">
        <is>
          <t>PRY-003</t>
        </is>
      </c>
      <c r="D852" t="inlineStr">
        <is>
          <t>Apto 601</t>
        </is>
      </c>
      <c r="E852" t="inlineStr">
        <is>
          <t>Santiago Muñoz</t>
        </is>
      </c>
      <c r="F852" t="inlineStr">
        <is>
          <t>Ganado</t>
        </is>
      </c>
      <c r="G852" t="n">
        <v>370000000</v>
      </c>
      <c r="H852" t="n">
        <v>1</v>
      </c>
      <c r="I852" s="28" t="n">
        <v>46022</v>
      </c>
      <c r="J852" s="28" t="n">
        <v>46059</v>
      </c>
      <c r="K852" t="n">
        <v>37</v>
      </c>
      <c r="L852" t="inlineStr">
        <is>
          <t>Promesa de compraventa firmada</t>
        </is>
      </c>
    </row>
    <row r="853" ht="15.75" customHeight="1" s="25">
      <c r="A853" t="inlineStr">
        <is>
          <t>NEG-0851</t>
        </is>
      </c>
      <c r="B853" t="inlineStr">
        <is>
          <t>María Espinosa Franco</t>
        </is>
      </c>
      <c r="C853" t="inlineStr">
        <is>
          <t>PRY-003</t>
        </is>
      </c>
      <c r="D853" t="inlineStr">
        <is>
          <t>Apto 1105</t>
        </is>
      </c>
      <c r="E853" t="inlineStr">
        <is>
          <t>Andrés Torres</t>
        </is>
      </c>
      <c r="F853" t="inlineStr">
        <is>
          <t>Ganado</t>
        </is>
      </c>
      <c r="G853" t="n">
        <v>421000000</v>
      </c>
      <c r="H853" t="n">
        <v>1</v>
      </c>
      <c r="I853" s="28" t="n">
        <v>46022</v>
      </c>
      <c r="J853" s="28" t="n">
        <v>46092</v>
      </c>
      <c r="K853" t="n">
        <v>70</v>
      </c>
      <c r="L853" t="inlineStr">
        <is>
          <t>Promesa de compraventa firmada</t>
        </is>
      </c>
    </row>
    <row r="854" ht="15.75" customHeight="1" s="25">
      <c r="A854" t="inlineStr">
        <is>
          <t>NEG-0852</t>
        </is>
      </c>
      <c r="B854" t="inlineStr">
        <is>
          <t>Daniela Echeverri Higuita</t>
        </is>
      </c>
      <c r="C854" t="inlineStr">
        <is>
          <t>PRY-003</t>
        </is>
      </c>
      <c r="D854" t="inlineStr">
        <is>
          <t>Apto 1604</t>
        </is>
      </c>
      <c r="E854" t="inlineStr">
        <is>
          <t>Mateo Herrera</t>
        </is>
      </c>
      <c r="F854" t="inlineStr">
        <is>
          <t>Ganado</t>
        </is>
      </c>
      <c r="G854" t="n">
        <v>368000000</v>
      </c>
      <c r="H854" t="n">
        <v>1</v>
      </c>
      <c r="I854" s="28" t="n">
        <v>46023</v>
      </c>
      <c r="J854" s="28" t="n">
        <v>46069</v>
      </c>
      <c r="K854" t="n">
        <v>46</v>
      </c>
      <c r="L854" t="inlineStr">
        <is>
          <t>Promesa de compraventa firmada</t>
        </is>
      </c>
    </row>
    <row r="855" ht="15.75" customHeight="1" s="25">
      <c r="A855" t="inlineStr">
        <is>
          <t>NEG-0853</t>
        </is>
      </c>
      <c r="B855" t="inlineStr">
        <is>
          <t>Gabriel Cifuentes Henao</t>
        </is>
      </c>
      <c r="C855" t="inlineStr">
        <is>
          <t>PRY-006</t>
        </is>
      </c>
      <c r="D855" t="inlineStr">
        <is>
          <t>Local 25</t>
        </is>
      </c>
      <c r="E855" t="inlineStr">
        <is>
          <t>Luis Bedoya</t>
        </is>
      </c>
      <c r="F855" t="inlineStr">
        <is>
          <t>Ganado</t>
        </is>
      </c>
      <c r="G855" t="n">
        <v>492000000</v>
      </c>
      <c r="H855" t="n">
        <v>1</v>
      </c>
      <c r="I855" s="28" t="n">
        <v>46023</v>
      </c>
      <c r="J855" s="28" t="n">
        <v>46084</v>
      </c>
      <c r="K855" t="n">
        <v>61</v>
      </c>
      <c r="L855" t="inlineStr">
        <is>
          <t>Promesa de compraventa firmada</t>
        </is>
      </c>
    </row>
    <row r="856" ht="15.75" customHeight="1" s="25">
      <c r="A856" t="inlineStr">
        <is>
          <t>NEG-0854</t>
        </is>
      </c>
      <c r="B856" t="inlineStr">
        <is>
          <t>Camila Vásquez Ochoa</t>
        </is>
      </c>
      <c r="C856" t="inlineStr">
        <is>
          <t>PRY-002</t>
        </is>
      </c>
      <c r="D856" t="inlineStr">
        <is>
          <t>Casa 53</t>
        </is>
      </c>
      <c r="E856" t="inlineStr">
        <is>
          <t>Luis Bedoya</t>
        </is>
      </c>
      <c r="F856" t="inlineStr">
        <is>
          <t>Ganado</t>
        </is>
      </c>
      <c r="G856" t="n">
        <v>745000000</v>
      </c>
      <c r="H856" t="n">
        <v>1</v>
      </c>
      <c r="I856" s="28" t="n">
        <v>46024</v>
      </c>
      <c r="J856" s="28" t="n">
        <v>46089</v>
      </c>
      <c r="K856" t="n">
        <v>65</v>
      </c>
      <c r="L856" t="inlineStr">
        <is>
          <t>Promesa de compraventa firmada</t>
        </is>
      </c>
    </row>
    <row r="857" ht="15.75" customHeight="1" s="25">
      <c r="A857" t="inlineStr">
        <is>
          <t>NEG-0855</t>
        </is>
      </c>
      <c r="B857" t="inlineStr">
        <is>
          <t>Liliana Uribe Muñoz</t>
        </is>
      </c>
      <c r="C857" t="inlineStr">
        <is>
          <t>PRY-008</t>
        </is>
      </c>
      <c r="D857" t="inlineStr">
        <is>
          <t>Casa 27</t>
        </is>
      </c>
      <c r="E857" t="inlineStr">
        <is>
          <t>Mateo Herrera</t>
        </is>
      </c>
      <c r="F857" t="inlineStr">
        <is>
          <t>Ganado</t>
        </is>
      </c>
      <c r="G857" t="n">
        <v>176000000</v>
      </c>
      <c r="H857" t="n">
        <v>1</v>
      </c>
      <c r="I857" s="28" t="n">
        <v>46025</v>
      </c>
      <c r="J857" s="28" t="n">
        <v>46050</v>
      </c>
      <c r="K857" t="n">
        <v>25</v>
      </c>
      <c r="L857" t="inlineStr">
        <is>
          <t>Promesa de compraventa firmada</t>
        </is>
      </c>
    </row>
    <row r="858" ht="15.75" customHeight="1" s="25">
      <c r="A858" t="inlineStr">
        <is>
          <t>NEG-0856</t>
        </is>
      </c>
      <c r="B858" t="inlineStr">
        <is>
          <t>Manuela Echeverri Gaviria</t>
        </is>
      </c>
      <c r="C858" t="inlineStr">
        <is>
          <t>PRY-007</t>
        </is>
      </c>
      <c r="D858" t="inlineStr">
        <is>
          <t>Apto 1401</t>
        </is>
      </c>
      <c r="E858" t="inlineStr">
        <is>
          <t>Miguel Salazar</t>
        </is>
      </c>
      <c r="F858" t="inlineStr">
        <is>
          <t>Ganado</t>
        </is>
      </c>
      <c r="G858" t="n">
        <v>674000000</v>
      </c>
      <c r="H858" t="n">
        <v>1</v>
      </c>
      <c r="I858" s="28" t="n">
        <v>46026</v>
      </c>
      <c r="J858" s="28" t="n">
        <v>46104</v>
      </c>
      <c r="K858" t="n">
        <v>78</v>
      </c>
      <c r="L858" t="inlineStr">
        <is>
          <t>Promesa de compraventa firmada</t>
        </is>
      </c>
    </row>
    <row r="859" ht="15.75" customHeight="1" s="25">
      <c r="A859" t="inlineStr">
        <is>
          <t>NEG-0857</t>
        </is>
      </c>
      <c r="B859" t="inlineStr">
        <is>
          <t>Ximena Vargas Gaviria</t>
        </is>
      </c>
      <c r="C859" t="inlineStr">
        <is>
          <t>PRY-002</t>
        </is>
      </c>
      <c r="D859" t="inlineStr">
        <is>
          <t>Casa 20</t>
        </is>
      </c>
      <c r="E859" t="inlineStr">
        <is>
          <t>Luis Bedoya</t>
        </is>
      </c>
      <c r="F859" t="inlineStr">
        <is>
          <t>Perdido</t>
        </is>
      </c>
      <c r="G859" t="n">
        <v>800000000</v>
      </c>
      <c r="H859" t="n">
        <v>0</v>
      </c>
      <c r="I859" s="28" t="n">
        <v>46027</v>
      </c>
      <c r="J859" s="28" t="n">
        <v>46167</v>
      </c>
      <c r="K859" t="n">
        <v>140</v>
      </c>
      <c r="L859" t="inlineStr">
        <is>
          <t>Precio fuera de presupuesto</t>
        </is>
      </c>
    </row>
    <row r="860" ht="15.75" customHeight="1" s="25">
      <c r="A860" t="inlineStr">
        <is>
          <t>NEG-0858</t>
        </is>
      </c>
      <c r="B860" t="inlineStr">
        <is>
          <t>Fernando Sánchez Valencia</t>
        </is>
      </c>
      <c r="C860" t="inlineStr">
        <is>
          <t>PRY-001</t>
        </is>
      </c>
      <c r="D860" t="inlineStr">
        <is>
          <t>Apto 1802</t>
        </is>
      </c>
      <c r="E860" t="inlineStr">
        <is>
          <t>Ana Quintero</t>
        </is>
      </c>
      <c r="F860" t="inlineStr">
        <is>
          <t>Ganado</t>
        </is>
      </c>
      <c r="G860" t="n">
        <v>986000000</v>
      </c>
      <c r="H860" t="n">
        <v>1</v>
      </c>
      <c r="I860" s="28" t="n">
        <v>46028</v>
      </c>
      <c r="J860" s="28" t="n">
        <v>46132</v>
      </c>
      <c r="K860" t="n">
        <v>104</v>
      </c>
      <c r="L860" t="inlineStr">
        <is>
          <t>Promesa de compraventa firmada</t>
        </is>
      </c>
    </row>
    <row r="861" ht="15.75" customHeight="1" s="25">
      <c r="A861" t="inlineStr">
        <is>
          <t>NEG-0859</t>
        </is>
      </c>
      <c r="B861" t="inlineStr">
        <is>
          <t>Cristian Quintero Restrepo</t>
        </is>
      </c>
      <c r="C861" t="inlineStr">
        <is>
          <t>PRY-005</t>
        </is>
      </c>
      <c r="D861" t="inlineStr">
        <is>
          <t>Apto 708</t>
        </is>
      </c>
      <c r="E861" t="inlineStr">
        <is>
          <t>Sofía Prada</t>
        </is>
      </c>
      <c r="F861" t="inlineStr">
        <is>
          <t>Perdido</t>
        </is>
      </c>
      <c r="G861" t="n">
        <v>396000000</v>
      </c>
      <c r="H861" t="n">
        <v>0</v>
      </c>
      <c r="I861" s="28" t="n">
        <v>46028</v>
      </c>
      <c r="J861" s="28" t="n">
        <v>46069</v>
      </c>
      <c r="K861" t="n">
        <v>41</v>
      </c>
      <c r="L861" t="inlineStr">
        <is>
          <t>Crédito no aprobado</t>
        </is>
      </c>
    </row>
    <row r="862" ht="15.75" customHeight="1" s="25">
      <c r="A862" t="inlineStr">
        <is>
          <t>NEG-0860</t>
        </is>
      </c>
      <c r="B862" t="inlineStr">
        <is>
          <t>David Duque Ramírez</t>
        </is>
      </c>
      <c r="C862" t="inlineStr">
        <is>
          <t>PRY-007</t>
        </is>
      </c>
      <c r="D862" t="inlineStr">
        <is>
          <t>Apto 506</t>
        </is>
      </c>
      <c r="E862" t="inlineStr">
        <is>
          <t>Mateo Herrera</t>
        </is>
      </c>
      <c r="F862" t="inlineStr">
        <is>
          <t>Perdido</t>
        </is>
      </c>
      <c r="G862" t="n">
        <v>666000000</v>
      </c>
      <c r="H862" t="n">
        <v>0</v>
      </c>
      <c r="I862" s="28" t="n">
        <v>46028</v>
      </c>
      <c r="J862" s="28" t="n">
        <v>46090</v>
      </c>
      <c r="K862" t="n">
        <v>62</v>
      </c>
      <c r="L862" t="inlineStr">
        <is>
          <t>Desistió de la compra</t>
        </is>
      </c>
    </row>
    <row r="863" ht="15.75" customHeight="1" s="25">
      <c r="A863" t="inlineStr">
        <is>
          <t>NEG-0861</t>
        </is>
      </c>
      <c r="B863" t="inlineStr">
        <is>
          <t>Carolina Pérez Agudelo</t>
        </is>
      </c>
      <c r="C863" t="inlineStr">
        <is>
          <t>PRY-001</t>
        </is>
      </c>
      <c r="D863" t="inlineStr">
        <is>
          <t>Apto 1606</t>
        </is>
      </c>
      <c r="E863" t="inlineStr">
        <is>
          <t>Sofía Prada</t>
        </is>
      </c>
      <c r="F863" t="inlineStr">
        <is>
          <t>Ganado</t>
        </is>
      </c>
      <c r="G863" t="n">
        <v>734000000</v>
      </c>
      <c r="H863" t="n">
        <v>1</v>
      </c>
      <c r="I863" s="28" t="n">
        <v>46030</v>
      </c>
      <c r="J863" s="28" t="n">
        <v>46090</v>
      </c>
      <c r="K863" t="n">
        <v>60</v>
      </c>
      <c r="L863" t="inlineStr">
        <is>
          <t>Promesa de compraventa firmada</t>
        </is>
      </c>
    </row>
    <row r="864" ht="15.75" customHeight="1" s="25">
      <c r="A864" t="inlineStr">
        <is>
          <t>NEG-0862</t>
        </is>
      </c>
      <c r="B864" t="inlineStr">
        <is>
          <t>Manuela Montoya Ríos</t>
        </is>
      </c>
      <c r="C864" t="inlineStr">
        <is>
          <t>PRY-006</t>
        </is>
      </c>
      <c r="D864" t="inlineStr">
        <is>
          <t>Local 34</t>
        </is>
      </c>
      <c r="E864" t="inlineStr">
        <is>
          <t>Luis Bedoya</t>
        </is>
      </c>
      <c r="F864" t="inlineStr">
        <is>
          <t>Ganado</t>
        </is>
      </c>
      <c r="G864" t="n">
        <v>479000000</v>
      </c>
      <c r="H864" t="n">
        <v>1</v>
      </c>
      <c r="I864" s="28" t="n">
        <v>46030</v>
      </c>
      <c r="J864" s="28" t="n">
        <v>46130</v>
      </c>
      <c r="K864" t="n">
        <v>100</v>
      </c>
      <c r="L864" t="inlineStr">
        <is>
          <t>Promesa de compraventa firmada</t>
        </is>
      </c>
    </row>
    <row r="865" ht="15.75" customHeight="1" s="25">
      <c r="A865" t="inlineStr">
        <is>
          <t>NEG-0863</t>
        </is>
      </c>
      <c r="B865" t="inlineStr">
        <is>
          <t>Lorena Gaviria Escobar</t>
        </is>
      </c>
      <c r="C865" t="inlineStr">
        <is>
          <t>PRY-003</t>
        </is>
      </c>
      <c r="D865" t="inlineStr">
        <is>
          <t>Apto 1708</t>
        </is>
      </c>
      <c r="E865" t="inlineStr">
        <is>
          <t>Daniela Ríos</t>
        </is>
      </c>
      <c r="F865" t="inlineStr">
        <is>
          <t>Ganado</t>
        </is>
      </c>
      <c r="G865" t="n">
        <v>378000000</v>
      </c>
      <c r="H865" t="n">
        <v>1</v>
      </c>
      <c r="I865" s="28" t="n">
        <v>46034</v>
      </c>
      <c r="J865" s="28" t="n">
        <v>46060</v>
      </c>
      <c r="K865" t="n">
        <v>26</v>
      </c>
      <c r="L865" t="inlineStr">
        <is>
          <t>Promesa de compraventa firmada</t>
        </is>
      </c>
    </row>
    <row r="866" ht="15.75" customHeight="1" s="25">
      <c r="A866" t="inlineStr">
        <is>
          <t>NEG-0864</t>
        </is>
      </c>
      <c r="B866" t="inlineStr">
        <is>
          <t>Manuela Arango Londoño</t>
        </is>
      </c>
      <c r="C866" t="inlineStr">
        <is>
          <t>PRY-005</t>
        </is>
      </c>
      <c r="D866" t="inlineStr">
        <is>
          <t>Apto 604</t>
        </is>
      </c>
      <c r="E866" t="inlineStr">
        <is>
          <t>Sofía Prada</t>
        </is>
      </c>
      <c r="F866" t="inlineStr">
        <is>
          <t>Ganado</t>
        </is>
      </c>
      <c r="G866" t="n">
        <v>477000000</v>
      </c>
      <c r="H866" t="n">
        <v>1</v>
      </c>
      <c r="I866" s="28" t="n">
        <v>46034</v>
      </c>
      <c r="J866" s="28" t="n">
        <v>46085</v>
      </c>
      <c r="K866" t="n">
        <v>51</v>
      </c>
      <c r="L866" t="inlineStr">
        <is>
          <t>Promesa de compraventa firmada</t>
        </is>
      </c>
    </row>
    <row r="867" ht="15.75" customHeight="1" s="25">
      <c r="A867" t="inlineStr">
        <is>
          <t>NEG-0865</t>
        </is>
      </c>
      <c r="B867" t="inlineStr">
        <is>
          <t>Mauricio Ríos Osorio</t>
        </is>
      </c>
      <c r="C867" t="inlineStr">
        <is>
          <t>PRY-005</t>
        </is>
      </c>
      <c r="D867" t="inlineStr">
        <is>
          <t>Apto 504</t>
        </is>
      </c>
      <c r="E867" t="inlineStr">
        <is>
          <t>Luis Bedoya</t>
        </is>
      </c>
      <c r="F867" t="inlineStr">
        <is>
          <t>Perdido</t>
        </is>
      </c>
      <c r="G867" t="n">
        <v>477000000</v>
      </c>
      <c r="H867" t="n">
        <v>0</v>
      </c>
      <c r="I867" s="28" t="n">
        <v>46035</v>
      </c>
      <c r="J867" s="28" t="n">
        <v>46127</v>
      </c>
      <c r="K867" t="n">
        <v>92</v>
      </c>
      <c r="L867" t="inlineStr">
        <is>
          <t>Crédito no aprobado</t>
        </is>
      </c>
    </row>
    <row r="868" ht="15.75" customHeight="1" s="25">
      <c r="A868" t="inlineStr">
        <is>
          <t>NEG-0866</t>
        </is>
      </c>
      <c r="B868" t="inlineStr">
        <is>
          <t>Ricardo Salazar Palacio</t>
        </is>
      </c>
      <c r="C868" t="inlineStr">
        <is>
          <t>PRY-007</t>
        </is>
      </c>
      <c r="D868" t="inlineStr">
        <is>
          <t>Apto 705</t>
        </is>
      </c>
      <c r="E868" t="inlineStr">
        <is>
          <t>Andrés Torres</t>
        </is>
      </c>
      <c r="F868" t="inlineStr">
        <is>
          <t>Perdido</t>
        </is>
      </c>
      <c r="G868" t="n">
        <v>568000000</v>
      </c>
      <c r="H868" t="n">
        <v>0</v>
      </c>
      <c r="I868" s="28" t="n">
        <v>46037</v>
      </c>
      <c r="J868" s="28" t="n">
        <v>46141</v>
      </c>
      <c r="K868" t="n">
        <v>104</v>
      </c>
      <c r="L868" t="inlineStr">
        <is>
          <t>Crédito no aprobado</t>
        </is>
      </c>
    </row>
    <row r="869" ht="15.75" customHeight="1" s="25">
      <c r="A869" t="inlineStr">
        <is>
          <t>NEG-0867</t>
        </is>
      </c>
      <c r="B869" t="inlineStr">
        <is>
          <t>Sara Franco Pérez</t>
        </is>
      </c>
      <c r="C869" t="inlineStr">
        <is>
          <t>PRY-002</t>
        </is>
      </c>
      <c r="D869" t="inlineStr">
        <is>
          <t>Casa 42</t>
        </is>
      </c>
      <c r="E869" t="inlineStr">
        <is>
          <t>Ana Quintero</t>
        </is>
      </c>
      <c r="F869" t="inlineStr">
        <is>
          <t>Ganado</t>
        </is>
      </c>
      <c r="G869" t="n">
        <v>797000000</v>
      </c>
      <c r="H869" t="n">
        <v>1</v>
      </c>
      <c r="I869" s="28" t="n">
        <v>46040</v>
      </c>
      <c r="J869" s="28" t="n">
        <v>46157</v>
      </c>
      <c r="K869" t="n">
        <v>117</v>
      </c>
      <c r="L869" t="inlineStr">
        <is>
          <t>Promesa de compraventa firmada</t>
        </is>
      </c>
    </row>
    <row r="870" ht="15.75" customHeight="1" s="25">
      <c r="A870" t="inlineStr">
        <is>
          <t>NEG-0868</t>
        </is>
      </c>
      <c r="B870" t="inlineStr">
        <is>
          <t>Luisa Echeverri Franco</t>
        </is>
      </c>
      <c r="C870" t="inlineStr">
        <is>
          <t>PRY-005</t>
        </is>
      </c>
      <c r="D870" t="inlineStr">
        <is>
          <t>Apto 503</t>
        </is>
      </c>
      <c r="E870" t="inlineStr">
        <is>
          <t>Miguel Salazar</t>
        </is>
      </c>
      <c r="F870" t="inlineStr">
        <is>
          <t>Ganado</t>
        </is>
      </c>
      <c r="G870" t="n">
        <v>456000000</v>
      </c>
      <c r="H870" t="n">
        <v>1</v>
      </c>
      <c r="I870" s="28" t="n">
        <v>46040</v>
      </c>
      <c r="J870" s="28" t="n">
        <v>46075</v>
      </c>
      <c r="K870" t="n">
        <v>35</v>
      </c>
      <c r="L870" t="inlineStr">
        <is>
          <t>Promesa de compraventa firmada</t>
        </is>
      </c>
    </row>
    <row r="871" ht="15.75" customHeight="1" s="25">
      <c r="A871" t="inlineStr">
        <is>
          <t>NEG-0869</t>
        </is>
      </c>
      <c r="B871" t="inlineStr">
        <is>
          <t>Alejandro Castaño Echeverri</t>
        </is>
      </c>
      <c r="C871" t="inlineStr">
        <is>
          <t>PRY-003</t>
        </is>
      </c>
      <c r="D871" t="inlineStr">
        <is>
          <t>Apto 508</t>
        </is>
      </c>
      <c r="E871" t="inlineStr">
        <is>
          <t>Daniela Ríos</t>
        </is>
      </c>
      <c r="F871" t="inlineStr">
        <is>
          <t>Perdido</t>
        </is>
      </c>
      <c r="G871" t="n">
        <v>386000000</v>
      </c>
      <c r="H871" t="n">
        <v>0</v>
      </c>
      <c r="I871" s="28" t="n">
        <v>46041</v>
      </c>
      <c r="J871" s="28" t="n">
        <v>46068</v>
      </c>
      <c r="K871" t="n">
        <v>27</v>
      </c>
      <c r="L871" t="inlineStr">
        <is>
          <t>Precio fuera de presupuesto</t>
        </is>
      </c>
    </row>
    <row r="872" ht="15.75" customHeight="1" s="25">
      <c r="A872" t="inlineStr">
        <is>
          <t>NEG-0870</t>
        </is>
      </c>
      <c r="B872" t="inlineStr">
        <is>
          <t>Mateo Álvarez Peláez</t>
        </is>
      </c>
      <c r="C872" t="inlineStr">
        <is>
          <t>PRY-003</t>
        </is>
      </c>
      <c r="D872" t="inlineStr">
        <is>
          <t>Apto 2006</t>
        </is>
      </c>
      <c r="E872" t="inlineStr">
        <is>
          <t>Andrés Torres</t>
        </is>
      </c>
      <c r="F872" t="inlineStr">
        <is>
          <t>Ganado</t>
        </is>
      </c>
      <c r="G872" t="n">
        <v>445000000</v>
      </c>
      <c r="H872" t="n">
        <v>1</v>
      </c>
      <c r="I872" s="28" t="n">
        <v>46042</v>
      </c>
      <c r="J872" s="28" t="n">
        <v>46130</v>
      </c>
      <c r="K872" t="n">
        <v>88</v>
      </c>
      <c r="L872" t="inlineStr">
        <is>
          <t>Promesa de compraventa firmada</t>
        </is>
      </c>
    </row>
    <row r="873" ht="15.75" customHeight="1" s="25">
      <c r="A873" t="inlineStr">
        <is>
          <t>NEG-0871</t>
        </is>
      </c>
      <c r="B873" t="inlineStr">
        <is>
          <t>Tomás Echeverri Gómez</t>
        </is>
      </c>
      <c r="C873" t="inlineStr">
        <is>
          <t>PRY-008</t>
        </is>
      </c>
      <c r="D873" t="inlineStr">
        <is>
          <t>Casa 82</t>
        </is>
      </c>
      <c r="E873" t="inlineStr">
        <is>
          <t>Miguel Salazar</t>
        </is>
      </c>
      <c r="F873" t="inlineStr">
        <is>
          <t>Ganado</t>
        </is>
      </c>
      <c r="G873" t="n">
        <v>167000000</v>
      </c>
      <c r="H873" t="n">
        <v>1</v>
      </c>
      <c r="I873" s="28" t="n">
        <v>46043</v>
      </c>
      <c r="J873" s="28" t="n">
        <v>46063</v>
      </c>
      <c r="K873" t="n">
        <v>20</v>
      </c>
      <c r="L873" t="inlineStr">
        <is>
          <t>Promesa de compraventa firmada</t>
        </is>
      </c>
    </row>
    <row r="874" ht="15.75" customHeight="1" s="25">
      <c r="A874" t="inlineStr">
        <is>
          <t>NEG-0872</t>
        </is>
      </c>
      <c r="B874" t="inlineStr">
        <is>
          <t>Hernán Duque Castaño</t>
        </is>
      </c>
      <c r="C874" t="inlineStr">
        <is>
          <t>PRY-008</t>
        </is>
      </c>
      <c r="D874" t="inlineStr">
        <is>
          <t>Casa 38</t>
        </is>
      </c>
      <c r="E874" t="inlineStr">
        <is>
          <t>Luis Bedoya</t>
        </is>
      </c>
      <c r="F874" t="inlineStr">
        <is>
          <t>Ganado</t>
        </is>
      </c>
      <c r="G874" t="n">
        <v>170000000</v>
      </c>
      <c r="H874" t="n">
        <v>1</v>
      </c>
      <c r="I874" s="28" t="n">
        <v>46043</v>
      </c>
      <c r="J874" s="28" t="n">
        <v>46078</v>
      </c>
      <c r="K874" t="n">
        <v>35</v>
      </c>
      <c r="L874" t="inlineStr">
        <is>
          <t>Promesa de compraventa firmada</t>
        </is>
      </c>
    </row>
    <row r="875" ht="15.75" customHeight="1" s="25">
      <c r="A875" t="inlineStr">
        <is>
          <t>NEG-0873</t>
        </is>
      </c>
      <c r="B875" t="inlineStr">
        <is>
          <t>Wilson Salcedo Franco</t>
        </is>
      </c>
      <c r="C875" t="inlineStr">
        <is>
          <t>PRY-008</t>
        </is>
      </c>
      <c r="D875" t="inlineStr">
        <is>
          <t>Casa 87</t>
        </is>
      </c>
      <c r="E875" t="inlineStr">
        <is>
          <t>Mateo Herrera</t>
        </is>
      </c>
      <c r="F875" t="inlineStr">
        <is>
          <t>Ganado</t>
        </is>
      </c>
      <c r="G875" t="n">
        <v>187000000</v>
      </c>
      <c r="H875" t="n">
        <v>1</v>
      </c>
      <c r="I875" s="28" t="n">
        <v>46043</v>
      </c>
      <c r="J875" s="28" t="n">
        <v>46107</v>
      </c>
      <c r="K875" t="n">
        <v>64</v>
      </c>
      <c r="L875" t="inlineStr">
        <is>
          <t>Promesa de compraventa firmada</t>
        </is>
      </c>
    </row>
    <row r="876" ht="15.75" customHeight="1" s="25">
      <c r="A876" t="inlineStr">
        <is>
          <t>NEG-0874</t>
        </is>
      </c>
      <c r="B876" t="inlineStr">
        <is>
          <t>Camila Londoño Zuluaga</t>
        </is>
      </c>
      <c r="C876" t="inlineStr">
        <is>
          <t>PRY-001</t>
        </is>
      </c>
      <c r="D876" t="inlineStr">
        <is>
          <t>Apto 603</t>
        </is>
      </c>
      <c r="E876" t="inlineStr">
        <is>
          <t>Luis Bedoya</t>
        </is>
      </c>
      <c r="F876" t="inlineStr">
        <is>
          <t>Ganado</t>
        </is>
      </c>
      <c r="G876" t="n">
        <v>919000000</v>
      </c>
      <c r="H876" t="n">
        <v>1</v>
      </c>
      <c r="I876" s="28" t="n">
        <v>46044</v>
      </c>
      <c r="J876" s="28" t="n">
        <v>46159</v>
      </c>
      <c r="K876" t="n">
        <v>115</v>
      </c>
      <c r="L876" t="inlineStr">
        <is>
          <t>Promesa de compraventa firmada</t>
        </is>
      </c>
    </row>
    <row r="877" ht="15.75" customHeight="1" s="25">
      <c r="A877" t="inlineStr">
        <is>
          <t>NEG-0875</t>
        </is>
      </c>
      <c r="B877" t="inlineStr">
        <is>
          <t>Verónica Pérez Correa</t>
        </is>
      </c>
      <c r="C877" t="inlineStr">
        <is>
          <t>PRY-003</t>
        </is>
      </c>
      <c r="D877" t="inlineStr">
        <is>
          <t>Apto 2302</t>
        </is>
      </c>
      <c r="E877" t="inlineStr">
        <is>
          <t>Juliana Vélez</t>
        </is>
      </c>
      <c r="F877" t="inlineStr">
        <is>
          <t>Ganado</t>
        </is>
      </c>
      <c r="G877" t="n">
        <v>481000000</v>
      </c>
      <c r="H877" t="n">
        <v>1</v>
      </c>
      <c r="I877" s="28" t="n">
        <v>46044</v>
      </c>
      <c r="J877" s="28" t="n">
        <v>46097</v>
      </c>
      <c r="K877" t="n">
        <v>53</v>
      </c>
      <c r="L877" t="inlineStr">
        <is>
          <t>Promesa de compraventa firmada</t>
        </is>
      </c>
    </row>
    <row r="878" ht="15.75" customHeight="1" s="25">
      <c r="A878" t="inlineStr">
        <is>
          <t>NEG-0876</t>
        </is>
      </c>
      <c r="B878" t="inlineStr">
        <is>
          <t>María Quintero Espinosa</t>
        </is>
      </c>
      <c r="C878" t="inlineStr">
        <is>
          <t>PRY-007</t>
        </is>
      </c>
      <c r="D878" t="inlineStr">
        <is>
          <t>Apto 801</t>
        </is>
      </c>
      <c r="E878" t="inlineStr">
        <is>
          <t>Santiago Muñoz</t>
        </is>
      </c>
      <c r="F878" t="inlineStr">
        <is>
          <t>Ganado</t>
        </is>
      </c>
      <c r="G878" t="n">
        <v>764000000</v>
      </c>
      <c r="H878" t="n">
        <v>1</v>
      </c>
      <c r="I878" s="28" t="n">
        <v>46045</v>
      </c>
      <c r="J878" s="28" t="n">
        <v>46134</v>
      </c>
      <c r="K878" t="n">
        <v>89</v>
      </c>
      <c r="L878" t="inlineStr">
        <is>
          <t>Promesa de compraventa firmada</t>
        </is>
      </c>
    </row>
    <row r="879" ht="15.75" customHeight="1" s="25">
      <c r="A879" t="inlineStr">
        <is>
          <t>NEG-0877</t>
        </is>
      </c>
      <c r="B879" t="inlineStr">
        <is>
          <t>Santiago Montoya Muñoz</t>
        </is>
      </c>
      <c r="C879" t="inlineStr">
        <is>
          <t>PRY-007</t>
        </is>
      </c>
      <c r="D879" t="inlineStr">
        <is>
          <t>Apto 905</t>
        </is>
      </c>
      <c r="E879" t="inlineStr">
        <is>
          <t>Sofía Prada</t>
        </is>
      </c>
      <c r="F879" t="inlineStr">
        <is>
          <t>Ganado</t>
        </is>
      </c>
      <c r="G879" t="n">
        <v>756000000</v>
      </c>
      <c r="H879" t="n">
        <v>1</v>
      </c>
      <c r="I879" s="28" t="n">
        <v>46045</v>
      </c>
      <c r="J879" s="28" t="n">
        <v>46143</v>
      </c>
      <c r="K879" t="n">
        <v>98</v>
      </c>
      <c r="L879" t="inlineStr">
        <is>
          <t>Promesa de compraventa firmada</t>
        </is>
      </c>
    </row>
    <row r="880" ht="15.75" customHeight="1" s="25">
      <c r="A880" t="inlineStr">
        <is>
          <t>NEG-0878</t>
        </is>
      </c>
      <c r="B880" t="inlineStr">
        <is>
          <t>Camila Restrepo Espinosa</t>
        </is>
      </c>
      <c r="C880" t="inlineStr">
        <is>
          <t>PRY-005</t>
        </is>
      </c>
      <c r="D880" t="inlineStr">
        <is>
          <t>Apto 804</t>
        </is>
      </c>
      <c r="E880" t="inlineStr">
        <is>
          <t>Ana Quintero</t>
        </is>
      </c>
      <c r="F880" t="inlineStr">
        <is>
          <t>Perdido</t>
        </is>
      </c>
      <c r="G880" t="n">
        <v>442000000</v>
      </c>
      <c r="H880" t="n">
        <v>0</v>
      </c>
      <c r="I880" s="28" t="n">
        <v>46047</v>
      </c>
      <c r="J880" s="28" t="n">
        <v>46095</v>
      </c>
      <c r="K880" t="n">
        <v>48</v>
      </c>
      <c r="L880" t="inlineStr">
        <is>
          <t>Precio fuera de presupuesto</t>
        </is>
      </c>
    </row>
    <row r="881" ht="15.75" customHeight="1" s="25">
      <c r="A881" t="inlineStr">
        <is>
          <t>NEG-0879</t>
        </is>
      </c>
      <c r="B881" t="inlineStr">
        <is>
          <t>Katherine Giraldo Muñoz</t>
        </is>
      </c>
      <c r="C881" t="inlineStr">
        <is>
          <t>PRY-007</t>
        </is>
      </c>
      <c r="D881" t="inlineStr">
        <is>
          <t>Apto 1304</t>
        </is>
      </c>
      <c r="E881" t="inlineStr">
        <is>
          <t>Paula Arenas</t>
        </is>
      </c>
      <c r="F881" t="inlineStr">
        <is>
          <t>Ganado</t>
        </is>
      </c>
      <c r="G881" t="n">
        <v>826000000</v>
      </c>
      <c r="H881" t="n">
        <v>1</v>
      </c>
      <c r="I881" s="28" t="n">
        <v>46047</v>
      </c>
      <c r="J881" s="28" t="n">
        <v>46094</v>
      </c>
      <c r="K881" t="n">
        <v>47</v>
      </c>
      <c r="L881" t="inlineStr">
        <is>
          <t>Promesa de compraventa firmada</t>
        </is>
      </c>
    </row>
    <row r="882" ht="15.75" customHeight="1" s="25">
      <c r="A882" t="inlineStr">
        <is>
          <t>NEG-0880</t>
        </is>
      </c>
      <c r="B882" t="inlineStr">
        <is>
          <t>Alejandro Jaramillo Echeverri</t>
        </is>
      </c>
      <c r="C882" t="inlineStr">
        <is>
          <t>PRY-001</t>
        </is>
      </c>
      <c r="D882" t="inlineStr">
        <is>
          <t>Apto 2004</t>
        </is>
      </c>
      <c r="E882" t="inlineStr">
        <is>
          <t>Juliana Vélez</t>
        </is>
      </c>
      <c r="F882" t="inlineStr">
        <is>
          <t>Perdido</t>
        </is>
      </c>
      <c r="G882" t="n">
        <v>729000000</v>
      </c>
      <c r="H882" t="n">
        <v>0</v>
      </c>
      <c r="I882" s="28" t="n">
        <v>46049</v>
      </c>
      <c r="J882" s="28" t="n">
        <v>46158</v>
      </c>
      <c r="K882" t="n">
        <v>109</v>
      </c>
      <c r="L882" t="inlineStr">
        <is>
          <t>Crédito no aprobado</t>
        </is>
      </c>
    </row>
    <row r="883" ht="15.75" customHeight="1" s="25">
      <c r="A883" t="inlineStr">
        <is>
          <t>NEG-0881</t>
        </is>
      </c>
      <c r="B883" t="inlineStr">
        <is>
          <t>Sebastián Salazar Restrepo</t>
        </is>
      </c>
      <c r="C883" t="inlineStr">
        <is>
          <t>PRY-005</t>
        </is>
      </c>
      <c r="D883" t="inlineStr">
        <is>
          <t>Apto 908</t>
        </is>
      </c>
      <c r="E883" t="inlineStr">
        <is>
          <t>Luis Bedoya</t>
        </is>
      </c>
      <c r="F883" t="inlineStr">
        <is>
          <t>Perdido</t>
        </is>
      </c>
      <c r="G883" t="n">
        <v>376000000</v>
      </c>
      <c r="H883" t="n">
        <v>0</v>
      </c>
      <c r="I883" s="28" t="n">
        <v>46052</v>
      </c>
      <c r="J883" s="28" t="n">
        <v>46156</v>
      </c>
      <c r="K883" t="n">
        <v>104</v>
      </c>
      <c r="L883" t="inlineStr">
        <is>
          <t>No volvió a responder</t>
        </is>
      </c>
    </row>
    <row r="884" ht="15.75" customHeight="1" s="25">
      <c r="A884" t="inlineStr">
        <is>
          <t>NEG-0882</t>
        </is>
      </c>
      <c r="B884" t="inlineStr">
        <is>
          <t>Valentina Salcedo Castaño</t>
        </is>
      </c>
      <c r="C884" t="inlineStr">
        <is>
          <t>PRY-006</t>
        </is>
      </c>
      <c r="D884" t="inlineStr">
        <is>
          <t>Local 22</t>
        </is>
      </c>
      <c r="E884" t="inlineStr">
        <is>
          <t>Sofía Prada</t>
        </is>
      </c>
      <c r="F884" t="inlineStr">
        <is>
          <t>Ganado</t>
        </is>
      </c>
      <c r="G884" t="n">
        <v>812000000</v>
      </c>
      <c r="H884" t="n">
        <v>1</v>
      </c>
      <c r="I884" s="28" t="n">
        <v>46052</v>
      </c>
      <c r="J884" s="28" t="n">
        <v>46146</v>
      </c>
      <c r="K884" t="n">
        <v>94</v>
      </c>
      <c r="L884" t="inlineStr">
        <is>
          <t>Promesa de compraventa firmada</t>
        </is>
      </c>
    </row>
    <row r="885" ht="15.75" customHeight="1" s="25">
      <c r="A885" t="inlineStr">
        <is>
          <t>NEG-0883</t>
        </is>
      </c>
      <c r="B885" t="inlineStr">
        <is>
          <t>Rodrigo Marín Hernández</t>
        </is>
      </c>
      <c r="C885" t="inlineStr">
        <is>
          <t>PRY-006</t>
        </is>
      </c>
      <c r="D885" t="inlineStr">
        <is>
          <t>Local 31</t>
        </is>
      </c>
      <c r="E885" t="inlineStr">
        <is>
          <t>Santiago Muñoz</t>
        </is>
      </c>
      <c r="F885" t="inlineStr">
        <is>
          <t>Ganado</t>
        </is>
      </c>
      <c r="G885" t="n">
        <v>547000000</v>
      </c>
      <c r="H885" t="n">
        <v>1</v>
      </c>
      <c r="I885" s="28" t="n">
        <v>46053</v>
      </c>
      <c r="J885" s="28" t="n">
        <v>46105</v>
      </c>
      <c r="K885" t="n">
        <v>52</v>
      </c>
      <c r="L885" t="inlineStr">
        <is>
          <t>Promesa de compraventa firmada</t>
        </is>
      </c>
    </row>
    <row r="886" ht="15.75" customHeight="1" s="25">
      <c r="A886" t="inlineStr">
        <is>
          <t>NEG-0884</t>
        </is>
      </c>
      <c r="B886" t="inlineStr">
        <is>
          <t>Emilio Sánchez Gómez</t>
        </is>
      </c>
      <c r="C886" t="inlineStr">
        <is>
          <t>PRY-003</t>
        </is>
      </c>
      <c r="D886" t="inlineStr">
        <is>
          <t>Apto 502</t>
        </is>
      </c>
      <c r="E886" t="inlineStr">
        <is>
          <t>Luis Bedoya</t>
        </is>
      </c>
      <c r="F886" t="inlineStr">
        <is>
          <t>Ganado</t>
        </is>
      </c>
      <c r="G886" t="n">
        <v>327000000</v>
      </c>
      <c r="H886" t="n">
        <v>1</v>
      </c>
      <c r="I886" s="28" t="n">
        <v>46054</v>
      </c>
      <c r="J886" s="28" t="n">
        <v>46083</v>
      </c>
      <c r="K886" t="n">
        <v>29</v>
      </c>
      <c r="L886" t="inlineStr">
        <is>
          <t>Promesa de compraventa firmada</t>
        </is>
      </c>
    </row>
    <row r="887" ht="15.75" customHeight="1" s="25">
      <c r="A887" t="inlineStr">
        <is>
          <t>NEG-0885</t>
        </is>
      </c>
      <c r="B887" t="inlineStr">
        <is>
          <t>Jhon Arango Quintero</t>
        </is>
      </c>
      <c r="C887" t="inlineStr">
        <is>
          <t>PRY-003</t>
        </is>
      </c>
      <c r="D887" t="inlineStr">
        <is>
          <t>Apto 406</t>
        </is>
      </c>
      <c r="E887" t="inlineStr">
        <is>
          <t>Ana Quintero</t>
        </is>
      </c>
      <c r="F887" t="inlineStr">
        <is>
          <t>Ganado</t>
        </is>
      </c>
      <c r="G887" t="n">
        <v>426000000</v>
      </c>
      <c r="H887" t="n">
        <v>1</v>
      </c>
      <c r="I887" s="28" t="n">
        <v>46054</v>
      </c>
      <c r="J887" s="28" t="n">
        <v>46101</v>
      </c>
      <c r="K887" t="n">
        <v>47</v>
      </c>
      <c r="L887" t="inlineStr">
        <is>
          <t>Promesa de compraventa firmada</t>
        </is>
      </c>
    </row>
    <row r="888" ht="15.75" customHeight="1" s="25">
      <c r="A888" t="inlineStr">
        <is>
          <t>NEG-0886</t>
        </is>
      </c>
      <c r="B888" t="inlineStr">
        <is>
          <t>Alejandra Muñoz Cifuentes</t>
        </is>
      </c>
      <c r="C888" t="inlineStr">
        <is>
          <t>PRY-001</t>
        </is>
      </c>
      <c r="D888" t="inlineStr">
        <is>
          <t>Apto 503</t>
        </is>
      </c>
      <c r="E888" t="inlineStr">
        <is>
          <t>Luis Bedoya</t>
        </is>
      </c>
      <c r="F888" t="inlineStr">
        <is>
          <t>Perdido</t>
        </is>
      </c>
      <c r="G888" t="n">
        <v>723000000</v>
      </c>
      <c r="H888" t="n">
        <v>0</v>
      </c>
      <c r="I888" s="28" t="n">
        <v>46055</v>
      </c>
      <c r="J888" s="28" t="n">
        <v>46096</v>
      </c>
      <c r="K888" t="n">
        <v>41</v>
      </c>
      <c r="L888" t="inlineStr">
        <is>
          <t>Precio fuera de presupuesto</t>
        </is>
      </c>
    </row>
    <row r="889" ht="15.75" customHeight="1" s="25">
      <c r="A889" t="inlineStr">
        <is>
          <t>NEG-0887</t>
        </is>
      </c>
      <c r="B889" t="inlineStr">
        <is>
          <t>Isabel Vélez Gómez</t>
        </is>
      </c>
      <c r="C889" t="inlineStr">
        <is>
          <t>PRY-001</t>
        </is>
      </c>
      <c r="D889" t="inlineStr">
        <is>
          <t>Apto 1501</t>
        </is>
      </c>
      <c r="E889" t="inlineStr">
        <is>
          <t>Paula Arenas</t>
        </is>
      </c>
      <c r="F889" t="inlineStr">
        <is>
          <t>Perdido</t>
        </is>
      </c>
      <c r="G889" t="n">
        <v>755000000</v>
      </c>
      <c r="H889" t="n">
        <v>0</v>
      </c>
      <c r="I889" s="28" t="n">
        <v>46055</v>
      </c>
      <c r="J889" s="28" t="n">
        <v>46104</v>
      </c>
      <c r="K889" t="n">
        <v>49</v>
      </c>
      <c r="L889" t="inlineStr">
        <is>
          <t>Precio fuera de presupuesto</t>
        </is>
      </c>
    </row>
    <row r="890" ht="15.75" customHeight="1" s="25">
      <c r="A890" t="inlineStr">
        <is>
          <t>NEG-0888</t>
        </is>
      </c>
      <c r="B890" t="inlineStr">
        <is>
          <t>Sara Londoño Cardona</t>
        </is>
      </c>
      <c r="C890" t="inlineStr">
        <is>
          <t>PRY-003</t>
        </is>
      </c>
      <c r="D890" t="inlineStr">
        <is>
          <t>Apto 2103</t>
        </is>
      </c>
      <c r="E890" t="inlineStr">
        <is>
          <t>Luis Bedoya</t>
        </is>
      </c>
      <c r="F890" t="inlineStr">
        <is>
          <t>Ganado</t>
        </is>
      </c>
      <c r="G890" t="n">
        <v>365000000</v>
      </c>
      <c r="H890" t="n">
        <v>1</v>
      </c>
      <c r="I890" s="28" t="n">
        <v>46055</v>
      </c>
      <c r="J890" s="28" t="n">
        <v>46109</v>
      </c>
      <c r="K890" t="n">
        <v>54</v>
      </c>
      <c r="L890" t="inlineStr">
        <is>
          <t>Promesa de compraventa firmada</t>
        </is>
      </c>
    </row>
    <row r="891" ht="15.75" customHeight="1" s="25">
      <c r="A891" t="inlineStr">
        <is>
          <t>NEG-0889</t>
        </is>
      </c>
      <c r="B891" t="inlineStr">
        <is>
          <t>Alejandra Pérez Cifuentes</t>
        </is>
      </c>
      <c r="C891" t="inlineStr">
        <is>
          <t>PRY-002</t>
        </is>
      </c>
      <c r="D891" t="inlineStr">
        <is>
          <t>Casa 15</t>
        </is>
      </c>
      <c r="E891" t="inlineStr">
        <is>
          <t>Santiago Muñoz</t>
        </is>
      </c>
      <c r="F891" t="inlineStr">
        <is>
          <t>Ganado</t>
        </is>
      </c>
      <c r="G891" t="n">
        <v>768000000</v>
      </c>
      <c r="H891" t="n">
        <v>1</v>
      </c>
      <c r="I891" s="28" t="n">
        <v>46057</v>
      </c>
      <c r="J891" s="28" t="n">
        <v>46203</v>
      </c>
      <c r="K891" t="n">
        <v>146</v>
      </c>
      <c r="L891" t="inlineStr">
        <is>
          <t>Promesa de compraventa firmada</t>
        </is>
      </c>
    </row>
    <row r="892" ht="15.75" customHeight="1" s="25">
      <c r="A892" t="inlineStr">
        <is>
          <t>NEG-0890</t>
        </is>
      </c>
      <c r="B892" t="inlineStr">
        <is>
          <t>Gloria Espinosa Cano</t>
        </is>
      </c>
      <c r="C892" t="inlineStr">
        <is>
          <t>PRY-008</t>
        </is>
      </c>
      <c r="D892" t="inlineStr">
        <is>
          <t>Casa 56</t>
        </is>
      </c>
      <c r="E892" t="inlineStr">
        <is>
          <t>Santiago Muñoz</t>
        </is>
      </c>
      <c r="F892" t="inlineStr">
        <is>
          <t>Perdido</t>
        </is>
      </c>
      <c r="G892" t="n">
        <v>183000000</v>
      </c>
      <c r="H892" t="n">
        <v>0</v>
      </c>
      <c r="I892" s="28" t="n">
        <v>46057</v>
      </c>
      <c r="J892" s="28" t="n">
        <v>46094</v>
      </c>
      <c r="K892" t="n">
        <v>37</v>
      </c>
      <c r="L892" t="inlineStr">
        <is>
          <t>Desistió de la compra</t>
        </is>
      </c>
    </row>
    <row r="893" ht="15.75" customHeight="1" s="25">
      <c r="A893" t="inlineStr">
        <is>
          <t>NEG-0891</t>
        </is>
      </c>
      <c r="B893" t="inlineStr">
        <is>
          <t>Emilio Londoño Bedoya</t>
        </is>
      </c>
      <c r="C893" t="inlineStr">
        <is>
          <t>PRY-001</t>
        </is>
      </c>
      <c r="D893" t="inlineStr">
        <is>
          <t>Apto 1803</t>
        </is>
      </c>
      <c r="E893" t="inlineStr">
        <is>
          <t>Miguel Salazar</t>
        </is>
      </c>
      <c r="F893" t="inlineStr">
        <is>
          <t>Ganado</t>
        </is>
      </c>
      <c r="G893" t="n">
        <v>896000000</v>
      </c>
      <c r="H893" t="n">
        <v>1</v>
      </c>
      <c r="I893" s="28" t="n">
        <v>46058</v>
      </c>
      <c r="J893" s="28" t="n">
        <v>46107</v>
      </c>
      <c r="K893" t="n">
        <v>49</v>
      </c>
      <c r="L893" t="inlineStr">
        <is>
          <t>Promesa de compraventa firmada</t>
        </is>
      </c>
    </row>
    <row r="894" ht="15.75" customHeight="1" s="25">
      <c r="A894" t="inlineStr">
        <is>
          <t>NEG-0892</t>
        </is>
      </c>
      <c r="B894" t="inlineStr">
        <is>
          <t>Sandra Echeverri Ramírez</t>
        </is>
      </c>
      <c r="C894" t="inlineStr">
        <is>
          <t>PRY-005</t>
        </is>
      </c>
      <c r="D894" t="inlineStr">
        <is>
          <t>Apto 402</t>
        </is>
      </c>
      <c r="E894" t="inlineStr">
        <is>
          <t>Daniela Ríos</t>
        </is>
      </c>
      <c r="F894" t="inlineStr">
        <is>
          <t>Ganado</t>
        </is>
      </c>
      <c r="G894" t="n">
        <v>386000000</v>
      </c>
      <c r="H894" t="n">
        <v>1</v>
      </c>
      <c r="I894" s="28" t="n">
        <v>46059</v>
      </c>
      <c r="J894" s="28" t="n">
        <v>46151</v>
      </c>
      <c r="K894" t="n">
        <v>92</v>
      </c>
      <c r="L894" t="inlineStr">
        <is>
          <t>Promesa de compraventa firmada</t>
        </is>
      </c>
    </row>
    <row r="895" ht="15.75" customHeight="1" s="25">
      <c r="A895" t="inlineStr">
        <is>
          <t>NEG-0893</t>
        </is>
      </c>
      <c r="B895" t="inlineStr">
        <is>
          <t>Andrés Gaviria Henao</t>
        </is>
      </c>
      <c r="C895" t="inlineStr">
        <is>
          <t>PRY-007</t>
        </is>
      </c>
      <c r="D895" t="inlineStr">
        <is>
          <t>Apto 703</t>
        </is>
      </c>
      <c r="E895" t="inlineStr">
        <is>
          <t>Santiago Muñoz</t>
        </is>
      </c>
      <c r="F895" t="inlineStr">
        <is>
          <t>Ganado</t>
        </is>
      </c>
      <c r="G895" t="n">
        <v>621000000</v>
      </c>
      <c r="H895" t="n">
        <v>1</v>
      </c>
      <c r="I895" s="28" t="n">
        <v>46059</v>
      </c>
      <c r="J895" s="28" t="n">
        <v>46152</v>
      </c>
      <c r="K895" t="n">
        <v>93</v>
      </c>
      <c r="L895" t="inlineStr">
        <is>
          <t>Promesa de compraventa firmada</t>
        </is>
      </c>
    </row>
    <row r="896" ht="15.75" customHeight="1" s="25">
      <c r="A896" t="inlineStr">
        <is>
          <t>NEG-0894</t>
        </is>
      </c>
      <c r="B896" t="inlineStr">
        <is>
          <t>Alejandra Betancur Zuluaga</t>
        </is>
      </c>
      <c r="C896" t="inlineStr">
        <is>
          <t>PRY-003</t>
        </is>
      </c>
      <c r="D896" t="inlineStr">
        <is>
          <t>Apto 2007</t>
        </is>
      </c>
      <c r="E896" t="inlineStr">
        <is>
          <t>Paula Arenas</t>
        </is>
      </c>
      <c r="F896" t="inlineStr">
        <is>
          <t>Perdido</t>
        </is>
      </c>
      <c r="G896" t="n">
        <v>462000000</v>
      </c>
      <c r="H896" t="n">
        <v>0</v>
      </c>
      <c r="I896" s="28" t="n">
        <v>46061</v>
      </c>
      <c r="J896" s="28" t="n">
        <v>46112</v>
      </c>
      <c r="K896" t="n">
        <v>51</v>
      </c>
      <c r="L896" t="inlineStr">
        <is>
          <t>Eligió otro proyecto</t>
        </is>
      </c>
    </row>
    <row r="897" ht="15.75" customHeight="1" s="25">
      <c r="A897" t="inlineStr">
        <is>
          <t>NEG-0895</t>
        </is>
      </c>
      <c r="B897" t="inlineStr">
        <is>
          <t>Cristian Espinosa Mejía</t>
        </is>
      </c>
      <c r="C897" t="inlineStr">
        <is>
          <t>PRY-005</t>
        </is>
      </c>
      <c r="D897" t="inlineStr">
        <is>
          <t>Casa 49</t>
        </is>
      </c>
      <c r="E897" t="inlineStr">
        <is>
          <t>Paula Arenas</t>
        </is>
      </c>
      <c r="F897" t="inlineStr">
        <is>
          <t>Ganado</t>
        </is>
      </c>
      <c r="G897" t="n">
        <v>419000000</v>
      </c>
      <c r="H897" t="n">
        <v>1</v>
      </c>
      <c r="I897" s="28" t="n">
        <v>46062</v>
      </c>
      <c r="J897" s="28" t="n">
        <v>46172</v>
      </c>
      <c r="K897" t="n">
        <v>110</v>
      </c>
      <c r="L897" t="inlineStr">
        <is>
          <t>Promesa de compraventa firmada</t>
        </is>
      </c>
    </row>
    <row r="898" ht="15.75" customHeight="1" s="25">
      <c r="A898" t="inlineStr">
        <is>
          <t>NEG-0896</t>
        </is>
      </c>
      <c r="B898" t="inlineStr">
        <is>
          <t>Juliana Arango Pérez</t>
        </is>
      </c>
      <c r="C898" t="inlineStr">
        <is>
          <t>PRY-003</t>
        </is>
      </c>
      <c r="D898" t="inlineStr">
        <is>
          <t>Apto 1304</t>
        </is>
      </c>
      <c r="E898" t="inlineStr">
        <is>
          <t>Daniela Ríos</t>
        </is>
      </c>
      <c r="F898" t="inlineStr">
        <is>
          <t>Perdido</t>
        </is>
      </c>
      <c r="G898" t="n">
        <v>445000000</v>
      </c>
      <c r="H898" t="n">
        <v>0</v>
      </c>
      <c r="I898" s="28" t="n">
        <v>46063</v>
      </c>
      <c r="J898" s="28" t="n">
        <v>46098</v>
      </c>
      <c r="K898" t="n">
        <v>35</v>
      </c>
      <c r="L898" t="inlineStr">
        <is>
          <t>No volvió a responder</t>
        </is>
      </c>
    </row>
    <row r="899" ht="15.75" customHeight="1" s="25">
      <c r="A899" t="inlineStr">
        <is>
          <t>NEG-0897</t>
        </is>
      </c>
      <c r="B899" t="inlineStr">
        <is>
          <t>Marcela Higuita Rojas</t>
        </is>
      </c>
      <c r="C899" t="inlineStr">
        <is>
          <t>PRY-008</t>
        </is>
      </c>
      <c r="D899" t="inlineStr">
        <is>
          <t>Casa 24</t>
        </is>
      </c>
      <c r="E899" t="inlineStr">
        <is>
          <t>Juliana Vélez</t>
        </is>
      </c>
      <c r="F899" t="inlineStr">
        <is>
          <t>Ganado</t>
        </is>
      </c>
      <c r="G899" t="n">
        <v>168000000</v>
      </c>
      <c r="H899" t="n">
        <v>1</v>
      </c>
      <c r="I899" s="28" t="n">
        <v>46065</v>
      </c>
      <c r="J899" s="28" t="n">
        <v>46090</v>
      </c>
      <c r="K899" t="n">
        <v>25</v>
      </c>
      <c r="L899" t="inlineStr">
        <is>
          <t>Promesa de compraventa firmada</t>
        </is>
      </c>
    </row>
    <row r="900" ht="15.75" customHeight="1" s="25">
      <c r="A900" t="inlineStr">
        <is>
          <t>NEG-0898</t>
        </is>
      </c>
      <c r="B900" t="inlineStr">
        <is>
          <t>Jorge Uribe Correa</t>
        </is>
      </c>
      <c r="C900" t="inlineStr">
        <is>
          <t>PRY-008</t>
        </is>
      </c>
      <c r="D900" t="inlineStr">
        <is>
          <t>Casa 30</t>
        </is>
      </c>
      <c r="E900" t="inlineStr">
        <is>
          <t>Juliana Vélez</t>
        </is>
      </c>
      <c r="F900" t="inlineStr">
        <is>
          <t>Perdido</t>
        </is>
      </c>
      <c r="G900" t="n">
        <v>161000000</v>
      </c>
      <c r="H900" t="n">
        <v>0</v>
      </c>
      <c r="I900" s="28" t="n">
        <v>46065</v>
      </c>
      <c r="J900" s="28" t="n">
        <v>46086</v>
      </c>
      <c r="K900" t="n">
        <v>21</v>
      </c>
      <c r="L900" t="inlineStr">
        <is>
          <t>Precio fuera de presupuesto</t>
        </is>
      </c>
    </row>
    <row r="901" ht="15.75" customHeight="1" s="25">
      <c r="A901" t="inlineStr">
        <is>
          <t>NEG-0899</t>
        </is>
      </c>
      <c r="B901" t="inlineStr">
        <is>
          <t>Jorge Pérez Salazar</t>
        </is>
      </c>
      <c r="C901" t="inlineStr">
        <is>
          <t>PRY-005</t>
        </is>
      </c>
      <c r="D901" t="inlineStr">
        <is>
          <t>Casa 45</t>
        </is>
      </c>
      <c r="E901" t="inlineStr">
        <is>
          <t>Mateo Herrera</t>
        </is>
      </c>
      <c r="F901" t="inlineStr">
        <is>
          <t>Ganado</t>
        </is>
      </c>
      <c r="G901" t="n">
        <v>362000000</v>
      </c>
      <c r="H901" t="n">
        <v>1</v>
      </c>
      <c r="I901" s="28" t="n">
        <v>46066</v>
      </c>
      <c r="J901" s="28" t="n">
        <v>46110</v>
      </c>
      <c r="K901" t="n">
        <v>44</v>
      </c>
      <c r="L901" t="inlineStr">
        <is>
          <t>Promesa de compraventa firmada</t>
        </is>
      </c>
    </row>
    <row r="902" ht="15.75" customHeight="1" s="25">
      <c r="A902" t="inlineStr">
        <is>
          <t>NEG-0900</t>
        </is>
      </c>
      <c r="B902" t="inlineStr">
        <is>
          <t>Emilio Ochoa Restrepo</t>
        </is>
      </c>
      <c r="C902" t="inlineStr">
        <is>
          <t>PRY-003</t>
        </is>
      </c>
      <c r="D902" t="inlineStr">
        <is>
          <t>Apto 1607</t>
        </is>
      </c>
      <c r="E902" t="inlineStr">
        <is>
          <t>Ana Quintero</t>
        </is>
      </c>
      <c r="F902" t="inlineStr">
        <is>
          <t>Ganado</t>
        </is>
      </c>
      <c r="G902" t="n">
        <v>432000000</v>
      </c>
      <c r="H902" t="n">
        <v>1</v>
      </c>
      <c r="I902" s="28" t="n">
        <v>46067</v>
      </c>
      <c r="J902" s="28" t="n">
        <v>46093</v>
      </c>
      <c r="K902" t="n">
        <v>26</v>
      </c>
      <c r="L902" t="inlineStr">
        <is>
          <t>Promesa de compraventa firmada</t>
        </is>
      </c>
    </row>
    <row r="903" ht="15.75" customHeight="1" s="25">
      <c r="A903" t="inlineStr">
        <is>
          <t>NEG-0901</t>
        </is>
      </c>
      <c r="B903" t="inlineStr">
        <is>
          <t>Gloria Montoya Castaño</t>
        </is>
      </c>
      <c r="C903" t="inlineStr">
        <is>
          <t>PRY-005</t>
        </is>
      </c>
      <c r="D903" t="inlineStr">
        <is>
          <t>Apto 1303</t>
        </is>
      </c>
      <c r="E903" t="inlineStr">
        <is>
          <t>Juliana Vélez</t>
        </is>
      </c>
      <c r="F903" t="inlineStr">
        <is>
          <t>Ganado</t>
        </is>
      </c>
      <c r="G903" t="n">
        <v>495000000</v>
      </c>
      <c r="H903" t="n">
        <v>1</v>
      </c>
      <c r="I903" s="28" t="n">
        <v>46067</v>
      </c>
      <c r="J903" s="28" t="n">
        <v>46141</v>
      </c>
      <c r="K903" t="n">
        <v>74</v>
      </c>
      <c r="L903" t="inlineStr">
        <is>
          <t>Promesa de compraventa firmada</t>
        </is>
      </c>
    </row>
    <row r="904" ht="15.75" customHeight="1" s="25">
      <c r="A904" t="inlineStr">
        <is>
          <t>NEG-0902</t>
        </is>
      </c>
      <c r="B904" t="inlineStr">
        <is>
          <t>Sandra Gaviria Rojas</t>
        </is>
      </c>
      <c r="C904" t="inlineStr">
        <is>
          <t>PRY-008</t>
        </is>
      </c>
      <c r="D904" t="inlineStr">
        <is>
          <t>Casa 4</t>
        </is>
      </c>
      <c r="E904" t="inlineStr">
        <is>
          <t>Luis Bedoya</t>
        </is>
      </c>
      <c r="F904" t="inlineStr">
        <is>
          <t>Ganado</t>
        </is>
      </c>
      <c r="G904" t="n">
        <v>162000000</v>
      </c>
      <c r="H904" t="n">
        <v>1</v>
      </c>
      <c r="I904" s="28" t="n">
        <v>46067</v>
      </c>
      <c r="J904" s="28" t="n">
        <v>46135</v>
      </c>
      <c r="K904" t="n">
        <v>68</v>
      </c>
      <c r="L904" t="inlineStr">
        <is>
          <t>Promesa de compraventa firmada</t>
        </is>
      </c>
    </row>
    <row r="905" ht="15.75" customHeight="1" s="25">
      <c r="A905" t="inlineStr">
        <is>
          <t>NEG-0903</t>
        </is>
      </c>
      <c r="B905" t="inlineStr">
        <is>
          <t>Nicolás Arango Franco</t>
        </is>
      </c>
      <c r="C905" t="inlineStr">
        <is>
          <t>PRY-002</t>
        </is>
      </c>
      <c r="D905" t="inlineStr">
        <is>
          <t>Casa 14</t>
        </is>
      </c>
      <c r="E905" t="inlineStr">
        <is>
          <t>Sofía Prada</t>
        </is>
      </c>
      <c r="F905" t="inlineStr">
        <is>
          <t>Cierre</t>
        </is>
      </c>
      <c r="G905" t="n">
        <v>747000000</v>
      </c>
      <c r="H905" t="n">
        <v>0.9</v>
      </c>
      <c r="I905" s="28" t="n">
        <v>46068</v>
      </c>
      <c r="J905" s="28" t="n">
        <v>46232</v>
      </c>
      <c r="K905" t="n">
        <v>87</v>
      </c>
      <c r="L905" t="inlineStr">
        <is>
          <t>Separación en trámite</t>
        </is>
      </c>
    </row>
    <row r="906" ht="15.75" customHeight="1" s="25">
      <c r="A906" t="inlineStr">
        <is>
          <t>NEG-0904</t>
        </is>
      </c>
      <c r="B906" t="inlineStr">
        <is>
          <t>Sebastián Higuita Valencia</t>
        </is>
      </c>
      <c r="C906" t="inlineStr">
        <is>
          <t>PRY-005</t>
        </is>
      </c>
      <c r="D906" t="inlineStr">
        <is>
          <t>Apto 1205</t>
        </is>
      </c>
      <c r="E906" t="inlineStr">
        <is>
          <t>Luis Bedoya</t>
        </is>
      </c>
      <c r="F906" t="inlineStr">
        <is>
          <t>Ganado</t>
        </is>
      </c>
      <c r="G906" t="n">
        <v>429000000</v>
      </c>
      <c r="H906" t="n">
        <v>1</v>
      </c>
      <c r="I906" s="28" t="n">
        <v>46069</v>
      </c>
      <c r="J906" s="28" t="n">
        <v>46170</v>
      </c>
      <c r="K906" t="n">
        <v>101</v>
      </c>
      <c r="L906" t="inlineStr">
        <is>
          <t>Promesa de compraventa firmada</t>
        </is>
      </c>
    </row>
    <row r="907" ht="15.75" customHeight="1" s="25">
      <c r="A907" t="inlineStr">
        <is>
          <t>NEG-0905</t>
        </is>
      </c>
      <c r="B907" t="inlineStr">
        <is>
          <t>Gabriel Gaviria Sánchez</t>
        </is>
      </c>
      <c r="C907" t="inlineStr">
        <is>
          <t>PRY-003</t>
        </is>
      </c>
      <c r="D907" t="inlineStr">
        <is>
          <t>Apto 1306</t>
        </is>
      </c>
      <c r="E907" t="inlineStr">
        <is>
          <t>Mateo Herrera</t>
        </is>
      </c>
      <c r="F907" t="inlineStr">
        <is>
          <t>Ganado</t>
        </is>
      </c>
      <c r="G907" t="n">
        <v>344000000</v>
      </c>
      <c r="H907" t="n">
        <v>1</v>
      </c>
      <c r="I907" s="28" t="n">
        <v>46071</v>
      </c>
      <c r="J907" s="28" t="n">
        <v>46138</v>
      </c>
      <c r="K907" t="n">
        <v>67</v>
      </c>
      <c r="L907" t="inlineStr">
        <is>
          <t>Promesa de compraventa firmada</t>
        </is>
      </c>
    </row>
    <row r="908" ht="15.75" customHeight="1" s="25">
      <c r="A908" t="inlineStr">
        <is>
          <t>NEG-0906</t>
        </is>
      </c>
      <c r="B908" t="inlineStr">
        <is>
          <t>Diana Uribe Ramírez</t>
        </is>
      </c>
      <c r="C908" t="inlineStr">
        <is>
          <t>PRY-003</t>
        </is>
      </c>
      <c r="D908" t="inlineStr">
        <is>
          <t>Apto 1507</t>
        </is>
      </c>
      <c r="E908" t="inlineStr">
        <is>
          <t>Santiago Muñoz</t>
        </is>
      </c>
      <c r="F908" t="inlineStr">
        <is>
          <t>Ganado</t>
        </is>
      </c>
      <c r="G908" t="n">
        <v>333000000</v>
      </c>
      <c r="H908" t="n">
        <v>1</v>
      </c>
      <c r="I908" s="28" t="n">
        <v>46072</v>
      </c>
      <c r="J908" s="28" t="n">
        <v>46114</v>
      </c>
      <c r="K908" t="n">
        <v>42</v>
      </c>
      <c r="L908" t="inlineStr">
        <is>
          <t>Promesa de compraventa firmada</t>
        </is>
      </c>
    </row>
    <row r="909" ht="15.75" customHeight="1" s="25">
      <c r="A909" t="inlineStr">
        <is>
          <t>NEG-0907</t>
        </is>
      </c>
      <c r="B909" t="inlineStr">
        <is>
          <t>Ximena Valencia Cifuentes</t>
        </is>
      </c>
      <c r="C909" t="inlineStr">
        <is>
          <t>PRY-003</t>
        </is>
      </c>
      <c r="D909" t="inlineStr">
        <is>
          <t>Apto 1405</t>
        </is>
      </c>
      <c r="E909" t="inlineStr">
        <is>
          <t>Ana Quintero</t>
        </is>
      </c>
      <c r="F909" t="inlineStr">
        <is>
          <t>Perdido</t>
        </is>
      </c>
      <c r="G909" t="n">
        <v>432000000</v>
      </c>
      <c r="H909" t="n">
        <v>0</v>
      </c>
      <c r="I909" s="28" t="n">
        <v>46073</v>
      </c>
      <c r="J909" s="28" t="n">
        <v>46162</v>
      </c>
      <c r="K909" t="n">
        <v>89</v>
      </c>
      <c r="L909" t="inlineStr">
        <is>
          <t>Precio fuera de presupuesto</t>
        </is>
      </c>
    </row>
    <row r="910" ht="15.75" customHeight="1" s="25">
      <c r="A910" t="inlineStr">
        <is>
          <t>NEG-0908</t>
        </is>
      </c>
      <c r="B910" t="inlineStr">
        <is>
          <t>Emilio Ochoa Salcedo</t>
        </is>
      </c>
      <c r="C910" t="inlineStr">
        <is>
          <t>PRY-007</t>
        </is>
      </c>
      <c r="D910" t="inlineStr">
        <is>
          <t>Apto 505</t>
        </is>
      </c>
      <c r="E910" t="inlineStr">
        <is>
          <t>Andrés Torres</t>
        </is>
      </c>
      <c r="F910" t="inlineStr">
        <is>
          <t>Ganado</t>
        </is>
      </c>
      <c r="G910" t="n">
        <v>596000000</v>
      </c>
      <c r="H910" t="n">
        <v>1</v>
      </c>
      <c r="I910" s="28" t="n">
        <v>46073</v>
      </c>
      <c r="J910" s="28" t="n">
        <v>46112</v>
      </c>
      <c r="K910" t="n">
        <v>39</v>
      </c>
      <c r="L910" t="inlineStr">
        <is>
          <t>Promesa de compraventa firmada</t>
        </is>
      </c>
    </row>
    <row r="911" ht="15.75" customHeight="1" s="25">
      <c r="A911" t="inlineStr">
        <is>
          <t>NEG-0909</t>
        </is>
      </c>
      <c r="B911" t="inlineStr">
        <is>
          <t>Felipe Gómez Álvarez</t>
        </is>
      </c>
      <c r="C911" t="inlineStr">
        <is>
          <t>PRY-001</t>
        </is>
      </c>
      <c r="D911" t="inlineStr">
        <is>
          <t>Apto 1002</t>
        </is>
      </c>
      <c r="E911" t="inlineStr">
        <is>
          <t>Sofía Prada</t>
        </is>
      </c>
      <c r="F911" t="inlineStr">
        <is>
          <t>Perdido</t>
        </is>
      </c>
      <c r="G911" t="n">
        <v>900000000</v>
      </c>
      <c r="H911" t="n">
        <v>0</v>
      </c>
      <c r="I911" s="28" t="n">
        <v>46074</v>
      </c>
      <c r="J911" s="28" t="n">
        <v>46127</v>
      </c>
      <c r="K911" t="n">
        <v>53</v>
      </c>
      <c r="L911" t="inlineStr">
        <is>
          <t>Precio fuera de presupuesto</t>
        </is>
      </c>
    </row>
    <row r="912" ht="15.75" customHeight="1" s="25">
      <c r="A912" t="inlineStr">
        <is>
          <t>NEG-0910</t>
        </is>
      </c>
      <c r="B912" t="inlineStr">
        <is>
          <t>Ximena Cardona Mejía</t>
        </is>
      </c>
      <c r="C912" t="inlineStr">
        <is>
          <t>PRY-001</t>
        </is>
      </c>
      <c r="D912" t="inlineStr">
        <is>
          <t>Apto 1303</t>
        </is>
      </c>
      <c r="E912" t="inlineStr">
        <is>
          <t>Ana Quintero</t>
        </is>
      </c>
      <c r="F912" t="inlineStr">
        <is>
          <t>Ganado</t>
        </is>
      </c>
      <c r="G912" t="n">
        <v>870000000</v>
      </c>
      <c r="H912" t="n">
        <v>1</v>
      </c>
      <c r="I912" s="28" t="n">
        <v>46076</v>
      </c>
      <c r="J912" s="28" t="n">
        <v>46189</v>
      </c>
      <c r="K912" t="n">
        <v>113</v>
      </c>
      <c r="L912" t="inlineStr">
        <is>
          <t>Promesa de compraventa firmada</t>
        </is>
      </c>
    </row>
    <row r="913" ht="15.75" customHeight="1" s="25">
      <c r="A913" t="inlineStr">
        <is>
          <t>NEG-0911</t>
        </is>
      </c>
      <c r="B913" t="inlineStr">
        <is>
          <t>Daniel Quintero Vargas</t>
        </is>
      </c>
      <c r="C913" t="inlineStr">
        <is>
          <t>PRY-005</t>
        </is>
      </c>
      <c r="D913" t="inlineStr">
        <is>
          <t>Casa 23</t>
        </is>
      </c>
      <c r="E913" t="inlineStr">
        <is>
          <t>Daniela Ríos</t>
        </is>
      </c>
      <c r="F913" t="inlineStr">
        <is>
          <t>Ganado</t>
        </is>
      </c>
      <c r="G913" t="n">
        <v>376000000</v>
      </c>
      <c r="H913" t="n">
        <v>1</v>
      </c>
      <c r="I913" s="28" t="n">
        <v>46076</v>
      </c>
      <c r="J913" s="28" t="n">
        <v>46155</v>
      </c>
      <c r="K913" t="n">
        <v>79</v>
      </c>
      <c r="L913" t="inlineStr">
        <is>
          <t>Promesa de compraventa firmada</t>
        </is>
      </c>
    </row>
    <row r="914" ht="15.75" customHeight="1" s="25">
      <c r="A914" t="inlineStr">
        <is>
          <t>NEG-0912</t>
        </is>
      </c>
      <c r="B914" t="inlineStr">
        <is>
          <t>Gabriel Higuita Salcedo</t>
        </is>
      </c>
      <c r="C914" t="inlineStr">
        <is>
          <t>PRY-006</t>
        </is>
      </c>
      <c r="D914" t="inlineStr">
        <is>
          <t>Local 29</t>
        </is>
      </c>
      <c r="E914" t="inlineStr">
        <is>
          <t>Sofía Prada</t>
        </is>
      </c>
      <c r="F914" t="inlineStr">
        <is>
          <t>Perdido</t>
        </is>
      </c>
      <c r="G914" t="n">
        <v>567000000</v>
      </c>
      <c r="H914" t="n">
        <v>0</v>
      </c>
      <c r="I914" s="28" t="n">
        <v>46076</v>
      </c>
      <c r="J914" s="28" t="n">
        <v>46177</v>
      </c>
      <c r="K914" t="n">
        <v>101</v>
      </c>
      <c r="L914" t="inlineStr">
        <is>
          <t>Desistió de la compra</t>
        </is>
      </c>
    </row>
    <row r="915" ht="15.75" customHeight="1" s="25">
      <c r="A915" t="inlineStr">
        <is>
          <t>NEG-0913</t>
        </is>
      </c>
      <c r="B915" t="inlineStr">
        <is>
          <t>Luisa Quintero Montoya</t>
        </is>
      </c>
      <c r="C915" t="inlineStr">
        <is>
          <t>PRY-008</t>
        </is>
      </c>
      <c r="D915" t="inlineStr">
        <is>
          <t>Casa 86</t>
        </is>
      </c>
      <c r="E915" t="inlineStr">
        <is>
          <t>Luis Bedoya</t>
        </is>
      </c>
      <c r="F915" t="inlineStr">
        <is>
          <t>Negociación</t>
        </is>
      </c>
      <c r="G915" t="n">
        <v>151000000</v>
      </c>
      <c r="H915" t="n">
        <v>0.75</v>
      </c>
      <c r="I915" s="28" t="n">
        <v>46077</v>
      </c>
      <c r="J915" s="28" t="n">
        <v>46307</v>
      </c>
      <c r="K915" t="n">
        <v>2</v>
      </c>
      <c r="L915" t="inlineStr">
        <is>
          <t>Negociando descuento por pago de contado</t>
        </is>
      </c>
    </row>
    <row r="916" ht="15.75" customHeight="1" s="25">
      <c r="A916" t="inlineStr">
        <is>
          <t>NEG-0914</t>
        </is>
      </c>
      <c r="B916" t="inlineStr">
        <is>
          <t>Alejandro Vargas Gómez</t>
        </is>
      </c>
      <c r="C916" t="inlineStr">
        <is>
          <t>PRY-005</t>
        </is>
      </c>
      <c r="D916" t="inlineStr">
        <is>
          <t>Casa 21</t>
        </is>
      </c>
      <c r="E916" t="inlineStr">
        <is>
          <t>Ana Quintero</t>
        </is>
      </c>
      <c r="F916" t="inlineStr">
        <is>
          <t>Ganado</t>
        </is>
      </c>
      <c r="G916" t="n">
        <v>364000000</v>
      </c>
      <c r="H916" t="n">
        <v>1</v>
      </c>
      <c r="I916" s="28" t="n">
        <v>46078</v>
      </c>
      <c r="J916" s="28" t="n">
        <v>46126</v>
      </c>
      <c r="K916" t="n">
        <v>48</v>
      </c>
      <c r="L916" t="inlineStr">
        <is>
          <t>Promesa de compraventa firmada</t>
        </is>
      </c>
    </row>
    <row r="917" ht="15.75" customHeight="1" s="25">
      <c r="A917" t="inlineStr">
        <is>
          <t>NEG-0915</t>
        </is>
      </c>
      <c r="B917" t="inlineStr">
        <is>
          <t>Julián Londoño Correa</t>
        </is>
      </c>
      <c r="C917" t="inlineStr">
        <is>
          <t>PRY-003</t>
        </is>
      </c>
      <c r="D917" t="inlineStr">
        <is>
          <t>Apto 405</t>
        </is>
      </c>
      <c r="E917" t="inlineStr">
        <is>
          <t>Luis Bedoya</t>
        </is>
      </c>
      <c r="F917" t="inlineStr">
        <is>
          <t>Ganado</t>
        </is>
      </c>
      <c r="G917" t="n">
        <v>378000000</v>
      </c>
      <c r="H917" t="n">
        <v>1</v>
      </c>
      <c r="I917" s="28" t="n">
        <v>46079</v>
      </c>
      <c r="J917" s="28" t="n">
        <v>46118</v>
      </c>
      <c r="K917" t="n">
        <v>39</v>
      </c>
      <c r="L917" t="inlineStr">
        <is>
          <t>Promesa de compraventa firmada</t>
        </is>
      </c>
    </row>
    <row r="918" ht="15.75" customHeight="1" s="25">
      <c r="A918" t="inlineStr">
        <is>
          <t>NEG-0916</t>
        </is>
      </c>
      <c r="B918" t="inlineStr">
        <is>
          <t>Julián Salcedo Peláez</t>
        </is>
      </c>
      <c r="C918" t="inlineStr">
        <is>
          <t>PRY-003</t>
        </is>
      </c>
      <c r="D918" t="inlineStr">
        <is>
          <t>Apto 808</t>
        </is>
      </c>
      <c r="E918" t="inlineStr">
        <is>
          <t>Ana Quintero</t>
        </is>
      </c>
      <c r="F918" t="inlineStr">
        <is>
          <t>Negociación</t>
        </is>
      </c>
      <c r="G918" t="n">
        <v>337000000</v>
      </c>
      <c r="H918" t="n">
        <v>0.75</v>
      </c>
      <c r="I918" s="28" t="n">
        <v>46079</v>
      </c>
      <c r="J918" s="28" t="n">
        <v>46234</v>
      </c>
      <c r="K918" t="n">
        <v>81</v>
      </c>
      <c r="L918" t="inlineStr">
        <is>
          <t>Negociando descuento por pago de contado</t>
        </is>
      </c>
    </row>
    <row r="919" ht="15.75" customHeight="1" s="25">
      <c r="A919" t="inlineStr">
        <is>
          <t>NEG-0917</t>
        </is>
      </c>
      <c r="B919" t="inlineStr">
        <is>
          <t>Liliana Álvarez Uribe</t>
        </is>
      </c>
      <c r="C919" t="inlineStr">
        <is>
          <t>PRY-008</t>
        </is>
      </c>
      <c r="D919" t="inlineStr">
        <is>
          <t>Casa 14</t>
        </is>
      </c>
      <c r="E919" t="inlineStr">
        <is>
          <t>Paula Arenas</t>
        </is>
      </c>
      <c r="F919" t="inlineStr">
        <is>
          <t>Ganado</t>
        </is>
      </c>
      <c r="G919" t="n">
        <v>156000000</v>
      </c>
      <c r="H919" t="n">
        <v>1</v>
      </c>
      <c r="I919" s="28" t="n">
        <v>46079</v>
      </c>
      <c r="J919" s="28" t="n">
        <v>46124</v>
      </c>
      <c r="K919" t="n">
        <v>45</v>
      </c>
      <c r="L919" t="inlineStr">
        <is>
          <t>Promesa de compraventa firmada</t>
        </is>
      </c>
    </row>
    <row r="920" ht="15.75" customHeight="1" s="25">
      <c r="A920" t="inlineStr">
        <is>
          <t>NEG-0918</t>
        </is>
      </c>
      <c r="B920" t="inlineStr">
        <is>
          <t>Nicolás Echeverri Osorio</t>
        </is>
      </c>
      <c r="C920" t="inlineStr">
        <is>
          <t>PRY-008</t>
        </is>
      </c>
      <c r="D920" t="inlineStr">
        <is>
          <t>Casa 41</t>
        </is>
      </c>
      <c r="E920" t="inlineStr">
        <is>
          <t>Paula Arenas</t>
        </is>
      </c>
      <c r="F920" t="inlineStr">
        <is>
          <t>Ganado</t>
        </is>
      </c>
      <c r="G920" t="n">
        <v>177000000</v>
      </c>
      <c r="H920" t="n">
        <v>1</v>
      </c>
      <c r="I920" s="28" t="n">
        <v>46081</v>
      </c>
      <c r="J920" s="28" t="n">
        <v>46109</v>
      </c>
      <c r="K920" t="n">
        <v>28</v>
      </c>
      <c r="L920" t="inlineStr">
        <is>
          <t>Promesa de compraventa firmada</t>
        </is>
      </c>
    </row>
    <row r="921" ht="15.75" customHeight="1" s="25">
      <c r="A921" t="inlineStr">
        <is>
          <t>NEG-0919</t>
        </is>
      </c>
      <c r="B921" t="inlineStr">
        <is>
          <t>Marcela Hernández Ramírez</t>
        </is>
      </c>
      <c r="C921" t="inlineStr">
        <is>
          <t>PRY-003</t>
        </is>
      </c>
      <c r="D921" t="inlineStr">
        <is>
          <t>Apto 2301</t>
        </is>
      </c>
      <c r="E921" t="inlineStr">
        <is>
          <t>Andrés Torres</t>
        </is>
      </c>
      <c r="F921" t="inlineStr">
        <is>
          <t>Perdido</t>
        </is>
      </c>
      <c r="G921" t="n">
        <v>385000000</v>
      </c>
      <c r="H921" t="n">
        <v>0</v>
      </c>
      <c r="I921" s="28" t="n">
        <v>46082</v>
      </c>
      <c r="J921" s="28" t="n">
        <v>46156</v>
      </c>
      <c r="K921" t="n">
        <v>74</v>
      </c>
      <c r="L921" t="inlineStr">
        <is>
          <t>Eligió otro proyecto</t>
        </is>
      </c>
    </row>
    <row r="922" ht="15.75" customHeight="1" s="25">
      <c r="A922" t="inlineStr">
        <is>
          <t>NEG-0920</t>
        </is>
      </c>
      <c r="B922" t="inlineStr">
        <is>
          <t>Diego Sánchez Espinosa</t>
        </is>
      </c>
      <c r="C922" t="inlineStr">
        <is>
          <t>PRY-005</t>
        </is>
      </c>
      <c r="D922" t="inlineStr">
        <is>
          <t>Apto 208</t>
        </is>
      </c>
      <c r="E922" t="inlineStr">
        <is>
          <t>Luis Bedoya</t>
        </is>
      </c>
      <c r="F922" t="inlineStr">
        <is>
          <t>Cierre</t>
        </is>
      </c>
      <c r="G922" t="n">
        <v>452000000</v>
      </c>
      <c r="H922" t="n">
        <v>0.9</v>
      </c>
      <c r="I922" s="28" t="n">
        <v>46082</v>
      </c>
      <c r="J922" s="28" t="n">
        <v>46250</v>
      </c>
      <c r="K922" t="n">
        <v>19</v>
      </c>
      <c r="L922" t="inlineStr">
        <is>
          <t>Separación en trámite</t>
        </is>
      </c>
    </row>
    <row r="923" ht="15.75" customHeight="1" s="25">
      <c r="A923" t="inlineStr">
        <is>
          <t>NEG-0921</t>
        </is>
      </c>
      <c r="B923" t="inlineStr">
        <is>
          <t>Jorge Vélez Castaño</t>
        </is>
      </c>
      <c r="C923" t="inlineStr">
        <is>
          <t>PRY-003</t>
        </is>
      </c>
      <c r="D923" t="inlineStr">
        <is>
          <t>Apto 1006</t>
        </is>
      </c>
      <c r="E923" t="inlineStr">
        <is>
          <t>Luis Bedoya</t>
        </is>
      </c>
      <c r="F923" t="inlineStr">
        <is>
          <t>Ganado</t>
        </is>
      </c>
      <c r="G923" t="n">
        <v>409000000</v>
      </c>
      <c r="H923" t="n">
        <v>1</v>
      </c>
      <c r="I923" s="28" t="n">
        <v>46084</v>
      </c>
      <c r="J923" s="28" t="n">
        <v>46150</v>
      </c>
      <c r="K923" t="n">
        <v>66</v>
      </c>
      <c r="L923" t="inlineStr">
        <is>
          <t>Promesa de compraventa firmada</t>
        </is>
      </c>
    </row>
    <row r="924" ht="15.75" customHeight="1" s="25">
      <c r="A924" t="inlineStr">
        <is>
          <t>NEG-0922</t>
        </is>
      </c>
      <c r="B924" t="inlineStr">
        <is>
          <t>Wilson Osorio Pérez</t>
        </is>
      </c>
      <c r="C924" t="inlineStr">
        <is>
          <t>PRY-001</t>
        </is>
      </c>
      <c r="D924" t="inlineStr">
        <is>
          <t>Apto 703</t>
        </is>
      </c>
      <c r="E924" t="inlineStr">
        <is>
          <t>Sofía Prada</t>
        </is>
      </c>
      <c r="F924" t="inlineStr">
        <is>
          <t>Perdido</t>
        </is>
      </c>
      <c r="G924" t="n">
        <v>853000000</v>
      </c>
      <c r="H924" t="n">
        <v>0</v>
      </c>
      <c r="I924" s="28" t="n">
        <v>46085</v>
      </c>
      <c r="J924" s="28" t="n">
        <v>46151</v>
      </c>
      <c r="K924" t="n">
        <v>66</v>
      </c>
      <c r="L924" t="inlineStr">
        <is>
          <t>Precio fuera de presupuesto</t>
        </is>
      </c>
    </row>
    <row r="925" ht="15.75" customHeight="1" s="25">
      <c r="A925" t="inlineStr">
        <is>
          <t>NEG-0923</t>
        </is>
      </c>
      <c r="B925" t="inlineStr">
        <is>
          <t>Tomás Cardona Zuluaga</t>
        </is>
      </c>
      <c r="C925" t="inlineStr">
        <is>
          <t>PRY-003</t>
        </is>
      </c>
      <c r="D925" t="inlineStr">
        <is>
          <t>Apto 1801</t>
        </is>
      </c>
      <c r="E925" t="inlineStr">
        <is>
          <t>Ana Quintero</t>
        </is>
      </c>
      <c r="F925" t="inlineStr">
        <is>
          <t>Ganado</t>
        </is>
      </c>
      <c r="G925" t="n">
        <v>420000000</v>
      </c>
      <c r="H925" t="n">
        <v>1</v>
      </c>
      <c r="I925" s="28" t="n">
        <v>46085</v>
      </c>
      <c r="J925" s="28" t="n">
        <v>46161</v>
      </c>
      <c r="K925" t="n">
        <v>76</v>
      </c>
      <c r="L925" t="inlineStr">
        <is>
          <t>Promesa de compraventa firmada</t>
        </is>
      </c>
    </row>
    <row r="926" ht="15.75" customHeight="1" s="25">
      <c r="A926" t="inlineStr">
        <is>
          <t>NEG-0924</t>
        </is>
      </c>
      <c r="B926" t="inlineStr">
        <is>
          <t>Natalia Agudelo Arango</t>
        </is>
      </c>
      <c r="C926" t="inlineStr">
        <is>
          <t>PRY-006</t>
        </is>
      </c>
      <c r="D926" t="inlineStr">
        <is>
          <t>Local 36</t>
        </is>
      </c>
      <c r="E926" t="inlineStr">
        <is>
          <t>Mateo Herrera</t>
        </is>
      </c>
      <c r="F926" t="inlineStr">
        <is>
          <t>Perdido</t>
        </is>
      </c>
      <c r="G926" t="n">
        <v>515000000</v>
      </c>
      <c r="H926" t="n">
        <v>0</v>
      </c>
      <c r="I926" s="28" t="n">
        <v>46085</v>
      </c>
      <c r="J926" s="28" t="n">
        <v>46173</v>
      </c>
      <c r="K926" t="n">
        <v>88</v>
      </c>
      <c r="L926" t="inlineStr">
        <is>
          <t>No volvió a responder</t>
        </is>
      </c>
    </row>
    <row r="927" ht="15.75" customHeight="1" s="25">
      <c r="A927" t="inlineStr">
        <is>
          <t>NEG-0925</t>
        </is>
      </c>
      <c r="B927" t="inlineStr">
        <is>
          <t>Julián Henao Salazar</t>
        </is>
      </c>
      <c r="C927" t="inlineStr">
        <is>
          <t>PRY-003</t>
        </is>
      </c>
      <c r="D927" t="inlineStr">
        <is>
          <t>Apto 1203</t>
        </is>
      </c>
      <c r="E927" t="inlineStr">
        <is>
          <t>Sofía Prada</t>
        </is>
      </c>
      <c r="F927" t="inlineStr">
        <is>
          <t>Ganado</t>
        </is>
      </c>
      <c r="G927" t="n">
        <v>375000000</v>
      </c>
      <c r="H927" t="n">
        <v>1</v>
      </c>
      <c r="I927" s="28" t="n">
        <v>46086</v>
      </c>
      <c r="J927" s="28" t="n">
        <v>46146</v>
      </c>
      <c r="K927" t="n">
        <v>60</v>
      </c>
      <c r="L927" t="inlineStr">
        <is>
          <t>Promesa de compraventa firmada</t>
        </is>
      </c>
    </row>
    <row r="928" ht="15.75" customHeight="1" s="25">
      <c r="A928" t="inlineStr">
        <is>
          <t>NEG-0926</t>
        </is>
      </c>
      <c r="B928" t="inlineStr">
        <is>
          <t>Rodrigo Palacio Higuita</t>
        </is>
      </c>
      <c r="C928" t="inlineStr">
        <is>
          <t>PRY-003</t>
        </is>
      </c>
      <c r="D928" t="inlineStr">
        <is>
          <t>Apto 1204</t>
        </is>
      </c>
      <c r="E928" t="inlineStr">
        <is>
          <t>Miguel Salazar</t>
        </is>
      </c>
      <c r="F928" t="inlineStr">
        <is>
          <t>Perdido</t>
        </is>
      </c>
      <c r="G928" t="n">
        <v>332000000</v>
      </c>
      <c r="H928" t="n">
        <v>0</v>
      </c>
      <c r="I928" s="28" t="n">
        <v>46086</v>
      </c>
      <c r="J928" s="28" t="n">
        <v>46128</v>
      </c>
      <c r="K928" t="n">
        <v>42</v>
      </c>
      <c r="L928" t="inlineStr">
        <is>
          <t>Desistió de la compra</t>
        </is>
      </c>
    </row>
    <row r="929" ht="15.75" customHeight="1" s="25">
      <c r="A929" t="inlineStr">
        <is>
          <t>NEG-0927</t>
        </is>
      </c>
      <c r="B929" t="inlineStr">
        <is>
          <t>Hernán Valencia Palacio</t>
        </is>
      </c>
      <c r="C929" t="inlineStr">
        <is>
          <t>PRY-007</t>
        </is>
      </c>
      <c r="D929" t="inlineStr">
        <is>
          <t>Apto 803</t>
        </is>
      </c>
      <c r="E929" t="inlineStr">
        <is>
          <t>Luis Bedoya</t>
        </is>
      </c>
      <c r="F929" t="inlineStr">
        <is>
          <t>Ganado</t>
        </is>
      </c>
      <c r="G929" t="n">
        <v>827000000</v>
      </c>
      <c r="H929" t="n">
        <v>1</v>
      </c>
      <c r="I929" s="28" t="n">
        <v>46086</v>
      </c>
      <c r="J929" s="28" t="n">
        <v>46135</v>
      </c>
      <c r="K929" t="n">
        <v>49</v>
      </c>
      <c r="L929" t="inlineStr">
        <is>
          <t>Promesa de compraventa firmada</t>
        </is>
      </c>
    </row>
    <row r="930" ht="15.75" customHeight="1" s="25">
      <c r="A930" t="inlineStr">
        <is>
          <t>NEG-0928</t>
        </is>
      </c>
      <c r="B930" t="inlineStr">
        <is>
          <t>Fernando Hernández Gómez</t>
        </is>
      </c>
      <c r="C930" t="inlineStr">
        <is>
          <t>PRY-007</t>
        </is>
      </c>
      <c r="D930" t="inlineStr">
        <is>
          <t>Apto 803</t>
        </is>
      </c>
      <c r="E930" t="inlineStr">
        <is>
          <t>Mateo Herrera</t>
        </is>
      </c>
      <c r="F930" t="inlineStr">
        <is>
          <t>Perdido</t>
        </is>
      </c>
      <c r="G930" t="n">
        <v>821000000</v>
      </c>
      <c r="H930" t="n">
        <v>0</v>
      </c>
      <c r="I930" s="28" t="n">
        <v>46087</v>
      </c>
      <c r="J930" s="28" t="n">
        <v>46152</v>
      </c>
      <c r="K930" t="n">
        <v>65</v>
      </c>
      <c r="L930" t="inlineStr">
        <is>
          <t>Eligió otro proyecto</t>
        </is>
      </c>
    </row>
    <row r="931" ht="15.75" customHeight="1" s="25">
      <c r="A931" t="inlineStr">
        <is>
          <t>NEG-0929</t>
        </is>
      </c>
      <c r="B931" t="inlineStr">
        <is>
          <t>María Montes Hernández</t>
        </is>
      </c>
      <c r="C931" t="inlineStr">
        <is>
          <t>PRY-008</t>
        </is>
      </c>
      <c r="D931" t="inlineStr">
        <is>
          <t>Casa 81</t>
        </is>
      </c>
      <c r="E931" t="inlineStr">
        <is>
          <t>Juliana Vélez</t>
        </is>
      </c>
      <c r="F931" t="inlineStr">
        <is>
          <t>Perdido</t>
        </is>
      </c>
      <c r="G931" t="n">
        <v>180000000</v>
      </c>
      <c r="H931" t="n">
        <v>0</v>
      </c>
      <c r="I931" s="28" t="n">
        <v>46087</v>
      </c>
      <c r="J931" s="28" t="n">
        <v>46125</v>
      </c>
      <c r="K931" t="n">
        <v>38</v>
      </c>
      <c r="L931" t="inlineStr">
        <is>
          <t>Crédito no aprobado</t>
        </is>
      </c>
    </row>
    <row r="932" ht="15.75" customHeight="1" s="25">
      <c r="A932" t="inlineStr">
        <is>
          <t>NEG-0930</t>
        </is>
      </c>
      <c r="B932" t="inlineStr">
        <is>
          <t>Felipe Ochoa Cardona</t>
        </is>
      </c>
      <c r="C932" t="inlineStr">
        <is>
          <t>PRY-001</t>
        </is>
      </c>
      <c r="D932" t="inlineStr">
        <is>
          <t>Apto 1806</t>
        </is>
      </c>
      <c r="E932" t="inlineStr">
        <is>
          <t>Miguel Salazar</t>
        </is>
      </c>
      <c r="F932" t="inlineStr">
        <is>
          <t>Ganado</t>
        </is>
      </c>
      <c r="G932" t="n">
        <v>711000000</v>
      </c>
      <c r="H932" t="n">
        <v>1</v>
      </c>
      <c r="I932" s="28" t="n">
        <v>46088</v>
      </c>
      <c r="J932" s="28" t="n">
        <v>46156</v>
      </c>
      <c r="K932" t="n">
        <v>68</v>
      </c>
      <c r="L932" t="inlineStr">
        <is>
          <t>Promesa de compraventa firmada</t>
        </is>
      </c>
    </row>
    <row r="933" ht="15.75" customHeight="1" s="25">
      <c r="A933" t="inlineStr">
        <is>
          <t>NEG-0931</t>
        </is>
      </c>
      <c r="B933" t="inlineStr">
        <is>
          <t>Felipe Cifuentes Echeverri</t>
        </is>
      </c>
      <c r="C933" t="inlineStr">
        <is>
          <t>PRY-003</t>
        </is>
      </c>
      <c r="D933" t="inlineStr">
        <is>
          <t>Apto 1003</t>
        </is>
      </c>
      <c r="E933" t="inlineStr">
        <is>
          <t>Paula Arenas</t>
        </is>
      </c>
      <c r="F933" t="inlineStr">
        <is>
          <t>Negociación</t>
        </is>
      </c>
      <c r="G933" t="n">
        <v>381000000</v>
      </c>
      <c r="H933" t="n">
        <v>0.75</v>
      </c>
      <c r="I933" s="28" t="n">
        <v>46089</v>
      </c>
      <c r="J933" s="28" t="n">
        <v>46251</v>
      </c>
      <c r="K933" t="n">
        <v>14</v>
      </c>
      <c r="L933" t="inlineStr">
        <is>
          <t>Requiere aprobación de crédito</t>
        </is>
      </c>
    </row>
    <row r="934" ht="15.75" customHeight="1" s="25">
      <c r="A934" t="inlineStr">
        <is>
          <t>NEG-0932</t>
        </is>
      </c>
      <c r="B934" t="inlineStr">
        <is>
          <t>Sofía Valencia Restrepo</t>
        </is>
      </c>
      <c r="C934" t="inlineStr">
        <is>
          <t>PRY-002</t>
        </is>
      </c>
      <c r="D934" t="inlineStr">
        <is>
          <t>Casa 45</t>
        </is>
      </c>
      <c r="E934" t="inlineStr">
        <is>
          <t>Andrés Torres</t>
        </is>
      </c>
      <c r="F934" t="inlineStr">
        <is>
          <t>Ganado</t>
        </is>
      </c>
      <c r="G934" t="n">
        <v>803000000</v>
      </c>
      <c r="H934" t="n">
        <v>1</v>
      </c>
      <c r="I934" s="28" t="n">
        <v>46092</v>
      </c>
      <c r="J934" s="28" t="n">
        <v>46168</v>
      </c>
      <c r="K934" t="n">
        <v>76</v>
      </c>
      <c r="L934" t="inlineStr">
        <is>
          <t>Promesa de compraventa firmada</t>
        </is>
      </c>
    </row>
    <row r="935" ht="15.75" customHeight="1" s="25">
      <c r="A935" t="inlineStr">
        <is>
          <t>NEG-0933</t>
        </is>
      </c>
      <c r="B935" t="inlineStr">
        <is>
          <t>Valentina Zuluaga Toro</t>
        </is>
      </c>
      <c r="C935" t="inlineStr">
        <is>
          <t>PRY-002</t>
        </is>
      </c>
      <c r="D935" t="inlineStr">
        <is>
          <t>Casa 60</t>
        </is>
      </c>
      <c r="E935" t="inlineStr">
        <is>
          <t>Sofía Prada</t>
        </is>
      </c>
      <c r="F935" t="inlineStr">
        <is>
          <t>Perdido</t>
        </is>
      </c>
      <c r="G935" t="n">
        <v>865000000</v>
      </c>
      <c r="H935" t="n">
        <v>0</v>
      </c>
      <c r="I935" s="28" t="n">
        <v>46094</v>
      </c>
      <c r="J935" s="28" t="n">
        <v>46198</v>
      </c>
      <c r="K935" t="n">
        <v>104</v>
      </c>
      <c r="L935" t="inlineStr">
        <is>
          <t>Crédito no aprobado</t>
        </is>
      </c>
    </row>
    <row r="936" ht="15.75" customHeight="1" s="25">
      <c r="A936" t="inlineStr">
        <is>
          <t>NEG-0934</t>
        </is>
      </c>
      <c r="B936" t="inlineStr">
        <is>
          <t>Alejandro Salazar López</t>
        </is>
      </c>
      <c r="C936" t="inlineStr">
        <is>
          <t>PRY-006</t>
        </is>
      </c>
      <c r="D936" t="inlineStr">
        <is>
          <t>Local 32</t>
        </is>
      </c>
      <c r="E936" t="inlineStr">
        <is>
          <t>Juliana Vélez</t>
        </is>
      </c>
      <c r="F936" t="inlineStr">
        <is>
          <t>Ganado</t>
        </is>
      </c>
      <c r="G936" t="n">
        <v>518000000</v>
      </c>
      <c r="H936" t="n">
        <v>1</v>
      </c>
      <c r="I936" s="28" t="n">
        <v>46095</v>
      </c>
      <c r="J936" s="28" t="n">
        <v>46203</v>
      </c>
      <c r="K936" t="n">
        <v>108</v>
      </c>
      <c r="L936" t="inlineStr">
        <is>
          <t>Promesa de compraventa firmada</t>
        </is>
      </c>
    </row>
    <row r="937" ht="15.75" customHeight="1" s="25">
      <c r="A937" t="inlineStr">
        <is>
          <t>NEG-0935</t>
        </is>
      </c>
      <c r="B937" t="inlineStr">
        <is>
          <t>Luisa Vélez Agudelo</t>
        </is>
      </c>
      <c r="C937" t="inlineStr">
        <is>
          <t>PRY-003</t>
        </is>
      </c>
      <c r="D937" t="inlineStr">
        <is>
          <t>Apto 2404</t>
        </is>
      </c>
      <c r="E937" t="inlineStr">
        <is>
          <t>Luis Bedoya</t>
        </is>
      </c>
      <c r="F937" t="inlineStr">
        <is>
          <t>Ganado</t>
        </is>
      </c>
      <c r="G937" t="n">
        <v>430000000</v>
      </c>
      <c r="H937" t="n">
        <v>1</v>
      </c>
      <c r="I937" s="28" t="n">
        <v>46096</v>
      </c>
      <c r="J937" s="28" t="n">
        <v>46134</v>
      </c>
      <c r="K937" t="n">
        <v>38</v>
      </c>
      <c r="L937" t="inlineStr">
        <is>
          <t>Promesa de compraventa firmada</t>
        </is>
      </c>
    </row>
    <row r="938" ht="15.75" customHeight="1" s="25">
      <c r="A938" t="inlineStr">
        <is>
          <t>NEG-0936</t>
        </is>
      </c>
      <c r="B938" t="inlineStr">
        <is>
          <t>Nicolás Franco Peláez</t>
        </is>
      </c>
      <c r="C938" t="inlineStr">
        <is>
          <t>PRY-005</t>
        </is>
      </c>
      <c r="D938" t="inlineStr">
        <is>
          <t>Apto 404</t>
        </is>
      </c>
      <c r="E938" t="inlineStr">
        <is>
          <t>Ana Quintero</t>
        </is>
      </c>
      <c r="F938" t="inlineStr">
        <is>
          <t>Negociación</t>
        </is>
      </c>
      <c r="G938" t="n">
        <v>452000000</v>
      </c>
      <c r="H938" t="n">
        <v>0.75</v>
      </c>
      <c r="I938" s="28" t="n">
        <v>46097</v>
      </c>
      <c r="J938" s="28" t="n">
        <v>46250</v>
      </c>
      <c r="K938" t="n">
        <v>90</v>
      </c>
      <c r="L938" t="inlineStr">
        <is>
          <t>Negociando descuento por pago de contado</t>
        </is>
      </c>
    </row>
    <row r="939" ht="15.75" customHeight="1" s="25">
      <c r="A939" t="inlineStr">
        <is>
          <t>NEG-0937</t>
        </is>
      </c>
      <c r="B939" t="inlineStr">
        <is>
          <t>Carolina Espinosa Bedoya</t>
        </is>
      </c>
      <c r="C939" t="inlineStr">
        <is>
          <t>PRY-008</t>
        </is>
      </c>
      <c r="D939" t="inlineStr">
        <is>
          <t>Casa 84</t>
        </is>
      </c>
      <c r="E939" t="inlineStr">
        <is>
          <t>Sofía Prada</t>
        </is>
      </c>
      <c r="F939" t="inlineStr">
        <is>
          <t>Ganado</t>
        </is>
      </c>
      <c r="G939" t="n">
        <v>182000000</v>
      </c>
      <c r="H939" t="n">
        <v>1</v>
      </c>
      <c r="I939" s="28" t="n">
        <v>46099</v>
      </c>
      <c r="J939" s="28" t="n">
        <v>46153</v>
      </c>
      <c r="K939" t="n">
        <v>54</v>
      </c>
      <c r="L939" t="inlineStr">
        <is>
          <t>Promesa de compraventa firmada</t>
        </is>
      </c>
    </row>
    <row r="940" ht="15.75" customHeight="1" s="25">
      <c r="A940" t="inlineStr">
        <is>
          <t>NEG-0938</t>
        </is>
      </c>
      <c r="B940" t="inlineStr">
        <is>
          <t>Daniela Vásquez Franco</t>
        </is>
      </c>
      <c r="C940" t="inlineStr">
        <is>
          <t>PRY-003</t>
        </is>
      </c>
      <c r="D940" t="inlineStr">
        <is>
          <t>Apto 307</t>
        </is>
      </c>
      <c r="E940" t="inlineStr">
        <is>
          <t>Paula Arenas</t>
        </is>
      </c>
      <c r="F940" t="inlineStr">
        <is>
          <t>Perdido</t>
        </is>
      </c>
      <c r="G940" t="n">
        <v>323000000</v>
      </c>
      <c r="H940" t="n">
        <v>0</v>
      </c>
      <c r="I940" s="28" t="n">
        <v>46100</v>
      </c>
      <c r="J940" s="28" t="n">
        <v>46130</v>
      </c>
      <c r="K940" t="n">
        <v>30</v>
      </c>
      <c r="L940" t="inlineStr">
        <is>
          <t>Eligió otro proyecto</t>
        </is>
      </c>
    </row>
    <row r="941" ht="15.75" customHeight="1" s="25">
      <c r="A941" t="inlineStr">
        <is>
          <t>NEG-0939</t>
        </is>
      </c>
      <c r="B941" t="inlineStr">
        <is>
          <t>Jhon Cano Valencia</t>
        </is>
      </c>
      <c r="C941" t="inlineStr">
        <is>
          <t>PRY-005</t>
        </is>
      </c>
      <c r="D941" t="inlineStr">
        <is>
          <t>Apto 1305</t>
        </is>
      </c>
      <c r="E941" t="inlineStr">
        <is>
          <t>Luis Bedoya</t>
        </is>
      </c>
      <c r="F941" t="inlineStr">
        <is>
          <t>Perdido</t>
        </is>
      </c>
      <c r="G941" t="n">
        <v>522000000</v>
      </c>
      <c r="H941" t="n">
        <v>0</v>
      </c>
      <c r="I941" s="28" t="n">
        <v>46102</v>
      </c>
      <c r="J941" s="28" t="n">
        <v>46193</v>
      </c>
      <c r="K941" t="n">
        <v>91</v>
      </c>
      <c r="L941" t="inlineStr">
        <is>
          <t>Crédito no aprobado</t>
        </is>
      </c>
    </row>
    <row r="942" ht="15.75" customHeight="1" s="25">
      <c r="A942" t="inlineStr">
        <is>
          <t>NEG-0940</t>
        </is>
      </c>
      <c r="B942" t="inlineStr">
        <is>
          <t>Mónica Zapata Mejía</t>
        </is>
      </c>
      <c r="C942" t="inlineStr">
        <is>
          <t>PRY-003</t>
        </is>
      </c>
      <c r="D942" t="inlineStr">
        <is>
          <t>Apto 2308</t>
        </is>
      </c>
      <c r="E942" t="inlineStr">
        <is>
          <t>Luis Bedoya</t>
        </is>
      </c>
      <c r="F942" t="inlineStr">
        <is>
          <t>Perdido</t>
        </is>
      </c>
      <c r="G942" t="n">
        <v>425000000</v>
      </c>
      <c r="H942" t="n">
        <v>0</v>
      </c>
      <c r="I942" s="28" t="n">
        <v>46104</v>
      </c>
      <c r="J942" s="28" t="n">
        <v>46160</v>
      </c>
      <c r="K942" t="n">
        <v>56</v>
      </c>
      <c r="L942" t="inlineStr">
        <is>
          <t>No volvió a responder</t>
        </is>
      </c>
    </row>
    <row r="943" ht="15.75" customHeight="1" s="25">
      <c r="A943" t="inlineStr">
        <is>
          <t>NEG-0941</t>
        </is>
      </c>
      <c r="B943" t="inlineStr">
        <is>
          <t>Isabel Uribe Muñoz</t>
        </is>
      </c>
      <c r="C943" t="inlineStr">
        <is>
          <t>PRY-001</t>
        </is>
      </c>
      <c r="D943" t="inlineStr">
        <is>
          <t>Apto 403</t>
        </is>
      </c>
      <c r="E943" t="inlineStr">
        <is>
          <t>Andrés Torres</t>
        </is>
      </c>
      <c r="F943" t="inlineStr">
        <is>
          <t>Ganado</t>
        </is>
      </c>
      <c r="G943" t="n">
        <v>715000000</v>
      </c>
      <c r="H943" t="n">
        <v>1</v>
      </c>
      <c r="I943" s="28" t="n">
        <v>46105</v>
      </c>
      <c r="J943" s="28" t="n">
        <v>46158</v>
      </c>
      <c r="K943" t="n">
        <v>53</v>
      </c>
      <c r="L943" t="inlineStr">
        <is>
          <t>Promesa de compraventa firmada</t>
        </is>
      </c>
    </row>
    <row r="944" ht="15.75" customHeight="1" s="25">
      <c r="A944" t="inlineStr">
        <is>
          <t>NEG-0942</t>
        </is>
      </c>
      <c r="B944" t="inlineStr">
        <is>
          <t>Verónica Restrepo Zapata</t>
        </is>
      </c>
      <c r="C944" t="inlineStr">
        <is>
          <t>PRY-002</t>
        </is>
      </c>
      <c r="D944" t="inlineStr">
        <is>
          <t>Casa 33</t>
        </is>
      </c>
      <c r="E944" t="inlineStr">
        <is>
          <t>Luis Bedoya</t>
        </is>
      </c>
      <c r="F944" t="inlineStr">
        <is>
          <t>Negociación</t>
        </is>
      </c>
      <c r="G944" t="n">
        <v>752000000</v>
      </c>
      <c r="H944" t="n">
        <v>0.75</v>
      </c>
      <c r="I944" s="28" t="n">
        <v>46105</v>
      </c>
      <c r="J944" s="28" t="n">
        <v>46274</v>
      </c>
      <c r="K944" t="n">
        <v>1</v>
      </c>
      <c r="L944" t="inlineStr">
        <is>
          <t>Negociando descuento por pago de contado</t>
        </is>
      </c>
    </row>
    <row r="945" ht="15.75" customHeight="1" s="25">
      <c r="A945" t="inlineStr">
        <is>
          <t>NEG-0943</t>
        </is>
      </c>
      <c r="B945" t="inlineStr">
        <is>
          <t>Esteban Palacio Marín</t>
        </is>
      </c>
      <c r="C945" t="inlineStr">
        <is>
          <t>PRY-003</t>
        </is>
      </c>
      <c r="D945" t="inlineStr">
        <is>
          <t>Apto 2506</t>
        </is>
      </c>
      <c r="E945" t="inlineStr">
        <is>
          <t>Juliana Vélez</t>
        </is>
      </c>
      <c r="F945" t="inlineStr">
        <is>
          <t>Ganado</t>
        </is>
      </c>
      <c r="G945" t="n">
        <v>460000000</v>
      </c>
      <c r="H945" t="n">
        <v>1</v>
      </c>
      <c r="I945" s="28" t="n">
        <v>46105</v>
      </c>
      <c r="J945" s="28" t="n">
        <v>46151</v>
      </c>
      <c r="K945" t="n">
        <v>46</v>
      </c>
      <c r="L945" t="inlineStr">
        <is>
          <t>Promesa de compraventa firmada</t>
        </is>
      </c>
    </row>
    <row r="946" ht="15.75" customHeight="1" s="25">
      <c r="A946" t="inlineStr">
        <is>
          <t>NEG-0944</t>
        </is>
      </c>
      <c r="B946" t="inlineStr">
        <is>
          <t>Sofía Toro Hernández</t>
        </is>
      </c>
      <c r="C946" t="inlineStr">
        <is>
          <t>PRY-003</t>
        </is>
      </c>
      <c r="D946" t="inlineStr">
        <is>
          <t>Apto 1005</t>
        </is>
      </c>
      <c r="E946" t="inlineStr">
        <is>
          <t>Miguel Salazar</t>
        </is>
      </c>
      <c r="F946" t="inlineStr">
        <is>
          <t>Cierre</t>
        </is>
      </c>
      <c r="G946" t="n">
        <v>321000000</v>
      </c>
      <c r="H946" t="n">
        <v>0.9</v>
      </c>
      <c r="I946" s="28" t="n">
        <v>46105</v>
      </c>
      <c r="J946" s="28" t="n">
        <v>46313</v>
      </c>
      <c r="K946" t="n">
        <v>87</v>
      </c>
      <c r="L946" t="inlineStr">
        <is>
          <t>Separación en trámite</t>
        </is>
      </c>
    </row>
    <row r="947" ht="15.75" customHeight="1" s="25">
      <c r="A947" t="inlineStr">
        <is>
          <t>NEG-0945</t>
        </is>
      </c>
      <c r="B947" t="inlineStr">
        <is>
          <t>Simón Franco Agudelo</t>
        </is>
      </c>
      <c r="C947" t="inlineStr">
        <is>
          <t>PRY-005</t>
        </is>
      </c>
      <c r="D947" t="inlineStr">
        <is>
          <t>Apto 302</t>
        </is>
      </c>
      <c r="E947" t="inlineStr">
        <is>
          <t>Paula Arenas</t>
        </is>
      </c>
      <c r="F947" t="inlineStr">
        <is>
          <t>Ganado</t>
        </is>
      </c>
      <c r="G947" t="n">
        <v>371000000</v>
      </c>
      <c r="H947" t="n">
        <v>1</v>
      </c>
      <c r="I947" s="28" t="n">
        <v>46105</v>
      </c>
      <c r="J947" s="28" t="n">
        <v>46183</v>
      </c>
      <c r="K947" t="n">
        <v>78</v>
      </c>
      <c r="L947" t="inlineStr">
        <is>
          <t>Promesa de compraventa firmada</t>
        </is>
      </c>
    </row>
    <row r="948" ht="15.75" customHeight="1" s="25">
      <c r="A948" t="inlineStr">
        <is>
          <t>NEG-0946</t>
        </is>
      </c>
      <c r="B948" t="inlineStr">
        <is>
          <t>Simón Escobar Montoya</t>
        </is>
      </c>
      <c r="C948" t="inlineStr">
        <is>
          <t>PRY-003</t>
        </is>
      </c>
      <c r="D948" t="inlineStr">
        <is>
          <t>Apto 1302</t>
        </is>
      </c>
      <c r="E948" t="inlineStr">
        <is>
          <t>Ana Quintero</t>
        </is>
      </c>
      <c r="F948" t="inlineStr">
        <is>
          <t>Cierre</t>
        </is>
      </c>
      <c r="G948" t="n">
        <v>418000000</v>
      </c>
      <c r="H948" t="n">
        <v>0.9</v>
      </c>
      <c r="I948" s="28" t="n">
        <v>46106</v>
      </c>
      <c r="J948" s="28" t="n">
        <v>46298</v>
      </c>
      <c r="K948" t="n">
        <v>9</v>
      </c>
      <c r="L948" t="inlineStr">
        <is>
          <t>Separación en trámite</t>
        </is>
      </c>
    </row>
    <row r="949" ht="15.75" customHeight="1" s="25">
      <c r="A949" t="inlineStr">
        <is>
          <t>NEG-0947</t>
        </is>
      </c>
      <c r="B949" t="inlineStr">
        <is>
          <t>David Franco Betancur</t>
        </is>
      </c>
      <c r="C949" t="inlineStr">
        <is>
          <t>PRY-008</t>
        </is>
      </c>
      <c r="D949" t="inlineStr">
        <is>
          <t>Casa 13</t>
        </is>
      </c>
      <c r="E949" t="inlineStr">
        <is>
          <t>Paula Arenas</t>
        </is>
      </c>
      <c r="F949" t="inlineStr">
        <is>
          <t>Ganado</t>
        </is>
      </c>
      <c r="G949" t="n">
        <v>166000000</v>
      </c>
      <c r="H949" t="n">
        <v>1</v>
      </c>
      <c r="I949" s="28" t="n">
        <v>46106</v>
      </c>
      <c r="J949" s="28" t="n">
        <v>46158</v>
      </c>
      <c r="K949" t="n">
        <v>52</v>
      </c>
      <c r="L949" t="inlineStr">
        <is>
          <t>Promesa de compraventa firmada</t>
        </is>
      </c>
    </row>
    <row r="950" ht="15.75" customHeight="1" s="25">
      <c r="A950" t="inlineStr">
        <is>
          <t>NEG-0948</t>
        </is>
      </c>
      <c r="B950" t="inlineStr">
        <is>
          <t>Ximena Zuluaga Zuluaga</t>
        </is>
      </c>
      <c r="C950" t="inlineStr">
        <is>
          <t>PRY-007</t>
        </is>
      </c>
      <c r="D950" t="inlineStr">
        <is>
          <t>Apto 402</t>
        </is>
      </c>
      <c r="E950" t="inlineStr">
        <is>
          <t>Juliana Vélez</t>
        </is>
      </c>
      <c r="F950" t="inlineStr">
        <is>
          <t>Propuesta Económica</t>
        </is>
      </c>
      <c r="G950" t="n">
        <v>619000000</v>
      </c>
      <c r="H950" t="n">
        <v>0.6</v>
      </c>
      <c r="I950" s="28" t="n">
        <v>46107</v>
      </c>
      <c r="J950" s="28" t="n">
        <v>46322</v>
      </c>
      <c r="K950" t="n">
        <v>24</v>
      </c>
      <c r="L950" t="inlineStr">
        <is>
          <t>Cotización enviada</t>
        </is>
      </c>
    </row>
    <row r="951" ht="15.75" customHeight="1" s="25">
      <c r="A951" t="inlineStr">
        <is>
          <t>NEG-0949</t>
        </is>
      </c>
      <c r="B951" t="inlineStr">
        <is>
          <t>Gloria Restrepo López</t>
        </is>
      </c>
      <c r="C951" t="inlineStr">
        <is>
          <t>PRY-007</t>
        </is>
      </c>
      <c r="D951" t="inlineStr">
        <is>
          <t>Apto 1102</t>
        </is>
      </c>
      <c r="E951" t="inlineStr">
        <is>
          <t>Ana Quintero</t>
        </is>
      </c>
      <c r="F951" t="inlineStr">
        <is>
          <t>Propuesta Económica</t>
        </is>
      </c>
      <c r="G951" t="n">
        <v>753000000</v>
      </c>
      <c r="H951" t="n">
        <v>0.6</v>
      </c>
      <c r="I951" s="28" t="n">
        <v>46107</v>
      </c>
      <c r="J951" s="28" t="n">
        <v>46287</v>
      </c>
      <c r="K951" t="n">
        <v>76</v>
      </c>
      <c r="L951" t="inlineStr">
        <is>
          <t>Cotización enviada</t>
        </is>
      </c>
    </row>
    <row r="952" ht="15.75" customHeight="1" s="25">
      <c r="A952" t="inlineStr">
        <is>
          <t>NEG-0950</t>
        </is>
      </c>
      <c r="B952" t="inlineStr">
        <is>
          <t>Sara Muñoz Gaviria</t>
        </is>
      </c>
      <c r="C952" t="inlineStr">
        <is>
          <t>PRY-001</t>
        </is>
      </c>
      <c r="D952" t="inlineStr">
        <is>
          <t>Apto 1404</t>
        </is>
      </c>
      <c r="E952" t="inlineStr">
        <is>
          <t>Santiago Muñoz</t>
        </is>
      </c>
      <c r="F952" t="inlineStr">
        <is>
          <t>Ganado</t>
        </is>
      </c>
      <c r="G952" t="n">
        <v>680000000</v>
      </c>
      <c r="H952" t="n">
        <v>1</v>
      </c>
      <c r="I952" s="28" t="n">
        <v>46109</v>
      </c>
      <c r="J952" s="28" t="n">
        <v>46176</v>
      </c>
      <c r="K952" t="n">
        <v>67</v>
      </c>
      <c r="L952" t="inlineStr">
        <is>
          <t>Promesa de compraventa firmada</t>
        </is>
      </c>
    </row>
    <row r="953" ht="15.75" customHeight="1" s="25">
      <c r="A953" t="inlineStr">
        <is>
          <t>NEG-0951</t>
        </is>
      </c>
      <c r="B953" t="inlineStr">
        <is>
          <t>Carlos Salazar Cano</t>
        </is>
      </c>
      <c r="C953" t="inlineStr">
        <is>
          <t>PRY-005</t>
        </is>
      </c>
      <c r="D953" t="inlineStr">
        <is>
          <t>Apto 603</t>
        </is>
      </c>
      <c r="E953" t="inlineStr">
        <is>
          <t>Luis Bedoya</t>
        </is>
      </c>
      <c r="F953" t="inlineStr">
        <is>
          <t>Propuesta Económica</t>
        </is>
      </c>
      <c r="G953" t="n">
        <v>399000000</v>
      </c>
      <c r="H953" t="n">
        <v>0.6</v>
      </c>
      <c r="I953" s="28" t="n">
        <v>46109</v>
      </c>
      <c r="J953" s="28" t="n">
        <v>46267</v>
      </c>
      <c r="K953" t="n">
        <v>2</v>
      </c>
      <c r="L953" t="inlineStr">
        <is>
          <t>Evaluando plan de pagos</t>
        </is>
      </c>
    </row>
    <row r="954" ht="15.75" customHeight="1" s="25">
      <c r="A954" t="inlineStr">
        <is>
          <t>NEG-0952</t>
        </is>
      </c>
      <c r="B954" t="inlineStr">
        <is>
          <t>Cristian Palacio Salcedo</t>
        </is>
      </c>
      <c r="C954" t="inlineStr">
        <is>
          <t>PRY-001</t>
        </is>
      </c>
      <c r="D954" t="inlineStr">
        <is>
          <t>Apto 703</t>
        </is>
      </c>
      <c r="E954" t="inlineStr">
        <is>
          <t>Andrés Torres</t>
        </is>
      </c>
      <c r="F954" t="inlineStr">
        <is>
          <t>Ganado</t>
        </is>
      </c>
      <c r="G954" t="n">
        <v>871000000</v>
      </c>
      <c r="H954" t="n">
        <v>1</v>
      </c>
      <c r="I954" s="28" t="n">
        <v>46110</v>
      </c>
      <c r="J954" s="28" t="n">
        <v>46199</v>
      </c>
      <c r="K954" t="n">
        <v>89</v>
      </c>
      <c r="L954" t="inlineStr">
        <is>
          <t>Promesa de compraventa firmada</t>
        </is>
      </c>
    </row>
    <row r="955" ht="15.75" customHeight="1" s="25">
      <c r="A955" t="inlineStr">
        <is>
          <t>NEG-0953</t>
        </is>
      </c>
      <c r="B955" t="inlineStr">
        <is>
          <t>Daniela Zapata Pérez</t>
        </is>
      </c>
      <c r="C955" t="inlineStr">
        <is>
          <t>PRY-006</t>
        </is>
      </c>
      <c r="D955" t="inlineStr">
        <is>
          <t>Local 28</t>
        </is>
      </c>
      <c r="E955" t="inlineStr">
        <is>
          <t>Ana Quintero</t>
        </is>
      </c>
      <c r="F955" t="inlineStr">
        <is>
          <t>Ganado</t>
        </is>
      </c>
      <c r="G955" t="n">
        <v>875000000</v>
      </c>
      <c r="H955" t="n">
        <v>1</v>
      </c>
      <c r="I955" s="28" t="n">
        <v>46110</v>
      </c>
      <c r="J955" s="28" t="n">
        <v>46181</v>
      </c>
      <c r="K955" t="n">
        <v>71</v>
      </c>
      <c r="L955" t="inlineStr">
        <is>
          <t>Promesa de compraventa firmada</t>
        </is>
      </c>
    </row>
    <row r="956" ht="15.75" customHeight="1" s="25">
      <c r="A956" t="inlineStr">
        <is>
          <t>NEG-0954</t>
        </is>
      </c>
      <c r="B956" t="inlineStr">
        <is>
          <t>Catalina Toro Londoño</t>
        </is>
      </c>
      <c r="C956" t="inlineStr">
        <is>
          <t>PRY-005</t>
        </is>
      </c>
      <c r="D956" t="inlineStr">
        <is>
          <t>Casa 7</t>
        </is>
      </c>
      <c r="E956" t="inlineStr">
        <is>
          <t>Santiago Muñoz</t>
        </is>
      </c>
      <c r="F956" t="inlineStr">
        <is>
          <t>Perdido</t>
        </is>
      </c>
      <c r="G956" t="n">
        <v>418000000</v>
      </c>
      <c r="H956" t="n">
        <v>0</v>
      </c>
      <c r="I956" s="28" t="n">
        <v>46111</v>
      </c>
      <c r="J956" s="28" t="n">
        <v>46151</v>
      </c>
      <c r="K956" t="n">
        <v>40</v>
      </c>
      <c r="L956" t="inlineStr">
        <is>
          <t>Precio fuera de presupuesto</t>
        </is>
      </c>
    </row>
    <row r="957" ht="15.75" customHeight="1" s="25">
      <c r="A957" t="inlineStr">
        <is>
          <t>NEG-0955</t>
        </is>
      </c>
      <c r="B957" t="inlineStr">
        <is>
          <t>Felipe Montes Espinosa</t>
        </is>
      </c>
      <c r="C957" t="inlineStr">
        <is>
          <t>PRY-001</t>
        </is>
      </c>
      <c r="D957" t="inlineStr">
        <is>
          <t>Apto 1402</t>
        </is>
      </c>
      <c r="E957" t="inlineStr">
        <is>
          <t>Mateo Herrera</t>
        </is>
      </c>
      <c r="F957" t="inlineStr">
        <is>
          <t>Negociación</t>
        </is>
      </c>
      <c r="G957" t="n">
        <v>917000000</v>
      </c>
      <c r="H957" t="n">
        <v>0.75</v>
      </c>
      <c r="I957" s="28" t="n">
        <v>46112</v>
      </c>
      <c r="J957" s="28" t="n">
        <v>46245</v>
      </c>
      <c r="K957" t="n">
        <v>7</v>
      </c>
      <c r="L957" t="inlineStr">
        <is>
          <t>Negociando descuento por pago de contado</t>
        </is>
      </c>
    </row>
    <row r="958" ht="15.75" customHeight="1" s="25">
      <c r="A958" t="inlineStr">
        <is>
          <t>NEG-0956</t>
        </is>
      </c>
      <c r="B958" t="inlineStr">
        <is>
          <t>Julián Zapata Salcedo</t>
        </is>
      </c>
      <c r="C958" t="inlineStr">
        <is>
          <t>PRY-003</t>
        </is>
      </c>
      <c r="D958" t="inlineStr">
        <is>
          <t>Apto 903</t>
        </is>
      </c>
      <c r="E958" t="inlineStr">
        <is>
          <t>Santiago Muñoz</t>
        </is>
      </c>
      <c r="F958" t="inlineStr">
        <is>
          <t>Ganado</t>
        </is>
      </c>
      <c r="G958" t="n">
        <v>364000000</v>
      </c>
      <c r="H958" t="n">
        <v>1</v>
      </c>
      <c r="I958" s="28" t="n">
        <v>46112</v>
      </c>
      <c r="J958" s="28" t="n">
        <v>46202</v>
      </c>
      <c r="K958" t="n">
        <v>90</v>
      </c>
      <c r="L958" t="inlineStr">
        <is>
          <t>Promesa de compraventa firmada</t>
        </is>
      </c>
    </row>
    <row r="959" ht="15.75" customHeight="1" s="25">
      <c r="A959" t="inlineStr">
        <is>
          <t>NEG-0957</t>
        </is>
      </c>
      <c r="B959" t="inlineStr">
        <is>
          <t>David Arango Duque</t>
        </is>
      </c>
      <c r="C959" t="inlineStr">
        <is>
          <t>PRY-008</t>
        </is>
      </c>
      <c r="D959" t="inlineStr">
        <is>
          <t>Casa 7</t>
        </is>
      </c>
      <c r="E959" t="inlineStr">
        <is>
          <t>Daniela Ríos</t>
        </is>
      </c>
      <c r="F959" t="inlineStr">
        <is>
          <t>Perdido</t>
        </is>
      </c>
      <c r="G959" t="n">
        <v>190000000</v>
      </c>
      <c r="H959" t="n">
        <v>0</v>
      </c>
      <c r="I959" s="28" t="n">
        <v>46112</v>
      </c>
      <c r="J959" s="28" t="n">
        <v>46146</v>
      </c>
      <c r="K959" t="n">
        <v>34</v>
      </c>
      <c r="L959" t="inlineStr">
        <is>
          <t>Desistió de la compra</t>
        </is>
      </c>
    </row>
    <row r="960" ht="15.75" customHeight="1" s="25">
      <c r="A960" t="inlineStr">
        <is>
          <t>NEG-0958</t>
        </is>
      </c>
      <c r="B960" t="inlineStr">
        <is>
          <t>Iván Palacio Uribe</t>
        </is>
      </c>
      <c r="C960" t="inlineStr">
        <is>
          <t>PRY-008</t>
        </is>
      </c>
      <c r="D960" t="inlineStr">
        <is>
          <t>Casa 18</t>
        </is>
      </c>
      <c r="E960" t="inlineStr">
        <is>
          <t>Luis Bedoya</t>
        </is>
      </c>
      <c r="F960" t="inlineStr">
        <is>
          <t>Ganado</t>
        </is>
      </c>
      <c r="G960" t="n">
        <v>153000000</v>
      </c>
      <c r="H960" t="n">
        <v>1</v>
      </c>
      <c r="I960" s="28" t="n">
        <v>46113</v>
      </c>
      <c r="J960" s="28" t="n">
        <v>46169</v>
      </c>
      <c r="K960" t="n">
        <v>56</v>
      </c>
      <c r="L960" t="inlineStr">
        <is>
          <t>Promesa de compraventa firmada</t>
        </is>
      </c>
    </row>
    <row r="961" ht="15.75" customHeight="1" s="25">
      <c r="A961" t="inlineStr">
        <is>
          <t>NEG-0959</t>
        </is>
      </c>
      <c r="B961" t="inlineStr">
        <is>
          <t>Lorena Cano Rojas</t>
        </is>
      </c>
      <c r="C961" t="inlineStr">
        <is>
          <t>PRY-001</t>
        </is>
      </c>
      <c r="D961" t="inlineStr">
        <is>
          <t>Apto 301</t>
        </is>
      </c>
      <c r="E961" t="inlineStr">
        <is>
          <t>Luis Bedoya</t>
        </is>
      </c>
      <c r="F961" t="inlineStr">
        <is>
          <t>Perdido</t>
        </is>
      </c>
      <c r="G961" t="n">
        <v>801000000</v>
      </c>
      <c r="H961" t="n">
        <v>0</v>
      </c>
      <c r="I961" s="28" t="n">
        <v>46114</v>
      </c>
      <c r="J961" s="28" t="n">
        <v>46183</v>
      </c>
      <c r="K961" t="n">
        <v>69</v>
      </c>
      <c r="L961" t="inlineStr">
        <is>
          <t>Desistió de la compra</t>
        </is>
      </c>
    </row>
    <row r="962" ht="15.75" customHeight="1" s="25">
      <c r="A962" t="inlineStr">
        <is>
          <t>NEG-0960</t>
        </is>
      </c>
      <c r="B962" t="inlineStr">
        <is>
          <t>Natalia Agudelo Gaviria</t>
        </is>
      </c>
      <c r="C962" t="inlineStr">
        <is>
          <t>PRY-007</t>
        </is>
      </c>
      <c r="D962" t="inlineStr">
        <is>
          <t>Apto 706</t>
        </is>
      </c>
      <c r="E962" t="inlineStr">
        <is>
          <t>Juliana Vélez</t>
        </is>
      </c>
      <c r="F962" t="inlineStr">
        <is>
          <t>Negociación</t>
        </is>
      </c>
      <c r="G962" t="n">
        <v>813000000</v>
      </c>
      <c r="H962" t="n">
        <v>0.75</v>
      </c>
      <c r="I962" s="28" t="n">
        <v>46115</v>
      </c>
      <c r="J962" s="28" t="n">
        <v>46313</v>
      </c>
      <c r="K962" t="n">
        <v>23</v>
      </c>
      <c r="L962" t="inlineStr">
        <is>
          <t>Requiere aprobación de crédito</t>
        </is>
      </c>
    </row>
    <row r="963" ht="15.75" customHeight="1" s="25">
      <c r="A963" t="inlineStr">
        <is>
          <t>NEG-0961</t>
        </is>
      </c>
      <c r="B963" t="inlineStr">
        <is>
          <t>Hernán Cano Escobar</t>
        </is>
      </c>
      <c r="C963" t="inlineStr">
        <is>
          <t>PRY-005</t>
        </is>
      </c>
      <c r="D963" t="inlineStr">
        <is>
          <t>Apto 708</t>
        </is>
      </c>
      <c r="E963" t="inlineStr">
        <is>
          <t>Andrés Torres</t>
        </is>
      </c>
      <c r="F963" t="inlineStr">
        <is>
          <t>Ganado</t>
        </is>
      </c>
      <c r="G963" t="n">
        <v>410000000</v>
      </c>
      <c r="H963" t="n">
        <v>1</v>
      </c>
      <c r="I963" s="28" t="n">
        <v>46117</v>
      </c>
      <c r="J963" s="28" t="n">
        <v>46186</v>
      </c>
      <c r="K963" t="n">
        <v>69</v>
      </c>
      <c r="L963" t="inlineStr">
        <is>
          <t>Promesa de compraventa firmada</t>
        </is>
      </c>
    </row>
    <row r="964" ht="15.75" customHeight="1" s="25">
      <c r="A964" t="inlineStr">
        <is>
          <t>NEG-0962</t>
        </is>
      </c>
      <c r="B964" t="inlineStr">
        <is>
          <t>Óscar Ramírez Agudelo</t>
        </is>
      </c>
      <c r="C964" t="inlineStr">
        <is>
          <t>PRY-007</t>
        </is>
      </c>
      <c r="D964" t="inlineStr">
        <is>
          <t>Apto 1403</t>
        </is>
      </c>
      <c r="E964" t="inlineStr">
        <is>
          <t>Juliana Vélez</t>
        </is>
      </c>
      <c r="F964" t="inlineStr">
        <is>
          <t>Negociación</t>
        </is>
      </c>
      <c r="G964" t="n">
        <v>669000000</v>
      </c>
      <c r="H964" t="n">
        <v>0.75</v>
      </c>
      <c r="I964" s="28" t="n">
        <v>46117</v>
      </c>
      <c r="J964" s="28" t="n">
        <v>46308</v>
      </c>
      <c r="K964" t="n">
        <v>79</v>
      </c>
      <c r="L964" t="inlineStr">
        <is>
          <t>Negociando descuento por pago de contado</t>
        </is>
      </c>
    </row>
    <row r="965" ht="15.75" customHeight="1" s="25">
      <c r="A965" t="inlineStr">
        <is>
          <t>NEG-0963</t>
        </is>
      </c>
      <c r="B965" t="inlineStr">
        <is>
          <t>Alejandro Sánchez Ochoa</t>
        </is>
      </c>
      <c r="C965" t="inlineStr">
        <is>
          <t>PRY-002</t>
        </is>
      </c>
      <c r="D965" t="inlineStr">
        <is>
          <t>Casa 54</t>
        </is>
      </c>
      <c r="E965" t="inlineStr">
        <is>
          <t>Luis Bedoya</t>
        </is>
      </c>
      <c r="F965" t="inlineStr">
        <is>
          <t>Negociación</t>
        </is>
      </c>
      <c r="G965" t="n">
        <v>858000000</v>
      </c>
      <c r="H965" t="n">
        <v>0.75</v>
      </c>
      <c r="I965" s="28" t="n">
        <v>46118</v>
      </c>
      <c r="J965" s="28" t="n">
        <v>46299</v>
      </c>
      <c r="K965" t="n">
        <v>31</v>
      </c>
      <c r="L965" t="inlineStr">
        <is>
          <t>Requiere aprobación de crédito</t>
        </is>
      </c>
    </row>
    <row r="966" ht="15.75" customHeight="1" s="25">
      <c r="A966" t="inlineStr">
        <is>
          <t>NEG-0964</t>
        </is>
      </c>
      <c r="B966" t="inlineStr">
        <is>
          <t>Fernando Restrepo Arango</t>
        </is>
      </c>
      <c r="C966" t="inlineStr">
        <is>
          <t>PRY-002</t>
        </is>
      </c>
      <c r="D966" t="inlineStr">
        <is>
          <t>Casa 25</t>
        </is>
      </c>
      <c r="E966" t="inlineStr">
        <is>
          <t>Sofía Prada</t>
        </is>
      </c>
      <c r="F966" t="inlineStr">
        <is>
          <t>Propuesta Económica</t>
        </is>
      </c>
      <c r="G966" t="n">
        <v>764000000</v>
      </c>
      <c r="H966" t="n">
        <v>0.6</v>
      </c>
      <c r="I966" s="28" t="n">
        <v>46118</v>
      </c>
      <c r="J966" s="28" t="n">
        <v>46294</v>
      </c>
      <c r="K966" t="n">
        <v>47</v>
      </c>
      <c r="L966" t="inlineStr">
        <is>
          <t>Evaluando plan de pagos</t>
        </is>
      </c>
    </row>
    <row r="967" ht="15.75" customHeight="1" s="25">
      <c r="A967" t="inlineStr">
        <is>
          <t>NEG-0965</t>
        </is>
      </c>
      <c r="B967" t="inlineStr">
        <is>
          <t>David Londoño Bedoya</t>
        </is>
      </c>
      <c r="C967" t="inlineStr">
        <is>
          <t>PRY-003</t>
        </is>
      </c>
      <c r="D967" t="inlineStr">
        <is>
          <t>Apto 1806</t>
        </is>
      </c>
      <c r="E967" t="inlineStr">
        <is>
          <t>Sofía Prada</t>
        </is>
      </c>
      <c r="F967" t="inlineStr">
        <is>
          <t>Ganado</t>
        </is>
      </c>
      <c r="G967" t="n">
        <v>444000000</v>
      </c>
      <c r="H967" t="n">
        <v>1</v>
      </c>
      <c r="I967" s="28" t="n">
        <v>46119</v>
      </c>
      <c r="J967" s="28" t="n">
        <v>46173</v>
      </c>
      <c r="K967" t="n">
        <v>54</v>
      </c>
      <c r="L967" t="inlineStr">
        <is>
          <t>Promesa de compraventa firmada</t>
        </is>
      </c>
    </row>
    <row r="968" ht="15.75" customHeight="1" s="25">
      <c r="A968" t="inlineStr">
        <is>
          <t>NEG-0966</t>
        </is>
      </c>
      <c r="B968" t="inlineStr">
        <is>
          <t>Simón Gaviria Betancur</t>
        </is>
      </c>
      <c r="C968" t="inlineStr">
        <is>
          <t>PRY-001</t>
        </is>
      </c>
      <c r="D968" t="inlineStr">
        <is>
          <t>Apto 1506</t>
        </is>
      </c>
      <c r="E968" t="inlineStr">
        <is>
          <t>Miguel Salazar</t>
        </is>
      </c>
      <c r="F968" t="inlineStr">
        <is>
          <t>Cierre</t>
        </is>
      </c>
      <c r="G968" t="n">
        <v>827000000</v>
      </c>
      <c r="H968" t="n">
        <v>0.9</v>
      </c>
      <c r="I968" s="28" t="n">
        <v>46121</v>
      </c>
      <c r="J968" s="28" t="n">
        <v>46271</v>
      </c>
      <c r="K968" t="n">
        <v>4</v>
      </c>
      <c r="L968" t="inlineStr">
        <is>
          <t>Firma de promesa de compraventa programada</t>
        </is>
      </c>
    </row>
    <row r="969" ht="15.75" customHeight="1" s="25">
      <c r="A969" t="inlineStr">
        <is>
          <t>NEG-0967</t>
        </is>
      </c>
      <c r="B969" t="inlineStr">
        <is>
          <t>Fernando Betancur Mejía</t>
        </is>
      </c>
      <c r="C969" t="inlineStr">
        <is>
          <t>PRY-003</t>
        </is>
      </c>
      <c r="D969" t="inlineStr">
        <is>
          <t>Apto 208</t>
        </is>
      </c>
      <c r="E969" t="inlineStr">
        <is>
          <t>Ana Quintero</t>
        </is>
      </c>
      <c r="F969" t="inlineStr">
        <is>
          <t>Visita Inmueble</t>
        </is>
      </c>
      <c r="G969" t="n">
        <v>316000000</v>
      </c>
      <c r="H969" t="n">
        <v>0.4</v>
      </c>
      <c r="I969" s="28" t="n">
        <v>46121</v>
      </c>
      <c r="J969" s="28" t="n">
        <v>46246</v>
      </c>
      <c r="K969" t="n">
        <v>5</v>
      </c>
      <c r="L969" t="inlineStr">
        <is>
          <t>Visitó el apartamento modelo</t>
        </is>
      </c>
    </row>
    <row r="970" ht="15.75" customHeight="1" s="25">
      <c r="A970" t="inlineStr">
        <is>
          <t>NEG-0968</t>
        </is>
      </c>
      <c r="B970" t="inlineStr">
        <is>
          <t>Mauricio Marín Muñoz</t>
        </is>
      </c>
      <c r="C970" t="inlineStr">
        <is>
          <t>PRY-003</t>
        </is>
      </c>
      <c r="D970" t="inlineStr">
        <is>
          <t>Apto 1207</t>
        </is>
      </c>
      <c r="E970" t="inlineStr">
        <is>
          <t>Andrés Torres</t>
        </is>
      </c>
      <c r="F970" t="inlineStr">
        <is>
          <t>Ganado</t>
        </is>
      </c>
      <c r="G970" t="n">
        <v>409000000</v>
      </c>
      <c r="H970" t="n">
        <v>1</v>
      </c>
      <c r="I970" s="28" t="n">
        <v>46122</v>
      </c>
      <c r="J970" s="28" t="n">
        <v>46175</v>
      </c>
      <c r="K970" t="n">
        <v>53</v>
      </c>
      <c r="L970" t="inlineStr">
        <is>
          <t>Promesa de compraventa firmada</t>
        </is>
      </c>
    </row>
    <row r="971" ht="15.75" customHeight="1" s="25">
      <c r="A971" t="inlineStr">
        <is>
          <t>NEG-0969</t>
        </is>
      </c>
      <c r="B971" t="inlineStr">
        <is>
          <t>Mateo Vargas Giraldo</t>
        </is>
      </c>
      <c r="C971" t="inlineStr">
        <is>
          <t>PRY-008</t>
        </is>
      </c>
      <c r="D971" t="inlineStr">
        <is>
          <t>Casa 80</t>
        </is>
      </c>
      <c r="E971" t="inlineStr">
        <is>
          <t>Mateo Herrera</t>
        </is>
      </c>
      <c r="F971" t="inlineStr">
        <is>
          <t>Ganado</t>
        </is>
      </c>
      <c r="G971" t="n">
        <v>184000000</v>
      </c>
      <c r="H971" t="n">
        <v>1</v>
      </c>
      <c r="I971" s="28" t="n">
        <v>46122</v>
      </c>
      <c r="J971" s="28" t="n">
        <v>46142</v>
      </c>
      <c r="K971" t="n">
        <v>20</v>
      </c>
      <c r="L971" t="inlineStr">
        <is>
          <t>Promesa de compraventa firmada</t>
        </is>
      </c>
    </row>
    <row r="972" ht="15.75" customHeight="1" s="25">
      <c r="A972" t="inlineStr">
        <is>
          <t>NEG-0970</t>
        </is>
      </c>
      <c r="B972" t="inlineStr">
        <is>
          <t>Camila Marín Sánchez</t>
        </is>
      </c>
      <c r="C972" t="inlineStr">
        <is>
          <t>PRY-005</t>
        </is>
      </c>
      <c r="D972" t="inlineStr">
        <is>
          <t>Apto 1108</t>
        </is>
      </c>
      <c r="E972" t="inlineStr">
        <is>
          <t>Luis Bedoya</t>
        </is>
      </c>
      <c r="F972" t="inlineStr">
        <is>
          <t>Negociación</t>
        </is>
      </c>
      <c r="G972" t="n">
        <v>489000000</v>
      </c>
      <c r="H972" t="n">
        <v>0.75</v>
      </c>
      <c r="I972" s="28" t="n">
        <v>46123</v>
      </c>
      <c r="J972" s="28" t="n">
        <v>46286</v>
      </c>
      <c r="K972" t="n">
        <v>41</v>
      </c>
      <c r="L972" t="inlineStr">
        <is>
          <t>Requiere aprobación de crédito</t>
        </is>
      </c>
    </row>
    <row r="973" ht="15.75" customHeight="1" s="25">
      <c r="A973" t="inlineStr">
        <is>
          <t>NEG-0971</t>
        </is>
      </c>
      <c r="B973" t="inlineStr">
        <is>
          <t>Diana Echeverri Zuluaga</t>
        </is>
      </c>
      <c r="C973" t="inlineStr">
        <is>
          <t>PRY-008</t>
        </is>
      </c>
      <c r="D973" t="inlineStr">
        <is>
          <t>Casa 98</t>
        </is>
      </c>
      <c r="E973" t="inlineStr">
        <is>
          <t>Ana Quintero</t>
        </is>
      </c>
      <c r="F973" t="inlineStr">
        <is>
          <t>Propuesta Económica</t>
        </is>
      </c>
      <c r="G973" t="n">
        <v>146000000</v>
      </c>
      <c r="H973" t="n">
        <v>0.6</v>
      </c>
      <c r="I973" s="28" t="n">
        <v>46123</v>
      </c>
      <c r="J973" s="28" t="n">
        <v>46267</v>
      </c>
      <c r="K973" t="n">
        <v>4</v>
      </c>
      <c r="L973" t="inlineStr">
        <is>
          <t>Cotización enviada</t>
        </is>
      </c>
    </row>
    <row r="974" ht="15.75" customHeight="1" s="25">
      <c r="A974" t="inlineStr">
        <is>
          <t>NEG-0972</t>
        </is>
      </c>
      <c r="B974" t="inlineStr">
        <is>
          <t>Felipe Montoya Pérez</t>
        </is>
      </c>
      <c r="C974" t="inlineStr">
        <is>
          <t>PRY-006</t>
        </is>
      </c>
      <c r="D974" t="inlineStr">
        <is>
          <t>Local 15</t>
        </is>
      </c>
      <c r="E974" t="inlineStr">
        <is>
          <t>Miguel Salazar</t>
        </is>
      </c>
      <c r="F974" t="inlineStr">
        <is>
          <t>Cierre</t>
        </is>
      </c>
      <c r="G974" t="n">
        <v>751000000</v>
      </c>
      <c r="H974" t="n">
        <v>0.9</v>
      </c>
      <c r="I974" s="28" t="n">
        <v>46124</v>
      </c>
      <c r="J974" s="28" t="n">
        <v>46272</v>
      </c>
      <c r="K974" t="n">
        <v>30</v>
      </c>
      <c r="L974" t="inlineStr">
        <is>
          <t>Separación en trámite</t>
        </is>
      </c>
    </row>
    <row r="975" ht="15.75" customHeight="1" s="25">
      <c r="A975" t="inlineStr">
        <is>
          <t>NEG-0973</t>
        </is>
      </c>
      <c r="B975" t="inlineStr">
        <is>
          <t>Katherine Echeverri Higuita</t>
        </is>
      </c>
      <c r="C975" t="inlineStr">
        <is>
          <t>PRY-008</t>
        </is>
      </c>
      <c r="D975" t="inlineStr">
        <is>
          <t>Casa 43</t>
        </is>
      </c>
      <c r="E975" t="inlineStr">
        <is>
          <t>Miguel Salazar</t>
        </is>
      </c>
      <c r="F975" t="inlineStr">
        <is>
          <t>Ganado</t>
        </is>
      </c>
      <c r="G975" t="n">
        <v>192000000</v>
      </c>
      <c r="H975" t="n">
        <v>1</v>
      </c>
      <c r="I975" s="28" t="n">
        <v>46124</v>
      </c>
      <c r="J975" s="28" t="n">
        <v>46190</v>
      </c>
      <c r="K975" t="n">
        <v>66</v>
      </c>
      <c r="L975" t="inlineStr">
        <is>
          <t>Promesa de compraventa firmada</t>
        </is>
      </c>
    </row>
    <row r="976" ht="15.75" customHeight="1" s="25">
      <c r="A976" t="inlineStr">
        <is>
          <t>NEG-0974</t>
        </is>
      </c>
      <c r="B976" t="inlineStr">
        <is>
          <t>Andrés Gómez Sánchez</t>
        </is>
      </c>
      <c r="C976" t="inlineStr">
        <is>
          <t>PRY-005</t>
        </is>
      </c>
      <c r="D976" t="inlineStr">
        <is>
          <t>Apto 1007</t>
        </is>
      </c>
      <c r="E976" t="inlineStr">
        <is>
          <t>Miguel Salazar</t>
        </is>
      </c>
      <c r="F976" t="inlineStr">
        <is>
          <t>Ganado</t>
        </is>
      </c>
      <c r="G976" t="n">
        <v>494000000</v>
      </c>
      <c r="H976" t="n">
        <v>1</v>
      </c>
      <c r="I976" s="28" t="n">
        <v>46125</v>
      </c>
      <c r="J976" s="28" t="n">
        <v>46193</v>
      </c>
      <c r="K976" t="n">
        <v>68</v>
      </c>
      <c r="L976" t="inlineStr">
        <is>
          <t>Promesa de compraventa firmada</t>
        </is>
      </c>
    </row>
    <row r="977" ht="15.75" customHeight="1" s="25">
      <c r="A977" t="inlineStr">
        <is>
          <t>NEG-0975</t>
        </is>
      </c>
      <c r="B977" t="inlineStr">
        <is>
          <t>Santiago Toro Mejía</t>
        </is>
      </c>
      <c r="C977" t="inlineStr">
        <is>
          <t>PRY-002</t>
        </is>
      </c>
      <c r="D977" t="inlineStr">
        <is>
          <t>Casa 27</t>
        </is>
      </c>
      <c r="E977" t="inlineStr">
        <is>
          <t>Andrés Torres</t>
        </is>
      </c>
      <c r="F977" t="inlineStr">
        <is>
          <t>Ganado</t>
        </is>
      </c>
      <c r="G977" t="n">
        <v>789000000</v>
      </c>
      <c r="H977" t="n">
        <v>1</v>
      </c>
      <c r="I977" s="28" t="n">
        <v>46127</v>
      </c>
      <c r="J977" s="28" t="n">
        <v>46198</v>
      </c>
      <c r="K977" t="n">
        <v>71</v>
      </c>
      <c r="L977" t="inlineStr">
        <is>
          <t>Promesa de compraventa firmada</t>
        </is>
      </c>
    </row>
    <row r="978" ht="15.75" customHeight="1" s="25">
      <c r="A978" t="inlineStr">
        <is>
          <t>NEG-0976</t>
        </is>
      </c>
      <c r="B978" t="inlineStr">
        <is>
          <t>Alejandro Álvarez Montes</t>
        </is>
      </c>
      <c r="C978" t="inlineStr">
        <is>
          <t>PRY-003</t>
        </is>
      </c>
      <c r="D978" t="inlineStr">
        <is>
          <t>Apto 803</t>
        </is>
      </c>
      <c r="E978" t="inlineStr">
        <is>
          <t>Paula Arenas</t>
        </is>
      </c>
      <c r="F978" t="inlineStr">
        <is>
          <t>Perdido</t>
        </is>
      </c>
      <c r="G978" t="n">
        <v>364000000</v>
      </c>
      <c r="H978" t="n">
        <v>0</v>
      </c>
      <c r="I978" s="28" t="n">
        <v>46128</v>
      </c>
      <c r="J978" s="28" t="n">
        <v>46184</v>
      </c>
      <c r="K978" t="n">
        <v>56</v>
      </c>
      <c r="L978" t="inlineStr">
        <is>
          <t>Eligió otro proyecto</t>
        </is>
      </c>
    </row>
    <row r="979" ht="15.75" customHeight="1" s="25">
      <c r="A979" t="inlineStr">
        <is>
          <t>NEG-0977</t>
        </is>
      </c>
      <c r="B979" t="inlineStr">
        <is>
          <t>Emilio Gómez Vásquez</t>
        </is>
      </c>
      <c r="C979" t="inlineStr">
        <is>
          <t>PRY-005</t>
        </is>
      </c>
      <c r="D979" t="inlineStr">
        <is>
          <t>Apto 1208</t>
        </is>
      </c>
      <c r="E979" t="inlineStr">
        <is>
          <t>Daniela Ríos</t>
        </is>
      </c>
      <c r="F979" t="inlineStr">
        <is>
          <t>Negociación</t>
        </is>
      </c>
      <c r="G979" t="n">
        <v>462000000</v>
      </c>
      <c r="H979" t="n">
        <v>0.75</v>
      </c>
      <c r="I979" s="28" t="n">
        <v>46129</v>
      </c>
      <c r="J979" s="28" t="n">
        <v>46296</v>
      </c>
      <c r="K979" t="n">
        <v>27</v>
      </c>
      <c r="L979" t="inlineStr">
        <is>
          <t>Negociando descuento por pago de contado</t>
        </is>
      </c>
    </row>
    <row r="980" ht="15.75" customHeight="1" s="25">
      <c r="A980" t="inlineStr">
        <is>
          <t>NEG-0978</t>
        </is>
      </c>
      <c r="B980" t="inlineStr">
        <is>
          <t>Esteban Zapata Álvarez</t>
        </is>
      </c>
      <c r="C980" t="inlineStr">
        <is>
          <t>PRY-001</t>
        </is>
      </c>
      <c r="D980" t="inlineStr">
        <is>
          <t>Apto 1904</t>
        </is>
      </c>
      <c r="E980" t="inlineStr">
        <is>
          <t>Andrés Torres</t>
        </is>
      </c>
      <c r="F980" t="inlineStr">
        <is>
          <t>Perdido</t>
        </is>
      </c>
      <c r="G980" t="n">
        <v>678000000</v>
      </c>
      <c r="H980" t="n">
        <v>0</v>
      </c>
      <c r="I980" s="28" t="n">
        <v>46130</v>
      </c>
      <c r="J980" s="28" t="n">
        <v>46197</v>
      </c>
      <c r="K980" t="n">
        <v>67</v>
      </c>
      <c r="L980" t="inlineStr">
        <is>
          <t>Desistió de la compra</t>
        </is>
      </c>
    </row>
    <row r="981" ht="15.75" customHeight="1" s="25">
      <c r="A981" t="inlineStr">
        <is>
          <t>NEG-0979</t>
        </is>
      </c>
      <c r="B981" t="inlineStr">
        <is>
          <t>Jorge Correa Valencia</t>
        </is>
      </c>
      <c r="C981" t="inlineStr">
        <is>
          <t>PRY-005</t>
        </is>
      </c>
      <c r="D981" t="inlineStr">
        <is>
          <t>Casa 40</t>
        </is>
      </c>
      <c r="E981" t="inlineStr">
        <is>
          <t>Sofía Prada</t>
        </is>
      </c>
      <c r="F981" t="inlineStr">
        <is>
          <t>Propuesta Económica</t>
        </is>
      </c>
      <c r="G981" t="n">
        <v>402000000</v>
      </c>
      <c r="H981" t="n">
        <v>0.6</v>
      </c>
      <c r="I981" s="28" t="n">
        <v>46130</v>
      </c>
      <c r="J981" s="28" t="n">
        <v>46321</v>
      </c>
      <c r="K981" t="n">
        <v>26</v>
      </c>
      <c r="L981" t="inlineStr">
        <is>
          <t>Cotización enviada</t>
        </is>
      </c>
    </row>
    <row r="982" ht="15.75" customHeight="1" s="25">
      <c r="A982" t="inlineStr">
        <is>
          <t>NEG-0980</t>
        </is>
      </c>
      <c r="B982" t="inlineStr">
        <is>
          <t>Juliana Vélez Salcedo</t>
        </is>
      </c>
      <c r="C982" t="inlineStr">
        <is>
          <t>PRY-006</t>
        </is>
      </c>
      <c r="D982" t="inlineStr">
        <is>
          <t>Local 1</t>
        </is>
      </c>
      <c r="E982" t="inlineStr">
        <is>
          <t>Miguel Salazar</t>
        </is>
      </c>
      <c r="F982" t="inlineStr">
        <is>
          <t>Negociación</t>
        </is>
      </c>
      <c r="G982" t="n">
        <v>751000000</v>
      </c>
      <c r="H982" t="n">
        <v>0.75</v>
      </c>
      <c r="I982" s="28" t="n">
        <v>46131</v>
      </c>
      <c r="J982" s="28" t="n">
        <v>46305</v>
      </c>
      <c r="K982" t="n">
        <v>16</v>
      </c>
      <c r="L982" t="inlineStr">
        <is>
          <t>Requiere aprobación de crédito</t>
        </is>
      </c>
    </row>
    <row r="983" ht="15.75" customHeight="1" s="25">
      <c r="A983" t="inlineStr">
        <is>
          <t>NEG-0981</t>
        </is>
      </c>
      <c r="B983" t="inlineStr">
        <is>
          <t>Diana Pérez Mejía</t>
        </is>
      </c>
      <c r="C983" t="inlineStr">
        <is>
          <t>PRY-007</t>
        </is>
      </c>
      <c r="D983" t="inlineStr">
        <is>
          <t>Apto 1001</t>
        </is>
      </c>
      <c r="E983" t="inlineStr">
        <is>
          <t>Juliana Vélez</t>
        </is>
      </c>
      <c r="F983" t="inlineStr">
        <is>
          <t>Visita Inmueble</t>
        </is>
      </c>
      <c r="G983" t="n">
        <v>745000000</v>
      </c>
      <c r="H983" t="n">
        <v>0.4</v>
      </c>
      <c r="I983" s="28" t="n">
        <v>46131</v>
      </c>
      <c r="J983" s="28" t="n">
        <v>46223</v>
      </c>
      <c r="K983" t="n">
        <v>30</v>
      </c>
      <c r="L983" t="inlineStr">
        <is>
          <t>Visitó el apartamento modelo</t>
        </is>
      </c>
    </row>
    <row r="984" ht="15.75" customHeight="1" s="25">
      <c r="A984" t="inlineStr">
        <is>
          <t>NEG-0982</t>
        </is>
      </c>
      <c r="B984" t="inlineStr">
        <is>
          <t>Valentina Henao Mejía</t>
        </is>
      </c>
      <c r="C984" t="inlineStr">
        <is>
          <t>PRY-003</t>
        </is>
      </c>
      <c r="D984" t="inlineStr">
        <is>
          <t>Apto 802</t>
        </is>
      </c>
      <c r="E984" t="inlineStr">
        <is>
          <t>Santiago Muñoz</t>
        </is>
      </c>
      <c r="F984" t="inlineStr">
        <is>
          <t>Negociación</t>
        </is>
      </c>
      <c r="G984" t="n">
        <v>350000000</v>
      </c>
      <c r="H984" t="n">
        <v>0.75</v>
      </c>
      <c r="I984" s="28" t="n">
        <v>46132</v>
      </c>
      <c r="J984" s="28" t="n">
        <v>46283</v>
      </c>
      <c r="K984" t="n">
        <v>10</v>
      </c>
      <c r="L984" t="inlineStr">
        <is>
          <t>Requiere aprobación de crédito</t>
        </is>
      </c>
    </row>
    <row r="985" ht="15.75" customHeight="1" s="25">
      <c r="A985" t="inlineStr">
        <is>
          <t>NEG-0983</t>
        </is>
      </c>
      <c r="B985" t="inlineStr">
        <is>
          <t>Jorge Marín Valencia</t>
        </is>
      </c>
      <c r="C985" t="inlineStr">
        <is>
          <t>PRY-003</t>
        </is>
      </c>
      <c r="D985" t="inlineStr">
        <is>
          <t>Apto 2207</t>
        </is>
      </c>
      <c r="E985" t="inlineStr">
        <is>
          <t>Miguel Salazar</t>
        </is>
      </c>
      <c r="F985" t="inlineStr">
        <is>
          <t>Visita Inmueble</t>
        </is>
      </c>
      <c r="G985" t="n">
        <v>378000000</v>
      </c>
      <c r="H985" t="n">
        <v>0.4</v>
      </c>
      <c r="I985" s="28" t="n">
        <v>46132</v>
      </c>
      <c r="J985" s="28" t="n">
        <v>46214</v>
      </c>
      <c r="K985" t="n">
        <v>27</v>
      </c>
      <c r="L985" t="inlineStr">
        <is>
          <t>Visita a sala de ventas agendada</t>
        </is>
      </c>
    </row>
    <row r="986" ht="15.75" customHeight="1" s="25">
      <c r="A986" t="inlineStr">
        <is>
          <t>NEG-0984</t>
        </is>
      </c>
      <c r="B986" t="inlineStr">
        <is>
          <t>Alejandra Giraldo Cifuentes</t>
        </is>
      </c>
      <c r="C986" t="inlineStr">
        <is>
          <t>PRY-003</t>
        </is>
      </c>
      <c r="D986" t="inlineStr">
        <is>
          <t>Apto 706</t>
        </is>
      </c>
      <c r="E986" t="inlineStr">
        <is>
          <t>Santiago Muñoz</t>
        </is>
      </c>
      <c r="F986" t="inlineStr">
        <is>
          <t>Ganado</t>
        </is>
      </c>
      <c r="G986" t="n">
        <v>443000000</v>
      </c>
      <c r="H986" t="n">
        <v>1</v>
      </c>
      <c r="I986" s="28" t="n">
        <v>46133</v>
      </c>
      <c r="J986" s="28" t="n">
        <v>46198</v>
      </c>
      <c r="K986" t="n">
        <v>65</v>
      </c>
      <c r="L986" t="inlineStr">
        <is>
          <t>Promesa de compraventa firmada</t>
        </is>
      </c>
    </row>
    <row r="987" ht="15.75" customHeight="1" s="25">
      <c r="A987" t="inlineStr">
        <is>
          <t>NEG-0985</t>
        </is>
      </c>
      <c r="B987" t="inlineStr">
        <is>
          <t>Paula Muñoz Cardona</t>
        </is>
      </c>
      <c r="C987" t="inlineStr">
        <is>
          <t>PRY-003</t>
        </is>
      </c>
      <c r="D987" t="inlineStr">
        <is>
          <t>Apto 1201</t>
        </is>
      </c>
      <c r="E987" t="inlineStr">
        <is>
          <t>Juliana Vélez</t>
        </is>
      </c>
      <c r="F987" t="inlineStr">
        <is>
          <t>Ganado</t>
        </is>
      </c>
      <c r="G987" t="n">
        <v>363000000</v>
      </c>
      <c r="H987" t="n">
        <v>1</v>
      </c>
      <c r="I987" s="28" t="n">
        <v>46133</v>
      </c>
      <c r="J987" s="28" t="n">
        <v>46198</v>
      </c>
      <c r="K987" t="n">
        <v>65</v>
      </c>
      <c r="L987" t="inlineStr">
        <is>
          <t>Promesa de compraventa firmada</t>
        </is>
      </c>
    </row>
    <row r="988" ht="15.75" customHeight="1" s="25">
      <c r="A988" t="inlineStr">
        <is>
          <t>NEG-0986</t>
        </is>
      </c>
      <c r="B988" t="inlineStr">
        <is>
          <t>Santiago Osorio Muñoz</t>
        </is>
      </c>
      <c r="C988" t="inlineStr">
        <is>
          <t>PRY-007</t>
        </is>
      </c>
      <c r="D988" t="inlineStr">
        <is>
          <t>Apto 705</t>
        </is>
      </c>
      <c r="E988" t="inlineStr">
        <is>
          <t>Paula Arenas</t>
        </is>
      </c>
      <c r="F988" t="inlineStr">
        <is>
          <t>Ganado</t>
        </is>
      </c>
      <c r="G988" t="n">
        <v>589000000</v>
      </c>
      <c r="H988" t="n">
        <v>1</v>
      </c>
      <c r="I988" s="28" t="n">
        <v>46133</v>
      </c>
      <c r="J988" s="28" t="n">
        <v>46174</v>
      </c>
      <c r="K988" t="n">
        <v>41</v>
      </c>
      <c r="L988" t="inlineStr">
        <is>
          <t>Promesa de compraventa firmada</t>
        </is>
      </c>
    </row>
    <row r="989" ht="15.75" customHeight="1" s="25">
      <c r="A989" t="inlineStr">
        <is>
          <t>NEG-0987</t>
        </is>
      </c>
      <c r="B989" t="inlineStr">
        <is>
          <t>Iván Ochoa Palacio</t>
        </is>
      </c>
      <c r="C989" t="inlineStr">
        <is>
          <t>PRY-006</t>
        </is>
      </c>
      <c r="D989" t="inlineStr">
        <is>
          <t>Local 38</t>
        </is>
      </c>
      <c r="E989" t="inlineStr">
        <is>
          <t>Luis Bedoya</t>
        </is>
      </c>
      <c r="F989" t="inlineStr">
        <is>
          <t>Visita Inmueble</t>
        </is>
      </c>
      <c r="G989" t="n">
        <v>631000000</v>
      </c>
      <c r="H989" t="n">
        <v>0.4</v>
      </c>
      <c r="I989" s="28" t="n">
        <v>46134</v>
      </c>
      <c r="J989" s="28" t="n">
        <v>46217</v>
      </c>
      <c r="K989" t="n">
        <v>11</v>
      </c>
      <c r="L989" t="inlineStr">
        <is>
          <t>Visitó el apartamento modelo</t>
        </is>
      </c>
    </row>
    <row r="990" ht="15.75" customHeight="1" s="25">
      <c r="A990" t="inlineStr">
        <is>
          <t>NEG-0988</t>
        </is>
      </c>
      <c r="B990" t="inlineStr">
        <is>
          <t>Katherine Salazar Osorio</t>
        </is>
      </c>
      <c r="C990" t="inlineStr">
        <is>
          <t>PRY-007</t>
        </is>
      </c>
      <c r="D990" t="inlineStr">
        <is>
          <t>Apto 503</t>
        </is>
      </c>
      <c r="E990" t="inlineStr">
        <is>
          <t>Paula Arenas</t>
        </is>
      </c>
      <c r="F990" t="inlineStr">
        <is>
          <t>Ganado</t>
        </is>
      </c>
      <c r="G990" t="n">
        <v>815000000</v>
      </c>
      <c r="H990" t="n">
        <v>1</v>
      </c>
      <c r="I990" s="28" t="n">
        <v>46134</v>
      </c>
      <c r="J990" s="28" t="n">
        <v>46183</v>
      </c>
      <c r="K990" t="n">
        <v>49</v>
      </c>
      <c r="L990" t="inlineStr">
        <is>
          <t>Promesa de compraventa firmada</t>
        </is>
      </c>
    </row>
    <row r="991" ht="15.75" customHeight="1" s="25">
      <c r="A991" t="inlineStr">
        <is>
          <t>NEG-0989</t>
        </is>
      </c>
      <c r="B991" t="inlineStr">
        <is>
          <t>Mauricio Mejía Ochoa</t>
        </is>
      </c>
      <c r="C991" t="inlineStr">
        <is>
          <t>PRY-008</t>
        </is>
      </c>
      <c r="D991" t="inlineStr">
        <is>
          <t>Casa 61</t>
        </is>
      </c>
      <c r="E991" t="inlineStr">
        <is>
          <t>Santiago Muñoz</t>
        </is>
      </c>
      <c r="F991" t="inlineStr">
        <is>
          <t>Perdido</t>
        </is>
      </c>
      <c r="G991" t="n">
        <v>143000000</v>
      </c>
      <c r="H991" t="n">
        <v>0</v>
      </c>
      <c r="I991" s="28" t="n">
        <v>46135</v>
      </c>
      <c r="J991" s="28" t="n">
        <v>46180</v>
      </c>
      <c r="K991" t="n">
        <v>45</v>
      </c>
      <c r="L991" t="inlineStr">
        <is>
          <t>Precio fuera de presupuesto</t>
        </is>
      </c>
    </row>
    <row r="992" ht="15.75" customHeight="1" s="25">
      <c r="A992" t="inlineStr">
        <is>
          <t>NEG-0990</t>
        </is>
      </c>
      <c r="B992" t="inlineStr">
        <is>
          <t>Diana Correa Ríos</t>
        </is>
      </c>
      <c r="C992" t="inlineStr">
        <is>
          <t>PRY-003</t>
        </is>
      </c>
      <c r="D992" t="inlineStr">
        <is>
          <t>Apto 402</t>
        </is>
      </c>
      <c r="E992" t="inlineStr">
        <is>
          <t>Ana Quintero</t>
        </is>
      </c>
      <c r="F992" t="inlineStr">
        <is>
          <t>Negociación</t>
        </is>
      </c>
      <c r="G992" t="n">
        <v>356000000</v>
      </c>
      <c r="H992" t="n">
        <v>0.75</v>
      </c>
      <c r="I992" s="28" t="n">
        <v>46136</v>
      </c>
      <c r="J992" s="28" t="n">
        <v>46293</v>
      </c>
      <c r="K992" t="n">
        <v>7</v>
      </c>
      <c r="L992" t="inlineStr">
        <is>
          <t>Requiere aprobación de crédito</t>
        </is>
      </c>
    </row>
    <row r="993" ht="15.75" customHeight="1" s="25">
      <c r="A993" t="inlineStr">
        <is>
          <t>NEG-0991</t>
        </is>
      </c>
      <c r="B993" t="inlineStr">
        <is>
          <t>Natalia Escobar Vásquez</t>
        </is>
      </c>
      <c r="C993" t="inlineStr">
        <is>
          <t>PRY-005</t>
        </is>
      </c>
      <c r="D993" t="inlineStr">
        <is>
          <t>Apto 804</t>
        </is>
      </c>
      <c r="E993" t="inlineStr">
        <is>
          <t>Miguel Salazar</t>
        </is>
      </c>
      <c r="F993" t="inlineStr">
        <is>
          <t>Visita Inmueble</t>
        </is>
      </c>
      <c r="G993" t="n">
        <v>451000000</v>
      </c>
      <c r="H993" t="n">
        <v>0.4</v>
      </c>
      <c r="I993" s="28" t="n">
        <v>46136</v>
      </c>
      <c r="J993" s="28" t="n">
        <v>46268</v>
      </c>
      <c r="K993" t="n">
        <v>28</v>
      </c>
      <c r="L993" t="inlineStr">
        <is>
          <t>Visitó el apartamento modelo</t>
        </is>
      </c>
    </row>
    <row r="994" ht="15.75" customHeight="1" s="25">
      <c r="A994" t="inlineStr">
        <is>
          <t>NEG-0992</t>
        </is>
      </c>
      <c r="B994" t="inlineStr">
        <is>
          <t>María Cifuentes Mejía</t>
        </is>
      </c>
      <c r="C994" t="inlineStr">
        <is>
          <t>PRY-005</t>
        </is>
      </c>
      <c r="D994" t="inlineStr">
        <is>
          <t>Apto 1202</t>
        </is>
      </c>
      <c r="E994" t="inlineStr">
        <is>
          <t>Andrés Torres</t>
        </is>
      </c>
      <c r="F994" t="inlineStr">
        <is>
          <t>Visita Inmueble</t>
        </is>
      </c>
      <c r="G994" t="n">
        <v>446000000</v>
      </c>
      <c r="H994" t="n">
        <v>0.4</v>
      </c>
      <c r="I994" s="28" t="n">
        <v>46138</v>
      </c>
      <c r="J994" s="28" t="n">
        <v>46315</v>
      </c>
      <c r="K994" t="n">
        <v>37</v>
      </c>
      <c r="L994" t="inlineStr">
        <is>
          <t>Visitó el apartamento modelo</t>
        </is>
      </c>
    </row>
    <row r="995" ht="15.75" customHeight="1" s="25">
      <c r="A995" t="inlineStr">
        <is>
          <t>NEG-0993</t>
        </is>
      </c>
      <c r="B995" t="inlineStr">
        <is>
          <t>Cristian Ríos Rojas</t>
        </is>
      </c>
      <c r="C995" t="inlineStr">
        <is>
          <t>PRY-007</t>
        </is>
      </c>
      <c r="D995" t="inlineStr">
        <is>
          <t>Apto 502</t>
        </is>
      </c>
      <c r="E995" t="inlineStr">
        <is>
          <t>Santiago Muñoz</t>
        </is>
      </c>
      <c r="F995" t="inlineStr">
        <is>
          <t>Ganado</t>
        </is>
      </c>
      <c r="G995" t="n">
        <v>600000000</v>
      </c>
      <c r="H995" t="n">
        <v>1</v>
      </c>
      <c r="I995" s="28" t="n">
        <v>46138</v>
      </c>
      <c r="J995" s="28" t="n">
        <v>46201</v>
      </c>
      <c r="K995" t="n">
        <v>63</v>
      </c>
      <c r="L995" t="inlineStr">
        <is>
          <t>Promesa de compraventa firmada</t>
        </is>
      </c>
    </row>
    <row r="996" ht="15.75" customHeight="1" s="25">
      <c r="A996" t="inlineStr">
        <is>
          <t>NEG-0994</t>
        </is>
      </c>
      <c r="B996" t="inlineStr">
        <is>
          <t>Esteban Muñoz Cardona</t>
        </is>
      </c>
      <c r="C996" t="inlineStr">
        <is>
          <t>PRY-007</t>
        </is>
      </c>
      <c r="D996" t="inlineStr">
        <is>
          <t>Apto 1101</t>
        </is>
      </c>
      <c r="E996" t="inlineStr">
        <is>
          <t>Andrés Torres</t>
        </is>
      </c>
      <c r="F996" t="inlineStr">
        <is>
          <t>Negociación</t>
        </is>
      </c>
      <c r="G996" t="n">
        <v>695000000</v>
      </c>
      <c r="H996" t="n">
        <v>0.75</v>
      </c>
      <c r="I996" s="28" t="n">
        <v>46138</v>
      </c>
      <c r="J996" s="28" t="n">
        <v>46256</v>
      </c>
      <c r="K996" t="n">
        <v>43</v>
      </c>
      <c r="L996" t="inlineStr">
        <is>
          <t>Requiere aprobación de crédito</t>
        </is>
      </c>
    </row>
    <row r="997" ht="15.75" customHeight="1" s="25">
      <c r="A997" t="inlineStr">
        <is>
          <t>NEG-0995</t>
        </is>
      </c>
      <c r="B997" t="inlineStr">
        <is>
          <t>Patricia Pérez Gaviria</t>
        </is>
      </c>
      <c r="C997" t="inlineStr">
        <is>
          <t>PRY-001</t>
        </is>
      </c>
      <c r="D997" t="inlineStr">
        <is>
          <t>Apto 705</t>
        </is>
      </c>
      <c r="E997" t="inlineStr">
        <is>
          <t>Santiago Muñoz</t>
        </is>
      </c>
      <c r="F997" t="inlineStr">
        <is>
          <t>Negociación</t>
        </is>
      </c>
      <c r="G997" t="n">
        <v>742000000</v>
      </c>
      <c r="H997" t="n">
        <v>0.75</v>
      </c>
      <c r="I997" s="28" t="n">
        <v>46139</v>
      </c>
      <c r="J997" s="28" t="n">
        <v>46269</v>
      </c>
      <c r="K997" t="n">
        <v>2</v>
      </c>
      <c r="L997" t="inlineStr">
        <is>
          <t>Requiere aprobación de crédito</t>
        </is>
      </c>
    </row>
    <row r="998" ht="15.75" customHeight="1" s="25">
      <c r="A998" t="inlineStr">
        <is>
          <t>NEG-0996</t>
        </is>
      </c>
      <c r="B998" t="inlineStr">
        <is>
          <t>David Higuita Mejía</t>
        </is>
      </c>
      <c r="C998" t="inlineStr">
        <is>
          <t>PRY-003</t>
        </is>
      </c>
      <c r="D998" t="inlineStr">
        <is>
          <t>Apto 2508</t>
        </is>
      </c>
      <c r="E998" t="inlineStr">
        <is>
          <t>Sofía Prada</t>
        </is>
      </c>
      <c r="F998" t="inlineStr">
        <is>
          <t>Ganado</t>
        </is>
      </c>
      <c r="G998" t="n">
        <v>381000000</v>
      </c>
      <c r="H998" t="n">
        <v>1</v>
      </c>
      <c r="I998" s="28" t="n">
        <v>46139</v>
      </c>
      <c r="J998" s="28" t="n">
        <v>46174</v>
      </c>
      <c r="K998" t="n">
        <v>35</v>
      </c>
      <c r="L998" t="inlineStr">
        <is>
          <t>Promesa de compraventa firmada</t>
        </is>
      </c>
    </row>
    <row r="999" ht="15.75" customHeight="1" s="25">
      <c r="A999" t="inlineStr">
        <is>
          <t>NEG-0997</t>
        </is>
      </c>
      <c r="B999" t="inlineStr">
        <is>
          <t>Diego Rojas Mejía</t>
        </is>
      </c>
      <c r="C999" t="inlineStr">
        <is>
          <t>PRY-001</t>
        </is>
      </c>
      <c r="D999" t="inlineStr">
        <is>
          <t>Apto 1501</t>
        </is>
      </c>
      <c r="E999" t="inlineStr">
        <is>
          <t>Juliana Vélez</t>
        </is>
      </c>
      <c r="F999" t="inlineStr">
        <is>
          <t>Visita Inmueble</t>
        </is>
      </c>
      <c r="G999" t="n">
        <v>766000000</v>
      </c>
      <c r="H999" t="n">
        <v>0.4</v>
      </c>
      <c r="I999" s="28" t="n">
        <v>46140</v>
      </c>
      <c r="J999" s="28" t="n">
        <v>46228</v>
      </c>
      <c r="K999" t="n">
        <v>8</v>
      </c>
      <c r="L999" t="inlineStr">
        <is>
          <t>Visitó el apartamento modelo</t>
        </is>
      </c>
    </row>
    <row r="1000" ht="15.75" customHeight="1" s="25">
      <c r="A1000" t="inlineStr">
        <is>
          <t>NEG-0998</t>
        </is>
      </c>
      <c r="B1000" t="inlineStr">
        <is>
          <t>Emilio Salazar Londoño</t>
        </is>
      </c>
      <c r="C1000" t="inlineStr">
        <is>
          <t>PRY-005</t>
        </is>
      </c>
      <c r="D1000" t="inlineStr">
        <is>
          <t>Apto 607</t>
        </is>
      </c>
      <c r="E1000" t="inlineStr">
        <is>
          <t>Miguel Salazar</t>
        </is>
      </c>
      <c r="F1000" t="inlineStr">
        <is>
          <t>Ganado</t>
        </is>
      </c>
      <c r="G1000" t="n">
        <v>403000000</v>
      </c>
      <c r="H1000" t="n">
        <v>1</v>
      </c>
      <c r="I1000" s="28" t="n">
        <v>46140</v>
      </c>
      <c r="J1000" s="28" t="n">
        <v>46195</v>
      </c>
      <c r="K1000" t="n">
        <v>55</v>
      </c>
      <c r="L1000" t="inlineStr">
        <is>
          <t>Promesa de compraventa firmada</t>
        </is>
      </c>
    </row>
    <row r="1001">
      <c r="A1001" t="inlineStr">
        <is>
          <t>NEG-0999</t>
        </is>
      </c>
      <c r="B1001" t="inlineStr">
        <is>
          <t>Daniel Rojas Mejía</t>
        </is>
      </c>
      <c r="C1001" t="inlineStr">
        <is>
          <t>PRY-006</t>
        </is>
      </c>
      <c r="D1001" t="inlineStr">
        <is>
          <t>Local 20</t>
        </is>
      </c>
      <c r="E1001" t="inlineStr">
        <is>
          <t>Miguel Salazar</t>
        </is>
      </c>
      <c r="F1001" t="inlineStr">
        <is>
          <t>Cierre</t>
        </is>
      </c>
      <c r="G1001" t="n">
        <v>806000000</v>
      </c>
      <c r="H1001" t="n">
        <v>0.9</v>
      </c>
      <c r="I1001" s="28" t="n">
        <v>46140</v>
      </c>
      <c r="J1001" s="28" t="n">
        <v>46292</v>
      </c>
      <c r="K1001" t="n">
        <v>20</v>
      </c>
      <c r="L1001" t="inlineStr">
        <is>
          <t>Separación en trámite</t>
        </is>
      </c>
    </row>
    <row r="1002">
      <c r="A1002" t="inlineStr">
        <is>
          <t>NEG-1000</t>
        </is>
      </c>
      <c r="B1002" t="inlineStr">
        <is>
          <t>Isabel Sánchez Montes</t>
        </is>
      </c>
      <c r="C1002" t="inlineStr">
        <is>
          <t>PRY-003</t>
        </is>
      </c>
      <c r="D1002" t="inlineStr">
        <is>
          <t>Apto 2002</t>
        </is>
      </c>
      <c r="E1002" t="inlineStr">
        <is>
          <t>Paula Arenas</t>
        </is>
      </c>
      <c r="F1002" t="inlineStr">
        <is>
          <t>Ganado</t>
        </is>
      </c>
      <c r="G1002" t="n">
        <v>363000000</v>
      </c>
      <c r="H1002" t="n">
        <v>1</v>
      </c>
      <c r="I1002" s="28" t="n">
        <v>46141</v>
      </c>
      <c r="J1002" s="28" t="n">
        <v>46185</v>
      </c>
      <c r="K1002" t="n">
        <v>44</v>
      </c>
      <c r="L1002" t="inlineStr">
        <is>
          <t>Promesa de compraventa firmada</t>
        </is>
      </c>
    </row>
    <row r="1003">
      <c r="A1003" t="inlineStr">
        <is>
          <t>NEG-1001</t>
        </is>
      </c>
      <c r="B1003" t="inlineStr">
        <is>
          <t>Mónica Betancur Montoya</t>
        </is>
      </c>
      <c r="C1003" t="inlineStr">
        <is>
          <t>PRY-003</t>
        </is>
      </c>
      <c r="D1003" t="inlineStr">
        <is>
          <t>Apto 2605</t>
        </is>
      </c>
      <c r="E1003" t="inlineStr">
        <is>
          <t>Daniela Ríos</t>
        </is>
      </c>
      <c r="F1003" t="inlineStr">
        <is>
          <t>Propuesta Económica</t>
        </is>
      </c>
      <c r="G1003" t="n">
        <v>459000000</v>
      </c>
      <c r="H1003" t="n">
        <v>0.6</v>
      </c>
      <c r="I1003" s="28" t="n">
        <v>46141</v>
      </c>
      <c r="J1003" s="28" t="n">
        <v>46247</v>
      </c>
      <c r="K1003" t="n">
        <v>5</v>
      </c>
      <c r="L1003" t="inlineStr">
        <is>
          <t>Evaluando plan de pagos</t>
        </is>
      </c>
    </row>
    <row r="1004">
      <c r="A1004" t="inlineStr">
        <is>
          <t>NEG-1002</t>
        </is>
      </c>
      <c r="B1004" t="inlineStr">
        <is>
          <t>Cristian Vargas Jaramillo</t>
        </is>
      </c>
      <c r="C1004" t="inlineStr">
        <is>
          <t>PRY-008</t>
        </is>
      </c>
      <c r="D1004" t="inlineStr">
        <is>
          <t>Casa 53</t>
        </is>
      </c>
      <c r="E1004" t="inlineStr">
        <is>
          <t>Sofía Prada</t>
        </is>
      </c>
      <c r="F1004" t="inlineStr">
        <is>
          <t>Perdido</t>
        </is>
      </c>
      <c r="G1004" t="n">
        <v>178000000</v>
      </c>
      <c r="H1004" t="n">
        <v>0</v>
      </c>
      <c r="I1004" s="28" t="n">
        <v>46141</v>
      </c>
      <c r="J1004" s="28" t="n">
        <v>46167</v>
      </c>
      <c r="K1004" t="n">
        <v>26</v>
      </c>
      <c r="L1004" t="inlineStr">
        <is>
          <t>Crédito no aprobado</t>
        </is>
      </c>
    </row>
    <row r="1005">
      <c r="A1005" t="inlineStr">
        <is>
          <t>NEG-1003</t>
        </is>
      </c>
      <c r="B1005" t="inlineStr">
        <is>
          <t>Wilson Cardona Jaramillo</t>
        </is>
      </c>
      <c r="C1005" t="inlineStr">
        <is>
          <t>PRY-001</t>
        </is>
      </c>
      <c r="D1005" t="inlineStr">
        <is>
          <t>Apto 2006</t>
        </is>
      </c>
      <c r="E1005" t="inlineStr">
        <is>
          <t>Daniela Ríos</t>
        </is>
      </c>
      <c r="F1005" t="inlineStr">
        <is>
          <t>Negociación</t>
        </is>
      </c>
      <c r="G1005" t="n">
        <v>923000000</v>
      </c>
      <c r="H1005" t="n">
        <v>0.75</v>
      </c>
      <c r="I1005" s="28" t="n">
        <v>46142</v>
      </c>
      <c r="J1005" s="28" t="n">
        <v>46220</v>
      </c>
      <c r="K1005" t="n">
        <v>24</v>
      </c>
      <c r="L1005" t="inlineStr">
        <is>
          <t>Requiere aprobación de crédito</t>
        </is>
      </c>
    </row>
    <row r="1006">
      <c r="A1006" t="inlineStr">
        <is>
          <t>NEG-1004</t>
        </is>
      </c>
      <c r="B1006" t="inlineStr">
        <is>
          <t>Sandra Montes Salazar</t>
        </is>
      </c>
      <c r="C1006" t="inlineStr">
        <is>
          <t>PRY-006</t>
        </is>
      </c>
      <c r="D1006" t="inlineStr">
        <is>
          <t>Local 30</t>
        </is>
      </c>
      <c r="E1006" t="inlineStr">
        <is>
          <t>Santiago Muñoz</t>
        </is>
      </c>
      <c r="F1006" t="inlineStr">
        <is>
          <t>Contacto Inicial</t>
        </is>
      </c>
      <c r="G1006" t="n">
        <v>822000000</v>
      </c>
      <c r="H1006" t="n">
        <v>0.2</v>
      </c>
      <c r="I1006" s="28" t="n">
        <v>46142</v>
      </c>
      <c r="J1006" s="28" t="n">
        <v>46315</v>
      </c>
      <c r="K1006" t="n">
        <v>30</v>
      </c>
      <c r="L1006" t="inlineStr">
        <is>
          <t>Interesado, pidió plano de la unidad</t>
        </is>
      </c>
    </row>
    <row r="1007">
      <c r="A1007" t="inlineStr">
        <is>
          <t>NEG-1005</t>
        </is>
      </c>
      <c r="B1007" t="inlineStr">
        <is>
          <t>Manuela Montoya Cardona</t>
        </is>
      </c>
      <c r="C1007" t="inlineStr">
        <is>
          <t>PRY-001</t>
        </is>
      </c>
      <c r="D1007" t="inlineStr">
        <is>
          <t>Apto 905</t>
        </is>
      </c>
      <c r="E1007" t="inlineStr">
        <is>
          <t>Sofía Prada</t>
        </is>
      </c>
      <c r="F1007" t="inlineStr">
        <is>
          <t>Contacto Inicial</t>
        </is>
      </c>
      <c r="G1007" t="n">
        <v>736000000</v>
      </c>
      <c r="H1007" t="n">
        <v>0.2</v>
      </c>
      <c r="I1007" s="28" t="n">
        <v>46143</v>
      </c>
      <c r="J1007" s="28" t="n">
        <v>46281</v>
      </c>
      <c r="K1007" t="n">
        <v>21</v>
      </c>
      <c r="L1007" t="inlineStr">
        <is>
          <t>Primera llamada realizada</t>
        </is>
      </c>
    </row>
    <row r="1008">
      <c r="A1008" t="inlineStr">
        <is>
          <t>NEG-1006</t>
        </is>
      </c>
      <c r="B1008" t="inlineStr">
        <is>
          <t>Fernando Pérez Ochoa</t>
        </is>
      </c>
      <c r="C1008" t="inlineStr">
        <is>
          <t>PRY-001</t>
        </is>
      </c>
      <c r="D1008" t="inlineStr">
        <is>
          <t>Apto 1903</t>
        </is>
      </c>
      <c r="E1008" t="inlineStr">
        <is>
          <t>Ana Quintero</t>
        </is>
      </c>
      <c r="F1008" t="inlineStr">
        <is>
          <t>Contacto Inicial</t>
        </is>
      </c>
      <c r="G1008" t="n">
        <v>746000000</v>
      </c>
      <c r="H1008" t="n">
        <v>0.2</v>
      </c>
      <c r="I1008" s="28" t="n">
        <v>46143</v>
      </c>
      <c r="J1008" s="28" t="n">
        <v>46308</v>
      </c>
      <c r="K1008" t="n">
        <v>21</v>
      </c>
      <c r="L1008" t="inlineStr">
        <is>
          <t>Interesado, pidió plano de la unidad</t>
        </is>
      </c>
    </row>
    <row r="1009">
      <c r="A1009" t="inlineStr">
        <is>
          <t>NEG-1007</t>
        </is>
      </c>
      <c r="B1009" t="inlineStr">
        <is>
          <t>María Ramírez Zuluaga</t>
        </is>
      </c>
      <c r="C1009" t="inlineStr">
        <is>
          <t>PRY-003</t>
        </is>
      </c>
      <c r="D1009" t="inlineStr">
        <is>
          <t>Apto 2502</t>
        </is>
      </c>
      <c r="E1009" t="inlineStr">
        <is>
          <t>Juliana Vélez</t>
        </is>
      </c>
      <c r="F1009" t="inlineStr">
        <is>
          <t>Perdido</t>
        </is>
      </c>
      <c r="G1009" t="n">
        <v>353000000</v>
      </c>
      <c r="H1009" t="n">
        <v>0</v>
      </c>
      <c r="I1009" s="28" t="n">
        <v>46143</v>
      </c>
      <c r="J1009" s="28" t="n">
        <v>46187</v>
      </c>
      <c r="K1009" t="n">
        <v>44</v>
      </c>
      <c r="L1009" t="inlineStr">
        <is>
          <t>Crédito no aprobado</t>
        </is>
      </c>
    </row>
    <row r="1010">
      <c r="A1010" t="inlineStr">
        <is>
          <t>NEG-1008</t>
        </is>
      </c>
      <c r="B1010" t="inlineStr">
        <is>
          <t>Ricardo Cano Vásquez</t>
        </is>
      </c>
      <c r="C1010" t="inlineStr">
        <is>
          <t>PRY-003</t>
        </is>
      </c>
      <c r="D1010" t="inlineStr">
        <is>
          <t>Apto 404</t>
        </is>
      </c>
      <c r="E1010" t="inlineStr">
        <is>
          <t>Ana Quintero</t>
        </is>
      </c>
      <c r="F1010" t="inlineStr">
        <is>
          <t>Contacto Inicial</t>
        </is>
      </c>
      <c r="G1010" t="n">
        <v>315000000</v>
      </c>
      <c r="H1010" t="n">
        <v>0.2</v>
      </c>
      <c r="I1010" s="28" t="n">
        <v>46144</v>
      </c>
      <c r="J1010" s="28" t="n">
        <v>46219</v>
      </c>
      <c r="K1010" t="n">
        <v>44</v>
      </c>
      <c r="L1010" t="inlineStr">
        <is>
          <t>Primera llamada realizada</t>
        </is>
      </c>
    </row>
    <row r="1011">
      <c r="A1011" t="inlineStr">
        <is>
          <t>NEG-1009</t>
        </is>
      </c>
      <c r="B1011" t="inlineStr">
        <is>
          <t>José Ríos Sánchez</t>
        </is>
      </c>
      <c r="C1011" t="inlineStr">
        <is>
          <t>PRY-003</t>
        </is>
      </c>
      <c r="D1011" t="inlineStr">
        <is>
          <t>Apto 705</t>
        </is>
      </c>
      <c r="E1011" t="inlineStr">
        <is>
          <t>Paula Arenas</t>
        </is>
      </c>
      <c r="F1011" t="inlineStr">
        <is>
          <t>Visita Inmueble</t>
        </is>
      </c>
      <c r="G1011" t="n">
        <v>313000000</v>
      </c>
      <c r="H1011" t="n">
        <v>0.4</v>
      </c>
      <c r="I1011" s="28" t="n">
        <v>46145</v>
      </c>
      <c r="J1011" s="28" t="n">
        <v>46293</v>
      </c>
      <c r="K1011" t="n">
        <v>3</v>
      </c>
      <c r="L1011" t="inlineStr">
        <is>
          <t>Visitó el apartamento modelo</t>
        </is>
      </c>
    </row>
    <row r="1012">
      <c r="A1012" t="inlineStr">
        <is>
          <t>NEG-1010</t>
        </is>
      </c>
      <c r="B1012" t="inlineStr">
        <is>
          <t>Hernán Hernández Palacio</t>
        </is>
      </c>
      <c r="C1012" t="inlineStr">
        <is>
          <t>PRY-006</t>
        </is>
      </c>
      <c r="D1012" t="inlineStr">
        <is>
          <t>Local 8</t>
        </is>
      </c>
      <c r="E1012" t="inlineStr">
        <is>
          <t>Miguel Salazar</t>
        </is>
      </c>
      <c r="F1012" t="inlineStr">
        <is>
          <t>Propuesta Económica</t>
        </is>
      </c>
      <c r="G1012" t="n">
        <v>740000000</v>
      </c>
      <c r="H1012" t="n">
        <v>0.6</v>
      </c>
      <c r="I1012" s="28" t="n">
        <v>46146</v>
      </c>
      <c r="J1012" s="28" t="n">
        <v>46272</v>
      </c>
      <c r="K1012" t="n">
        <v>7</v>
      </c>
      <c r="L1012" t="inlineStr">
        <is>
          <t>Cotización enviada</t>
        </is>
      </c>
    </row>
    <row r="1013">
      <c r="A1013" t="inlineStr">
        <is>
          <t>NEG-1011</t>
        </is>
      </c>
      <c r="B1013" t="inlineStr">
        <is>
          <t>Laura Gaviria Londoño</t>
        </is>
      </c>
      <c r="C1013" t="inlineStr">
        <is>
          <t>PRY-003</t>
        </is>
      </c>
      <c r="D1013" t="inlineStr">
        <is>
          <t>Apto 1605</t>
        </is>
      </c>
      <c r="E1013" t="inlineStr">
        <is>
          <t>Andrés Torres</t>
        </is>
      </c>
      <c r="F1013" t="inlineStr">
        <is>
          <t>Perdido</t>
        </is>
      </c>
      <c r="G1013" t="n">
        <v>400000000</v>
      </c>
      <c r="H1013" t="n">
        <v>0</v>
      </c>
      <c r="I1013" s="28" t="n">
        <v>46147</v>
      </c>
      <c r="J1013" s="28" t="n">
        <v>46175</v>
      </c>
      <c r="K1013" t="n">
        <v>28</v>
      </c>
      <c r="L1013" t="inlineStr">
        <is>
          <t>Eligió otro proyecto</t>
        </is>
      </c>
    </row>
    <row r="1014">
      <c r="A1014" t="inlineStr">
        <is>
          <t>NEG-1012</t>
        </is>
      </c>
      <c r="B1014" t="inlineStr">
        <is>
          <t>Juan Pablo Escobar Ochoa</t>
        </is>
      </c>
      <c r="C1014" t="inlineStr">
        <is>
          <t>PRY-007</t>
        </is>
      </c>
      <c r="D1014" t="inlineStr">
        <is>
          <t>Apto 202</t>
        </is>
      </c>
      <c r="E1014" t="inlineStr">
        <is>
          <t>Juliana Vélez</t>
        </is>
      </c>
      <c r="F1014" t="inlineStr">
        <is>
          <t>Contacto Inicial</t>
        </is>
      </c>
      <c r="G1014" t="n">
        <v>804000000</v>
      </c>
      <c r="H1014" t="n">
        <v>0.2</v>
      </c>
      <c r="I1014" s="28" t="n">
        <v>46147</v>
      </c>
      <c r="J1014" s="28" t="n">
        <v>46290</v>
      </c>
      <c r="K1014" t="n">
        <v>12</v>
      </c>
      <c r="L1014" t="inlineStr">
        <is>
          <t>Interesado, pidió plano de la unidad</t>
        </is>
      </c>
    </row>
    <row r="1015">
      <c r="A1015" t="inlineStr">
        <is>
          <t>NEG-1013</t>
        </is>
      </c>
      <c r="B1015" t="inlineStr">
        <is>
          <t>Alejandra Vargas Muñoz</t>
        </is>
      </c>
      <c r="C1015" t="inlineStr">
        <is>
          <t>PRY-001</t>
        </is>
      </c>
      <c r="D1015" t="inlineStr">
        <is>
          <t>Apto 1204</t>
        </is>
      </c>
      <c r="E1015" t="inlineStr">
        <is>
          <t>Luis Bedoya</t>
        </is>
      </c>
      <c r="F1015" t="inlineStr">
        <is>
          <t>Ganado</t>
        </is>
      </c>
      <c r="G1015" t="n">
        <v>896000000</v>
      </c>
      <c r="H1015" t="n">
        <v>1</v>
      </c>
      <c r="I1015" s="28" t="n">
        <v>46148</v>
      </c>
      <c r="J1015" s="28" t="n">
        <v>46194</v>
      </c>
      <c r="K1015" t="n">
        <v>46</v>
      </c>
      <c r="L1015" t="inlineStr">
        <is>
          <t>Promesa de compraventa firmada</t>
        </is>
      </c>
    </row>
    <row r="1016">
      <c r="A1016" t="inlineStr">
        <is>
          <t>NEG-1014</t>
        </is>
      </c>
      <c r="B1016" t="inlineStr">
        <is>
          <t>Fernando Bedoya Quintero</t>
        </is>
      </c>
      <c r="C1016" t="inlineStr">
        <is>
          <t>PRY-003</t>
        </is>
      </c>
      <c r="D1016" t="inlineStr">
        <is>
          <t>Apto 1403</t>
        </is>
      </c>
      <c r="E1016" t="inlineStr">
        <is>
          <t>Sofía Prada</t>
        </is>
      </c>
      <c r="F1016" t="inlineStr">
        <is>
          <t>Visita Inmueble</t>
        </is>
      </c>
      <c r="G1016" t="n">
        <v>356000000</v>
      </c>
      <c r="H1016" t="n">
        <v>0.4</v>
      </c>
      <c r="I1016" s="28" t="n">
        <v>46149</v>
      </c>
      <c r="J1016" s="28" t="n">
        <v>46321</v>
      </c>
      <c r="K1016" t="n">
        <v>6</v>
      </c>
      <c r="L1016" t="inlineStr">
        <is>
          <t>Visita a sala de ventas agendada</t>
        </is>
      </c>
    </row>
    <row r="1017">
      <c r="A1017" t="inlineStr">
        <is>
          <t>NEG-1015</t>
        </is>
      </c>
      <c r="B1017" t="inlineStr">
        <is>
          <t>Sara Giraldo Montoya</t>
        </is>
      </c>
      <c r="C1017" t="inlineStr">
        <is>
          <t>PRY-003</t>
        </is>
      </c>
      <c r="D1017" t="inlineStr">
        <is>
          <t>Apto 1101</t>
        </is>
      </c>
      <c r="E1017" t="inlineStr">
        <is>
          <t>Miguel Salazar</t>
        </is>
      </c>
      <c r="F1017" t="inlineStr">
        <is>
          <t>Ganado</t>
        </is>
      </c>
      <c r="G1017" t="n">
        <v>322000000</v>
      </c>
      <c r="H1017" t="n">
        <v>1</v>
      </c>
      <c r="I1017" s="28" t="n">
        <v>46150</v>
      </c>
      <c r="J1017" s="28" t="n">
        <v>46180</v>
      </c>
      <c r="K1017" t="n">
        <v>30</v>
      </c>
      <c r="L1017" t="inlineStr">
        <is>
          <t>Promesa de compraventa firmada</t>
        </is>
      </c>
    </row>
    <row r="1018">
      <c r="A1018" t="inlineStr">
        <is>
          <t>NEG-1016</t>
        </is>
      </c>
      <c r="B1018" t="inlineStr">
        <is>
          <t>Patricia Henao Ramírez</t>
        </is>
      </c>
      <c r="C1018" t="inlineStr">
        <is>
          <t>PRY-008</t>
        </is>
      </c>
      <c r="D1018" t="inlineStr">
        <is>
          <t>Casa 11</t>
        </is>
      </c>
      <c r="E1018" t="inlineStr">
        <is>
          <t>Miguel Salazar</t>
        </is>
      </c>
      <c r="F1018" t="inlineStr">
        <is>
          <t>Contacto Inicial</t>
        </is>
      </c>
      <c r="G1018" t="n">
        <v>166000000</v>
      </c>
      <c r="H1018" t="n">
        <v>0.2</v>
      </c>
      <c r="I1018" s="28" t="n">
        <v>46150</v>
      </c>
      <c r="J1018" s="28" t="n">
        <v>46322</v>
      </c>
      <c r="K1018" t="n">
        <v>24</v>
      </c>
      <c r="L1018" t="inlineStr">
        <is>
          <t>Primera llamada realizada</t>
        </is>
      </c>
    </row>
    <row r="1019">
      <c r="A1019" t="inlineStr">
        <is>
          <t>NEG-1017</t>
        </is>
      </c>
      <c r="B1019" t="inlineStr">
        <is>
          <t>Catalina Correa Uribe</t>
        </is>
      </c>
      <c r="C1019" t="inlineStr">
        <is>
          <t>PRY-001</t>
        </is>
      </c>
      <c r="D1019" t="inlineStr">
        <is>
          <t>Apto 1202</t>
        </is>
      </c>
      <c r="E1019" t="inlineStr">
        <is>
          <t>Sofía Prada</t>
        </is>
      </c>
      <c r="F1019" t="inlineStr">
        <is>
          <t>Propuesta Económica</t>
        </is>
      </c>
      <c r="G1019" t="n">
        <v>920000000</v>
      </c>
      <c r="H1019" t="n">
        <v>0.6</v>
      </c>
      <c r="I1019" s="28" t="n">
        <v>46152</v>
      </c>
      <c r="J1019" s="28" t="n">
        <v>46272</v>
      </c>
      <c r="K1019" t="n">
        <v>8</v>
      </c>
      <c r="L1019" t="inlineStr">
        <is>
          <t>Cotización enviada</t>
        </is>
      </c>
    </row>
    <row r="1020">
      <c r="A1020" t="inlineStr">
        <is>
          <t>NEG-1018</t>
        </is>
      </c>
      <c r="B1020" t="inlineStr">
        <is>
          <t>Fernando Montoya Franco</t>
        </is>
      </c>
      <c r="C1020" t="inlineStr">
        <is>
          <t>PRY-005</t>
        </is>
      </c>
      <c r="D1020" t="inlineStr">
        <is>
          <t>Apto 304</t>
        </is>
      </c>
      <c r="E1020" t="inlineStr">
        <is>
          <t>Daniela Ríos</t>
        </is>
      </c>
      <c r="F1020" t="inlineStr">
        <is>
          <t>Propuesta Económica</t>
        </is>
      </c>
      <c r="G1020" t="n">
        <v>364000000</v>
      </c>
      <c r="H1020" t="n">
        <v>0.6</v>
      </c>
      <c r="I1020" s="28" t="n">
        <v>46152</v>
      </c>
      <c r="J1020" s="28" t="n">
        <v>46259</v>
      </c>
      <c r="K1020" t="n">
        <v>43</v>
      </c>
      <c r="L1020" t="inlineStr">
        <is>
          <t>Evaluando plan de pagos</t>
        </is>
      </c>
    </row>
    <row r="1021">
      <c r="A1021" t="inlineStr">
        <is>
          <t>NEG-1019</t>
        </is>
      </c>
      <c r="B1021" t="inlineStr">
        <is>
          <t>Hernán Espinosa Cifuentes</t>
        </is>
      </c>
      <c r="C1021" t="inlineStr">
        <is>
          <t>PRY-005</t>
        </is>
      </c>
      <c r="D1021" t="inlineStr">
        <is>
          <t>Apto 1207</t>
        </is>
      </c>
      <c r="E1021" t="inlineStr">
        <is>
          <t>Luis Bedoya</t>
        </is>
      </c>
      <c r="F1021" t="inlineStr">
        <is>
          <t>Perdido</t>
        </is>
      </c>
      <c r="G1021" t="n">
        <v>501000000</v>
      </c>
      <c r="H1021" t="n">
        <v>0</v>
      </c>
      <c r="I1021" s="28" t="n">
        <v>46153</v>
      </c>
      <c r="J1021" s="28" t="n">
        <v>46188</v>
      </c>
      <c r="K1021" t="n">
        <v>35</v>
      </c>
      <c r="L1021" t="inlineStr">
        <is>
          <t>Crédito no aprobado</t>
        </is>
      </c>
    </row>
    <row r="1022">
      <c r="A1022" t="inlineStr">
        <is>
          <t>NEG-1020</t>
        </is>
      </c>
      <c r="B1022" t="inlineStr">
        <is>
          <t>Verónica Vásquez Agudelo</t>
        </is>
      </c>
      <c r="C1022" t="inlineStr">
        <is>
          <t>PRY-005</t>
        </is>
      </c>
      <c r="D1022" t="inlineStr">
        <is>
          <t>Casa 30</t>
        </is>
      </c>
      <c r="E1022" t="inlineStr">
        <is>
          <t>Andrés Torres</t>
        </is>
      </c>
      <c r="F1022" t="inlineStr">
        <is>
          <t>Contacto Inicial</t>
        </is>
      </c>
      <c r="G1022" t="n">
        <v>362000000</v>
      </c>
      <c r="H1022" t="n">
        <v>0.2</v>
      </c>
      <c r="I1022" s="28" t="n">
        <v>46153</v>
      </c>
      <c r="J1022" s="28" t="n">
        <v>46230</v>
      </c>
      <c r="K1022" t="n">
        <v>22</v>
      </c>
      <c r="L1022" t="inlineStr">
        <is>
          <t>Interesado, pidió plano de la unidad</t>
        </is>
      </c>
    </row>
    <row r="1023">
      <c r="A1023" t="inlineStr">
        <is>
          <t>NEG-1021</t>
        </is>
      </c>
      <c r="B1023" t="inlineStr">
        <is>
          <t>Patricia Peláez Valencia</t>
        </is>
      </c>
      <c r="C1023" t="inlineStr">
        <is>
          <t>PRY-008</t>
        </is>
      </c>
      <c r="D1023" t="inlineStr">
        <is>
          <t>Casa 93</t>
        </is>
      </c>
      <c r="E1023" t="inlineStr">
        <is>
          <t>Ana Quintero</t>
        </is>
      </c>
      <c r="F1023" t="inlineStr">
        <is>
          <t>Ganado</t>
        </is>
      </c>
      <c r="G1023" t="n">
        <v>179000000</v>
      </c>
      <c r="H1023" t="n">
        <v>1</v>
      </c>
      <c r="I1023" s="28" t="n">
        <v>46154</v>
      </c>
      <c r="J1023" s="28" t="n">
        <v>46194</v>
      </c>
      <c r="K1023" t="n">
        <v>40</v>
      </c>
      <c r="L1023" t="inlineStr">
        <is>
          <t>Promesa de compraventa firmada</t>
        </is>
      </c>
    </row>
    <row r="1024">
      <c r="A1024" t="inlineStr">
        <is>
          <t>NEG-1022</t>
        </is>
      </c>
      <c r="B1024" t="inlineStr">
        <is>
          <t>Andrés Restrepo Cano</t>
        </is>
      </c>
      <c r="C1024" t="inlineStr">
        <is>
          <t>PRY-003</t>
        </is>
      </c>
      <c r="D1024" t="inlineStr">
        <is>
          <t>Apto 2204</t>
        </is>
      </c>
      <c r="E1024" t="inlineStr">
        <is>
          <t>Paula Arenas</t>
        </is>
      </c>
      <c r="F1024" t="inlineStr">
        <is>
          <t>Visita Inmueble</t>
        </is>
      </c>
      <c r="G1024" t="n">
        <v>429000000</v>
      </c>
      <c r="H1024" t="n">
        <v>0.4</v>
      </c>
      <c r="I1024" s="28" t="n">
        <v>46156</v>
      </c>
      <c r="J1024" s="28" t="n">
        <v>46266</v>
      </c>
      <c r="K1024" t="n">
        <v>9</v>
      </c>
      <c r="L1024" t="inlineStr">
        <is>
          <t>Visita a sala de ventas agendada</t>
        </is>
      </c>
    </row>
    <row r="1025">
      <c r="A1025" t="inlineStr">
        <is>
          <t>NEG-1023</t>
        </is>
      </c>
      <c r="B1025" t="inlineStr">
        <is>
          <t>Natalia Gaviria Osorio</t>
        </is>
      </c>
      <c r="C1025" t="inlineStr">
        <is>
          <t>PRY-007</t>
        </is>
      </c>
      <c r="D1025" t="inlineStr">
        <is>
          <t>Apto 801</t>
        </is>
      </c>
      <c r="E1025" t="inlineStr">
        <is>
          <t>Santiago Muñoz</t>
        </is>
      </c>
      <c r="F1025" t="inlineStr">
        <is>
          <t>Perdido</t>
        </is>
      </c>
      <c r="G1025" t="n">
        <v>769000000</v>
      </c>
      <c r="H1025" t="n">
        <v>0</v>
      </c>
      <c r="I1025" s="28" t="n">
        <v>46157</v>
      </c>
      <c r="J1025" s="28" t="n">
        <v>46193</v>
      </c>
      <c r="K1025" t="n">
        <v>36</v>
      </c>
      <c r="L1025" t="inlineStr">
        <is>
          <t>Eligió otro proyecto</t>
        </is>
      </c>
    </row>
    <row r="1026">
      <c r="A1026" t="inlineStr">
        <is>
          <t>NEG-1024</t>
        </is>
      </c>
      <c r="B1026" t="inlineStr">
        <is>
          <t>Wilson Vásquez Agudelo</t>
        </is>
      </c>
      <c r="C1026" t="inlineStr">
        <is>
          <t>PRY-007</t>
        </is>
      </c>
      <c r="D1026" t="inlineStr">
        <is>
          <t>Apto 1201</t>
        </is>
      </c>
      <c r="E1026" t="inlineStr">
        <is>
          <t>Andrés Torres</t>
        </is>
      </c>
      <c r="F1026" t="inlineStr">
        <is>
          <t>Contacto Inicial</t>
        </is>
      </c>
      <c r="G1026" t="n">
        <v>630000000</v>
      </c>
      <c r="H1026" t="n">
        <v>0.2</v>
      </c>
      <c r="I1026" s="28" t="n">
        <v>46157</v>
      </c>
      <c r="J1026" s="28" t="n">
        <v>46272</v>
      </c>
      <c r="K1026" t="n">
        <v>43</v>
      </c>
      <c r="L1026" t="inlineStr">
        <is>
          <t>Primera llamada realizada</t>
        </is>
      </c>
    </row>
    <row r="1027">
      <c r="A1027" t="inlineStr">
        <is>
          <t>NEG-1025</t>
        </is>
      </c>
      <c r="B1027" t="inlineStr">
        <is>
          <t>Diego Sánchez Montoya</t>
        </is>
      </c>
      <c r="C1027" t="inlineStr">
        <is>
          <t>PRY-008</t>
        </is>
      </c>
      <c r="D1027" t="inlineStr">
        <is>
          <t>Casa 17</t>
        </is>
      </c>
      <c r="E1027" t="inlineStr">
        <is>
          <t>Mateo Herrera</t>
        </is>
      </c>
      <c r="F1027" t="inlineStr">
        <is>
          <t>Ganado</t>
        </is>
      </c>
      <c r="G1027" t="n">
        <v>166000000</v>
      </c>
      <c r="H1027" t="n">
        <v>1</v>
      </c>
      <c r="I1027" s="28" t="n">
        <v>46157</v>
      </c>
      <c r="J1027" s="28" t="n">
        <v>46191</v>
      </c>
      <c r="K1027" t="n">
        <v>34</v>
      </c>
      <c r="L1027" t="inlineStr">
        <is>
          <t>Promesa de compraventa firmada</t>
        </is>
      </c>
    </row>
    <row r="1028">
      <c r="A1028" t="inlineStr">
        <is>
          <t>NEG-1026</t>
        </is>
      </c>
      <c r="B1028" t="inlineStr">
        <is>
          <t>Mauricio Palacio Vásquez</t>
        </is>
      </c>
      <c r="C1028" t="inlineStr">
        <is>
          <t>PRY-002</t>
        </is>
      </c>
      <c r="D1028" t="inlineStr">
        <is>
          <t>Casa 32</t>
        </is>
      </c>
      <c r="E1028" t="inlineStr">
        <is>
          <t>Santiago Muñoz</t>
        </is>
      </c>
      <c r="F1028" t="inlineStr">
        <is>
          <t>Propuesta Económica</t>
        </is>
      </c>
      <c r="G1028" t="n">
        <v>776000000</v>
      </c>
      <c r="H1028" t="n">
        <v>0.6</v>
      </c>
      <c r="I1028" s="28" t="n">
        <v>46159</v>
      </c>
      <c r="J1028" s="28" t="n">
        <v>46221</v>
      </c>
      <c r="K1028" t="n">
        <v>4</v>
      </c>
      <c r="L1028" t="inlineStr">
        <is>
          <t>Cotización enviada</t>
        </is>
      </c>
    </row>
    <row r="1029">
      <c r="A1029" t="inlineStr">
        <is>
          <t>NEG-1027</t>
        </is>
      </c>
      <c r="B1029" t="inlineStr">
        <is>
          <t>Nicolás Escobar López</t>
        </is>
      </c>
      <c r="C1029" t="inlineStr">
        <is>
          <t>PRY-005</t>
        </is>
      </c>
      <c r="D1029" t="inlineStr">
        <is>
          <t>Apto 1106</t>
        </is>
      </c>
      <c r="E1029" t="inlineStr">
        <is>
          <t>Luis Bedoya</t>
        </is>
      </c>
      <c r="F1029" t="inlineStr">
        <is>
          <t>Propuesta Económica</t>
        </is>
      </c>
      <c r="G1029" t="n">
        <v>462000000</v>
      </c>
      <c r="H1029" t="n">
        <v>0.6</v>
      </c>
      <c r="I1029" s="28" t="n">
        <v>46159</v>
      </c>
      <c r="J1029" s="28" t="n">
        <v>46226</v>
      </c>
      <c r="K1029" t="n">
        <v>14</v>
      </c>
      <c r="L1029" t="inlineStr">
        <is>
          <t>Evaluando plan de pagos</t>
        </is>
      </c>
    </row>
    <row r="1030">
      <c r="A1030" t="inlineStr">
        <is>
          <t>NEG-1028</t>
        </is>
      </c>
      <c r="B1030" t="inlineStr">
        <is>
          <t>Carlos Pérez Pérez</t>
        </is>
      </c>
      <c r="C1030" t="inlineStr">
        <is>
          <t>PRY-006</t>
        </is>
      </c>
      <c r="D1030" t="inlineStr">
        <is>
          <t>Local 33</t>
        </is>
      </c>
      <c r="E1030" t="inlineStr">
        <is>
          <t>Ana Quintero</t>
        </is>
      </c>
      <c r="F1030" t="inlineStr">
        <is>
          <t>Cierre</t>
        </is>
      </c>
      <c r="G1030" t="n">
        <v>442000000</v>
      </c>
      <c r="H1030" t="n">
        <v>0.9</v>
      </c>
      <c r="I1030" s="28" t="n">
        <v>46160</v>
      </c>
      <c r="J1030" s="28" t="n">
        <v>46284</v>
      </c>
      <c r="K1030" t="n">
        <v>4</v>
      </c>
      <c r="L1030" t="inlineStr">
        <is>
          <t>Firma de promesa de compraventa programada</t>
        </is>
      </c>
    </row>
    <row r="1031">
      <c r="A1031" t="inlineStr">
        <is>
          <t>NEG-1029</t>
        </is>
      </c>
      <c r="B1031" t="inlineStr">
        <is>
          <t>Ricardo Franco Salazar</t>
        </is>
      </c>
      <c r="C1031" t="inlineStr">
        <is>
          <t>PRY-005</t>
        </is>
      </c>
      <c r="D1031" t="inlineStr">
        <is>
          <t>Apto 806</t>
        </is>
      </c>
      <c r="E1031" t="inlineStr">
        <is>
          <t>Luis Bedoya</t>
        </is>
      </c>
      <c r="F1031" t="inlineStr">
        <is>
          <t>Visita Inmueble</t>
        </is>
      </c>
      <c r="G1031" t="n">
        <v>509000000</v>
      </c>
      <c r="H1031" t="n">
        <v>0.4</v>
      </c>
      <c r="I1031" s="28" t="n">
        <v>46161</v>
      </c>
      <c r="J1031" s="28" t="n">
        <v>46229</v>
      </c>
      <c r="K1031" t="n">
        <v>28</v>
      </c>
      <c r="L1031" t="inlineStr">
        <is>
          <t>Visitó el apartamento modelo</t>
        </is>
      </c>
    </row>
    <row r="1032">
      <c r="A1032" t="inlineStr">
        <is>
          <t>NEG-1030</t>
        </is>
      </c>
      <c r="B1032" t="inlineStr">
        <is>
          <t>Emilio Zuluaga Franco</t>
        </is>
      </c>
      <c r="C1032" t="inlineStr">
        <is>
          <t>PRY-007</t>
        </is>
      </c>
      <c r="D1032" t="inlineStr">
        <is>
          <t>Apto 506</t>
        </is>
      </c>
      <c r="E1032" t="inlineStr">
        <is>
          <t>Sofía Prada</t>
        </is>
      </c>
      <c r="F1032" t="inlineStr">
        <is>
          <t>Contacto Inicial</t>
        </is>
      </c>
      <c r="G1032" t="n">
        <v>685000000</v>
      </c>
      <c r="H1032" t="n">
        <v>0.2</v>
      </c>
      <c r="I1032" s="28" t="n">
        <v>46162</v>
      </c>
      <c r="J1032" s="28" t="n">
        <v>46228</v>
      </c>
      <c r="K1032" t="n">
        <v>33</v>
      </c>
      <c r="L1032" t="inlineStr">
        <is>
          <t>Interesado, pidió plano de la unidad</t>
        </is>
      </c>
    </row>
    <row r="1033">
      <c r="A1033" t="inlineStr">
        <is>
          <t>NEG-1031</t>
        </is>
      </c>
      <c r="B1033" t="inlineStr">
        <is>
          <t>Paula Ríos Vélez</t>
        </is>
      </c>
      <c r="C1033" t="inlineStr">
        <is>
          <t>PRY-005</t>
        </is>
      </c>
      <c r="D1033" t="inlineStr">
        <is>
          <t>Apto 1404</t>
        </is>
      </c>
      <c r="E1033" t="inlineStr">
        <is>
          <t>Sofía Prada</t>
        </is>
      </c>
      <c r="F1033" t="inlineStr">
        <is>
          <t>Negociación</t>
        </is>
      </c>
      <c r="G1033" t="n">
        <v>387000000</v>
      </c>
      <c r="H1033" t="n">
        <v>0.75</v>
      </c>
      <c r="I1033" s="28" t="n">
        <v>46163</v>
      </c>
      <c r="J1033" s="28" t="n">
        <v>46230</v>
      </c>
      <c r="K1033" t="n">
        <v>29</v>
      </c>
      <c r="L1033" t="inlineStr">
        <is>
          <t>Negociando descuento por pago de contado</t>
        </is>
      </c>
    </row>
    <row r="1034">
      <c r="A1034" t="inlineStr">
        <is>
          <t>NEG-1032</t>
        </is>
      </c>
      <c r="B1034" t="inlineStr">
        <is>
          <t>Liliana Cifuentes Gómez</t>
        </is>
      </c>
      <c r="C1034" t="inlineStr">
        <is>
          <t>PRY-005</t>
        </is>
      </c>
      <c r="D1034" t="inlineStr">
        <is>
          <t>Casa 5</t>
        </is>
      </c>
      <c r="E1034" t="inlineStr">
        <is>
          <t>Santiago Muñoz</t>
        </is>
      </c>
      <c r="F1034" t="inlineStr">
        <is>
          <t>Prospección</t>
        </is>
      </c>
      <c r="G1034" t="n">
        <v>391000000</v>
      </c>
      <c r="H1034" t="n">
        <v>0.1</v>
      </c>
      <c r="I1034" s="28" t="n">
        <v>46164</v>
      </c>
      <c r="J1034" s="28" t="n">
        <v>46231</v>
      </c>
      <c r="K1034" t="n">
        <v>32</v>
      </c>
      <c r="L1034" t="inlineStr">
        <is>
          <t>Pidió brochure y precios</t>
        </is>
      </c>
    </row>
    <row r="1035">
      <c r="A1035" t="inlineStr">
        <is>
          <t>NEG-1033</t>
        </is>
      </c>
      <c r="B1035" t="inlineStr">
        <is>
          <t>Camila Osorio Jaramillo</t>
        </is>
      </c>
      <c r="C1035" t="inlineStr">
        <is>
          <t>PRY-005</t>
        </is>
      </c>
      <c r="D1035" t="inlineStr">
        <is>
          <t>Apto 704</t>
        </is>
      </c>
      <c r="E1035" t="inlineStr">
        <is>
          <t>Luis Bedoya</t>
        </is>
      </c>
      <c r="F1035" t="inlineStr">
        <is>
          <t>Propuesta Económica</t>
        </is>
      </c>
      <c r="G1035" t="n">
        <v>387000000</v>
      </c>
      <c r="H1035" t="n">
        <v>0.6</v>
      </c>
      <c r="I1035" s="28" t="n">
        <v>46165</v>
      </c>
      <c r="J1035" s="28" t="n">
        <v>46292</v>
      </c>
      <c r="K1035" t="n">
        <v>23</v>
      </c>
      <c r="L1035" t="inlineStr">
        <is>
          <t>Cotización enviada</t>
        </is>
      </c>
    </row>
    <row r="1036">
      <c r="A1036" t="inlineStr">
        <is>
          <t>NEG-1034</t>
        </is>
      </c>
      <c r="B1036" t="inlineStr">
        <is>
          <t>Mónica Gaviria Hernández</t>
        </is>
      </c>
      <c r="C1036" t="inlineStr">
        <is>
          <t>PRY-008</t>
        </is>
      </c>
      <c r="D1036" t="inlineStr">
        <is>
          <t>Casa 35</t>
        </is>
      </c>
      <c r="E1036" t="inlineStr">
        <is>
          <t>Luis Bedoya</t>
        </is>
      </c>
      <c r="F1036" t="inlineStr">
        <is>
          <t>Ganado</t>
        </is>
      </c>
      <c r="G1036" t="n">
        <v>154000000</v>
      </c>
      <c r="H1036" t="n">
        <v>1</v>
      </c>
      <c r="I1036" s="28" t="n">
        <v>46167</v>
      </c>
      <c r="J1036" s="28" t="n">
        <v>46196</v>
      </c>
      <c r="K1036" t="n">
        <v>29</v>
      </c>
      <c r="L1036" t="inlineStr">
        <is>
          <t>Promesa de compraventa firmada</t>
        </is>
      </c>
    </row>
    <row r="1037">
      <c r="A1037" t="inlineStr">
        <is>
          <t>NEG-1035</t>
        </is>
      </c>
      <c r="B1037" t="inlineStr">
        <is>
          <t>Sebastián Bedoya Cardona</t>
        </is>
      </c>
      <c r="C1037" t="inlineStr">
        <is>
          <t>PRY-005</t>
        </is>
      </c>
      <c r="D1037" t="inlineStr">
        <is>
          <t>Apto 1102</t>
        </is>
      </c>
      <c r="E1037" t="inlineStr">
        <is>
          <t>Luis Bedoya</t>
        </is>
      </c>
      <c r="F1037" t="inlineStr">
        <is>
          <t>Prospección</t>
        </is>
      </c>
      <c r="G1037" t="n">
        <v>503000000</v>
      </c>
      <c r="H1037" t="n">
        <v>0.1</v>
      </c>
      <c r="I1037" s="28" t="n">
        <v>46168</v>
      </c>
      <c r="J1037" s="28" t="n">
        <v>46237</v>
      </c>
      <c r="K1037" t="n">
        <v>2</v>
      </c>
      <c r="L1037" t="inlineStr">
        <is>
          <t>Pidió brochure y precios</t>
        </is>
      </c>
    </row>
    <row r="1038">
      <c r="A1038" t="inlineStr">
        <is>
          <t>NEG-1036</t>
        </is>
      </c>
      <c r="B1038" t="inlineStr">
        <is>
          <t>Sebastián Vélez Duque</t>
        </is>
      </c>
      <c r="C1038" t="inlineStr">
        <is>
          <t>PRY-008</t>
        </is>
      </c>
      <c r="D1038" t="inlineStr">
        <is>
          <t>Casa 15</t>
        </is>
      </c>
      <c r="E1038" t="inlineStr">
        <is>
          <t>Mateo Herrera</t>
        </is>
      </c>
      <c r="F1038" t="inlineStr">
        <is>
          <t>Perdido</t>
        </is>
      </c>
      <c r="G1038" t="n">
        <v>159000000</v>
      </c>
      <c r="H1038" t="n">
        <v>0</v>
      </c>
      <c r="I1038" s="28" t="n">
        <v>46168</v>
      </c>
      <c r="J1038" s="28" t="n">
        <v>46193</v>
      </c>
      <c r="K1038" t="n">
        <v>25</v>
      </c>
      <c r="L1038" t="inlineStr">
        <is>
          <t>Desistió de la compra</t>
        </is>
      </c>
    </row>
    <row r="1039">
      <c r="A1039" t="inlineStr">
        <is>
          <t>NEG-1037</t>
        </is>
      </c>
      <c r="B1039" t="inlineStr">
        <is>
          <t>Mauricio Peláez Álvarez</t>
        </is>
      </c>
      <c r="C1039" t="inlineStr">
        <is>
          <t>PRY-007</t>
        </is>
      </c>
      <c r="D1039" t="inlineStr">
        <is>
          <t>Apto 1606</t>
        </is>
      </c>
      <c r="E1039" t="inlineStr">
        <is>
          <t>Mateo Herrera</t>
        </is>
      </c>
      <c r="F1039" t="inlineStr">
        <is>
          <t>Prospección</t>
        </is>
      </c>
      <c r="G1039" t="n">
        <v>814000000</v>
      </c>
      <c r="H1039" t="n">
        <v>0.1</v>
      </c>
      <c r="I1039" s="28" t="n">
        <v>46169</v>
      </c>
      <c r="J1039" s="28" t="n">
        <v>46287</v>
      </c>
      <c r="K1039" t="n">
        <v>34</v>
      </c>
      <c r="L1039" t="inlineStr">
        <is>
          <t>Solicitó información por formulario</t>
        </is>
      </c>
    </row>
    <row r="1040">
      <c r="A1040" t="inlineStr">
        <is>
          <t>NEG-1038</t>
        </is>
      </c>
      <c r="B1040" t="inlineStr">
        <is>
          <t>Sara Espinosa Ríos</t>
        </is>
      </c>
      <c r="C1040" t="inlineStr">
        <is>
          <t>PRY-002</t>
        </is>
      </c>
      <c r="D1040" t="inlineStr">
        <is>
          <t>Casa 56</t>
        </is>
      </c>
      <c r="E1040" t="inlineStr">
        <is>
          <t>Santiago Muñoz</t>
        </is>
      </c>
      <c r="F1040" t="inlineStr">
        <is>
          <t>Prospección</t>
        </is>
      </c>
      <c r="G1040" t="n">
        <v>743000000</v>
      </c>
      <c r="H1040" t="n">
        <v>0.1</v>
      </c>
      <c r="I1040" s="28" t="n">
        <v>46170</v>
      </c>
      <c r="J1040" s="28" t="n">
        <v>46282</v>
      </c>
      <c r="K1040" t="n">
        <v>32</v>
      </c>
      <c r="L1040" t="inlineStr">
        <is>
          <t>Solicitó información por formulario</t>
        </is>
      </c>
    </row>
    <row r="1041">
      <c r="A1041" t="inlineStr">
        <is>
          <t>NEG-1039</t>
        </is>
      </c>
      <c r="B1041" t="inlineStr">
        <is>
          <t>Rodrigo Duque Palacio</t>
        </is>
      </c>
      <c r="C1041" t="inlineStr">
        <is>
          <t>PRY-003</t>
        </is>
      </c>
      <c r="D1041" t="inlineStr">
        <is>
          <t>Apto 2401</t>
        </is>
      </c>
      <c r="E1041" t="inlineStr">
        <is>
          <t>Sofía Prada</t>
        </is>
      </c>
      <c r="F1041" t="inlineStr">
        <is>
          <t>Prospección</t>
        </is>
      </c>
      <c r="G1041" t="n">
        <v>433000000</v>
      </c>
      <c r="H1041" t="n">
        <v>0.1</v>
      </c>
      <c r="I1041" s="28" t="n">
        <v>46171</v>
      </c>
      <c r="J1041" s="28" t="n">
        <v>46263</v>
      </c>
      <c r="K1041" t="n">
        <v>6</v>
      </c>
      <c r="L1041" t="inlineStr">
        <is>
          <t>Pidió brochure y precios</t>
        </is>
      </c>
    </row>
    <row r="1042">
      <c r="A1042" t="inlineStr">
        <is>
          <t>NEG-1040</t>
        </is>
      </c>
      <c r="B1042" t="inlineStr">
        <is>
          <t>Fernando Ríos Marín</t>
        </is>
      </c>
      <c r="C1042" t="inlineStr">
        <is>
          <t>PRY-007</t>
        </is>
      </c>
      <c r="D1042" t="inlineStr">
        <is>
          <t>Apto 906</t>
        </is>
      </c>
      <c r="E1042" t="inlineStr">
        <is>
          <t>Luis Bedoya</t>
        </is>
      </c>
      <c r="F1042" t="inlineStr">
        <is>
          <t>Contacto Inicial</t>
        </is>
      </c>
      <c r="G1042" t="n">
        <v>810000000</v>
      </c>
      <c r="H1042" t="n">
        <v>0.2</v>
      </c>
      <c r="I1042" s="28" t="n">
        <v>46171</v>
      </c>
      <c r="J1042" s="28" t="n">
        <v>46253</v>
      </c>
      <c r="K1042" t="n">
        <v>32</v>
      </c>
      <c r="L1042" t="inlineStr">
        <is>
          <t>Interesado, pidió plano de la unidad</t>
        </is>
      </c>
    </row>
    <row r="1043">
      <c r="A1043" t="inlineStr">
        <is>
          <t>NEG-1041</t>
        </is>
      </c>
      <c r="B1043" t="inlineStr">
        <is>
          <t>Mateo Henao Higuita</t>
        </is>
      </c>
      <c r="C1043" t="inlineStr">
        <is>
          <t>PRY-007</t>
        </is>
      </c>
      <c r="D1043" t="inlineStr">
        <is>
          <t>Apto 1005</t>
        </is>
      </c>
      <c r="E1043" t="inlineStr">
        <is>
          <t>Ana Quintero</t>
        </is>
      </c>
      <c r="F1043" t="inlineStr">
        <is>
          <t>Prospección</t>
        </is>
      </c>
      <c r="G1043" t="n">
        <v>632000000</v>
      </c>
      <c r="H1043" t="n">
        <v>0.1</v>
      </c>
      <c r="I1043" s="28" t="n">
        <v>46172</v>
      </c>
      <c r="J1043" s="28" t="n">
        <v>46227</v>
      </c>
      <c r="K1043" t="n">
        <v>31</v>
      </c>
      <c r="L1043" t="inlineStr">
        <is>
          <t>Solicitó información por formulario</t>
        </is>
      </c>
    </row>
    <row r="1044">
      <c r="A1044" t="inlineStr">
        <is>
          <t>NEG-1042</t>
        </is>
      </c>
      <c r="B1044" t="inlineStr">
        <is>
          <t>Lorena Muñoz Espinosa</t>
        </is>
      </c>
      <c r="C1044" t="inlineStr">
        <is>
          <t>PRY-001</t>
        </is>
      </c>
      <c r="D1044" t="inlineStr">
        <is>
          <t>Apto 204</t>
        </is>
      </c>
      <c r="E1044" t="inlineStr">
        <is>
          <t>Paula Arenas</t>
        </is>
      </c>
      <c r="F1044" t="inlineStr">
        <is>
          <t>Visita Inmueble</t>
        </is>
      </c>
      <c r="G1044" t="n">
        <v>735000000</v>
      </c>
      <c r="H1044" t="n">
        <v>0.4</v>
      </c>
      <c r="I1044" s="28" t="n">
        <v>46173</v>
      </c>
      <c r="J1044" s="28" t="n">
        <v>46253</v>
      </c>
      <c r="K1044" t="n">
        <v>3</v>
      </c>
      <c r="L1044" t="inlineStr">
        <is>
          <t>Visita a sala de ventas agendada</t>
        </is>
      </c>
    </row>
    <row r="1045">
      <c r="A1045" t="inlineStr">
        <is>
          <t>NEG-1043</t>
        </is>
      </c>
      <c r="B1045" t="inlineStr">
        <is>
          <t>Juan Pablo Mejía Franco</t>
        </is>
      </c>
      <c r="C1045" t="inlineStr">
        <is>
          <t>PRY-005</t>
        </is>
      </c>
      <c r="D1045" t="inlineStr">
        <is>
          <t>Apto 1204</t>
        </is>
      </c>
      <c r="E1045" t="inlineStr">
        <is>
          <t>Mateo Herrera</t>
        </is>
      </c>
      <c r="F1045" t="inlineStr">
        <is>
          <t>Visita Inmueble</t>
        </is>
      </c>
      <c r="G1045" t="n">
        <v>494000000</v>
      </c>
      <c r="H1045" t="n">
        <v>0.4</v>
      </c>
      <c r="I1045" s="28" t="n">
        <v>46174</v>
      </c>
      <c r="J1045" s="28" t="n">
        <v>46253</v>
      </c>
      <c r="K1045" t="n">
        <v>4</v>
      </c>
      <c r="L1045" t="inlineStr">
        <is>
          <t>Visita a sala de ventas agendada</t>
        </is>
      </c>
    </row>
    <row r="1046">
      <c r="A1046" t="inlineStr">
        <is>
          <t>NEG-1044</t>
        </is>
      </c>
      <c r="B1046" t="inlineStr">
        <is>
          <t>Carolina Marín Salcedo</t>
        </is>
      </c>
      <c r="C1046" t="inlineStr">
        <is>
          <t>PRY-001</t>
        </is>
      </c>
      <c r="D1046" t="inlineStr">
        <is>
          <t>Apto 602</t>
        </is>
      </c>
      <c r="E1046" t="inlineStr">
        <is>
          <t>Miguel Salazar</t>
        </is>
      </c>
      <c r="F1046" t="inlineStr">
        <is>
          <t>Visita Inmueble</t>
        </is>
      </c>
      <c r="G1046" t="n">
        <v>846000000</v>
      </c>
      <c r="H1046" t="n">
        <v>0.4</v>
      </c>
      <c r="I1046" s="28" t="n">
        <v>46176</v>
      </c>
      <c r="J1046" s="28" t="n">
        <v>46260</v>
      </c>
      <c r="K1046" t="n">
        <v>9</v>
      </c>
      <c r="L1046" t="inlineStr">
        <is>
          <t>Visitó el apartamento modelo</t>
        </is>
      </c>
    </row>
    <row r="1047">
      <c r="A1047" t="inlineStr">
        <is>
          <t>NEG-1045</t>
        </is>
      </c>
      <c r="B1047" t="inlineStr">
        <is>
          <t>Julián Ramírez Ochoa</t>
        </is>
      </c>
      <c r="C1047" t="inlineStr">
        <is>
          <t>PRY-006</t>
        </is>
      </c>
      <c r="D1047" t="inlineStr">
        <is>
          <t>Local 7</t>
        </is>
      </c>
      <c r="E1047" t="inlineStr">
        <is>
          <t>Andrés Torres</t>
        </is>
      </c>
      <c r="F1047" t="inlineStr">
        <is>
          <t>Prospección</t>
        </is>
      </c>
      <c r="G1047" t="n">
        <v>454000000</v>
      </c>
      <c r="H1047" t="n">
        <v>0.1</v>
      </c>
      <c r="I1047" s="28" t="n">
        <v>46177</v>
      </c>
      <c r="J1047" s="28" t="n">
        <v>46314</v>
      </c>
      <c r="K1047" t="n">
        <v>13</v>
      </c>
      <c r="L1047" t="inlineStr">
        <is>
          <t>Solicitó información por formulario</t>
        </is>
      </c>
    </row>
    <row r="1048">
      <c r="A1048" t="inlineStr">
        <is>
          <t>NEG-1046</t>
        </is>
      </c>
      <c r="B1048" t="inlineStr">
        <is>
          <t>Sofía Salcedo Cifuentes</t>
        </is>
      </c>
      <c r="C1048" t="inlineStr">
        <is>
          <t>PRY-001</t>
        </is>
      </c>
      <c r="D1048" t="inlineStr">
        <is>
          <t>Apto 2105</t>
        </is>
      </c>
      <c r="E1048" t="inlineStr">
        <is>
          <t>Paula Arenas</t>
        </is>
      </c>
      <c r="F1048" t="inlineStr">
        <is>
          <t>Contacto Inicial</t>
        </is>
      </c>
      <c r="G1048" t="n">
        <v>706000000</v>
      </c>
      <c r="H1048" t="n">
        <v>0.2</v>
      </c>
      <c r="I1048" s="28" t="n">
        <v>46179</v>
      </c>
      <c r="J1048" s="28" t="n">
        <v>46258</v>
      </c>
      <c r="K1048" t="n">
        <v>24</v>
      </c>
      <c r="L1048" t="inlineStr">
        <is>
          <t>Interesado, pidió plano de la unidad</t>
        </is>
      </c>
    </row>
    <row r="1049">
      <c r="A1049" t="inlineStr">
        <is>
          <t>NEG-1047</t>
        </is>
      </c>
      <c r="B1049" t="inlineStr">
        <is>
          <t>Diana Palacio Hernández</t>
        </is>
      </c>
      <c r="C1049" t="inlineStr">
        <is>
          <t>PRY-003</t>
        </is>
      </c>
      <c r="D1049" t="inlineStr">
        <is>
          <t>Apto 203</t>
        </is>
      </c>
      <c r="E1049" t="inlineStr">
        <is>
          <t>Andrés Torres</t>
        </is>
      </c>
      <c r="F1049" t="inlineStr">
        <is>
          <t>Contacto Inicial</t>
        </is>
      </c>
      <c r="G1049" t="n">
        <v>393000000</v>
      </c>
      <c r="H1049" t="n">
        <v>0.2</v>
      </c>
      <c r="I1049" s="28" t="n">
        <v>46179</v>
      </c>
      <c r="J1049" s="28" t="n">
        <v>46228</v>
      </c>
      <c r="K1049" t="n">
        <v>17</v>
      </c>
      <c r="L1049" t="inlineStr">
        <is>
          <t>Primera llamada realizada</t>
        </is>
      </c>
    </row>
    <row r="1050">
      <c r="A1050" t="inlineStr">
        <is>
          <t>NEG-1048</t>
        </is>
      </c>
      <c r="B1050" t="inlineStr">
        <is>
          <t>Hernán Agudelo Toro</t>
        </is>
      </c>
      <c r="C1050" t="inlineStr">
        <is>
          <t>PRY-005</t>
        </is>
      </c>
      <c r="D1050" t="inlineStr">
        <is>
          <t>Apto 707</t>
        </is>
      </c>
      <c r="E1050" t="inlineStr">
        <is>
          <t>Sofía Prada</t>
        </is>
      </c>
      <c r="F1050" t="inlineStr">
        <is>
          <t>Contacto Inicial</t>
        </is>
      </c>
      <c r="G1050" t="n">
        <v>420000000</v>
      </c>
      <c r="H1050" t="n">
        <v>0.2</v>
      </c>
      <c r="I1050" s="28" t="n">
        <v>46179</v>
      </c>
      <c r="J1050" s="28" t="n">
        <v>46263</v>
      </c>
      <c r="K1050" t="n">
        <v>6</v>
      </c>
      <c r="L1050" t="inlineStr">
        <is>
          <t>Primera llamada realizada</t>
        </is>
      </c>
    </row>
    <row r="1051">
      <c r="A1051" t="inlineStr">
        <is>
          <t>NEG-1049</t>
        </is>
      </c>
      <c r="B1051" t="inlineStr">
        <is>
          <t>Gabriel Escobar Bedoya</t>
        </is>
      </c>
      <c r="C1051" t="inlineStr">
        <is>
          <t>PRY-008</t>
        </is>
      </c>
      <c r="D1051" t="inlineStr">
        <is>
          <t>Casa 39</t>
        </is>
      </c>
      <c r="E1051" t="inlineStr">
        <is>
          <t>Paula Arenas</t>
        </is>
      </c>
      <c r="F1051" t="inlineStr">
        <is>
          <t>Contacto Inicial</t>
        </is>
      </c>
      <c r="G1051" t="n">
        <v>150000000</v>
      </c>
      <c r="H1051" t="n">
        <v>0.2</v>
      </c>
      <c r="I1051" s="28" t="n">
        <v>46179</v>
      </c>
      <c r="J1051" s="28" t="n">
        <v>46310</v>
      </c>
      <c r="K1051" t="n">
        <v>4</v>
      </c>
      <c r="L1051" t="inlineStr">
        <is>
          <t>Primera llamada realizada</t>
        </is>
      </c>
    </row>
    <row r="1052">
      <c r="A1052" t="inlineStr">
        <is>
          <t>NEG-1050</t>
        </is>
      </c>
      <c r="B1052" t="inlineStr">
        <is>
          <t>Andrés Ríos Betancur</t>
        </is>
      </c>
      <c r="C1052" t="inlineStr">
        <is>
          <t>PRY-001</t>
        </is>
      </c>
      <c r="D1052" t="inlineStr">
        <is>
          <t>Apto 1503</t>
        </is>
      </c>
      <c r="E1052" t="inlineStr">
        <is>
          <t>Sofía Prada</t>
        </is>
      </c>
      <c r="F1052" t="inlineStr">
        <is>
          <t>Prospección</t>
        </is>
      </c>
      <c r="G1052" t="n">
        <v>756000000</v>
      </c>
      <c r="H1052" t="n">
        <v>0.1</v>
      </c>
      <c r="I1052" s="28" t="n">
        <v>46184</v>
      </c>
      <c r="J1052" s="28" t="n">
        <v>46237</v>
      </c>
      <c r="K1052" t="n">
        <v>1</v>
      </c>
      <c r="L1052" t="inlineStr">
        <is>
          <t>Pidió brochure y precios</t>
        </is>
      </c>
    </row>
    <row r="1053">
      <c r="A1053" t="inlineStr">
        <is>
          <t>NEG-1051</t>
        </is>
      </c>
      <c r="B1053" t="inlineStr">
        <is>
          <t>Patricia Quintero Vásquez</t>
        </is>
      </c>
      <c r="C1053" t="inlineStr">
        <is>
          <t>PRY-002</t>
        </is>
      </c>
      <c r="D1053" t="inlineStr">
        <is>
          <t>Casa 38</t>
        </is>
      </c>
      <c r="E1053" t="inlineStr">
        <is>
          <t>Paula Arenas</t>
        </is>
      </c>
      <c r="F1053" t="inlineStr">
        <is>
          <t>Prospección</t>
        </is>
      </c>
      <c r="G1053" t="n">
        <v>816000000</v>
      </c>
      <c r="H1053" t="n">
        <v>0.1</v>
      </c>
      <c r="I1053" s="28" t="n">
        <v>46184</v>
      </c>
      <c r="J1053" s="28" t="n">
        <v>46237</v>
      </c>
      <c r="K1053" t="n">
        <v>14</v>
      </c>
      <c r="L1053" t="inlineStr">
        <is>
          <t>Pidió brochure y precios</t>
        </is>
      </c>
    </row>
    <row r="1054">
      <c r="A1054" t="inlineStr">
        <is>
          <t>NEG-1052</t>
        </is>
      </c>
      <c r="B1054" t="inlineStr">
        <is>
          <t>Fernando Sánchez Henao</t>
        </is>
      </c>
      <c r="C1054" t="inlineStr">
        <is>
          <t>PRY-003</t>
        </is>
      </c>
      <c r="D1054" t="inlineStr">
        <is>
          <t>Apto 604</t>
        </is>
      </c>
      <c r="E1054" t="inlineStr">
        <is>
          <t>Juliana Vélez</t>
        </is>
      </c>
      <c r="F1054" t="inlineStr">
        <is>
          <t>Prospección</t>
        </is>
      </c>
      <c r="G1054" t="n">
        <v>448000000</v>
      </c>
      <c r="H1054" t="n">
        <v>0.1</v>
      </c>
      <c r="I1054" s="28" t="n">
        <v>46185</v>
      </c>
      <c r="J1054" s="28" t="n">
        <v>46304</v>
      </c>
      <c r="K1054" t="n">
        <v>14</v>
      </c>
      <c r="L1054" t="inlineStr">
        <is>
          <t>Pidió brochure y precios</t>
        </is>
      </c>
    </row>
    <row r="1055">
      <c r="A1055" t="inlineStr">
        <is>
          <t>NEG-1053</t>
        </is>
      </c>
      <c r="B1055" t="inlineStr">
        <is>
          <t>Verónica Mejía Hernández</t>
        </is>
      </c>
      <c r="C1055" t="inlineStr">
        <is>
          <t>PRY-003</t>
        </is>
      </c>
      <c r="D1055" t="inlineStr">
        <is>
          <t>Apto 907</t>
        </is>
      </c>
      <c r="E1055" t="inlineStr">
        <is>
          <t>Daniela Ríos</t>
        </is>
      </c>
      <c r="F1055" t="inlineStr">
        <is>
          <t>Prospección</t>
        </is>
      </c>
      <c r="G1055" t="n">
        <v>455000000</v>
      </c>
      <c r="H1055" t="n">
        <v>0.1</v>
      </c>
      <c r="I1055" s="28" t="n">
        <v>46186</v>
      </c>
      <c r="J1055" s="28" t="n">
        <v>46236</v>
      </c>
      <c r="K1055" t="n">
        <v>15</v>
      </c>
      <c r="L1055" t="inlineStr">
        <is>
          <t>Solicitó información por formulario</t>
        </is>
      </c>
    </row>
    <row r="1056">
      <c r="A1056" t="inlineStr">
        <is>
          <t>NEG-1054</t>
        </is>
      </c>
      <c r="B1056" t="inlineStr">
        <is>
          <t>Daniela Franco Zapata</t>
        </is>
      </c>
      <c r="C1056" t="inlineStr">
        <is>
          <t>PRY-002</t>
        </is>
      </c>
      <c r="D1056" t="inlineStr">
        <is>
          <t>Casa 58</t>
        </is>
      </c>
      <c r="E1056" t="inlineStr">
        <is>
          <t>Miguel Salazar</t>
        </is>
      </c>
      <c r="F1056" t="inlineStr">
        <is>
          <t>Prospección</t>
        </is>
      </c>
      <c r="G1056" t="n">
        <v>850000000</v>
      </c>
      <c r="H1056" t="n">
        <v>0.1</v>
      </c>
      <c r="I1056" s="28" t="n">
        <v>46188</v>
      </c>
      <c r="J1056" s="28" t="n">
        <v>46291</v>
      </c>
      <c r="K1056" t="n">
        <v>5</v>
      </c>
      <c r="L1056" t="inlineStr">
        <is>
          <t>Pidió brochure y precios</t>
        </is>
      </c>
    </row>
    <row r="1057">
      <c r="A1057" t="inlineStr">
        <is>
          <t>NEG-1055</t>
        </is>
      </c>
      <c r="B1057" t="inlineStr">
        <is>
          <t>Juliana López Henao</t>
        </is>
      </c>
      <c r="C1057" t="inlineStr">
        <is>
          <t>PRY-003</t>
        </is>
      </c>
      <c r="D1057" t="inlineStr">
        <is>
          <t>Apto 1605</t>
        </is>
      </c>
      <c r="E1057" t="inlineStr">
        <is>
          <t>Luis Bedoya</t>
        </is>
      </c>
      <c r="F1057" t="inlineStr">
        <is>
          <t>Contacto Inicial</t>
        </is>
      </c>
      <c r="G1057" t="n">
        <v>402000000</v>
      </c>
      <c r="H1057" t="n">
        <v>0.2</v>
      </c>
      <c r="I1057" s="28" t="n">
        <v>46188</v>
      </c>
      <c r="J1057" s="28" t="n">
        <v>46234</v>
      </c>
      <c r="K1057" t="n">
        <v>13</v>
      </c>
      <c r="L1057" t="inlineStr">
        <is>
          <t>Interesado, pidió plano de la unidad</t>
        </is>
      </c>
    </row>
    <row r="1058">
      <c r="A1058" t="inlineStr">
        <is>
          <t>NEG-1056</t>
        </is>
      </c>
      <c r="B1058" t="inlineStr">
        <is>
          <t>Katherine Franco Peláez</t>
        </is>
      </c>
      <c r="C1058" t="inlineStr">
        <is>
          <t>PRY-007</t>
        </is>
      </c>
      <c r="D1058" t="inlineStr">
        <is>
          <t>Apto 404</t>
        </is>
      </c>
      <c r="E1058" t="inlineStr">
        <is>
          <t>Sofía Prada</t>
        </is>
      </c>
      <c r="F1058" t="inlineStr">
        <is>
          <t>Prospección</t>
        </is>
      </c>
      <c r="G1058" t="n">
        <v>837000000</v>
      </c>
      <c r="H1058" t="n">
        <v>0.1</v>
      </c>
      <c r="I1058" s="28" t="n">
        <v>46188</v>
      </c>
      <c r="J1058" s="28" t="n">
        <v>46320</v>
      </c>
      <c r="K1058" t="n">
        <v>12</v>
      </c>
      <c r="L1058" t="inlineStr">
        <is>
          <t>Pidió brochure y precios</t>
        </is>
      </c>
    </row>
    <row r="1059">
      <c r="A1059" t="inlineStr">
        <is>
          <t>NEG-1057</t>
        </is>
      </c>
      <c r="B1059" t="inlineStr">
        <is>
          <t>Natalia Cifuentes Escobar</t>
        </is>
      </c>
      <c r="C1059" t="inlineStr">
        <is>
          <t>PRY-005</t>
        </is>
      </c>
      <c r="D1059" t="inlineStr">
        <is>
          <t>Apto 1206</t>
        </is>
      </c>
      <c r="E1059" t="inlineStr">
        <is>
          <t>Juliana Vélez</t>
        </is>
      </c>
      <c r="F1059" t="inlineStr">
        <is>
          <t>Contacto Inicial</t>
        </is>
      </c>
      <c r="G1059" t="n">
        <v>515000000</v>
      </c>
      <c r="H1059" t="n">
        <v>0.2</v>
      </c>
      <c r="I1059" s="28" t="n">
        <v>46190</v>
      </c>
      <c r="J1059" s="28" t="n">
        <v>46222</v>
      </c>
      <c r="K1059" t="n">
        <v>13</v>
      </c>
      <c r="L1059" t="inlineStr">
        <is>
          <t>Primera llamada realizada</t>
        </is>
      </c>
    </row>
    <row r="1060">
      <c r="A1060" t="inlineStr">
        <is>
          <t>NEG-1058</t>
        </is>
      </c>
      <c r="B1060" t="inlineStr">
        <is>
          <t>Sandra Betancur Castaño</t>
        </is>
      </c>
      <c r="C1060" t="inlineStr">
        <is>
          <t>PRY-006</t>
        </is>
      </c>
      <c r="D1060" t="inlineStr">
        <is>
          <t>Local 23</t>
        </is>
      </c>
      <c r="E1060" t="inlineStr">
        <is>
          <t>Andrés Torres</t>
        </is>
      </c>
      <c r="F1060" t="inlineStr">
        <is>
          <t>Prospección</t>
        </is>
      </c>
      <c r="G1060" t="n">
        <v>721000000</v>
      </c>
      <c r="H1060" t="n">
        <v>0.1</v>
      </c>
      <c r="I1060" s="28" t="n">
        <v>46194</v>
      </c>
      <c r="J1060" s="28" t="n">
        <v>46322</v>
      </c>
      <c r="K1060" t="n">
        <v>9</v>
      </c>
      <c r="L1060" t="inlineStr">
        <is>
          <t>Pidió brochure y precios</t>
        </is>
      </c>
    </row>
    <row r="1061">
      <c r="A1061" t="inlineStr">
        <is>
          <t>NEG-1059</t>
        </is>
      </c>
      <c r="B1061" t="inlineStr">
        <is>
          <t>José Valencia Palacio</t>
        </is>
      </c>
      <c r="C1061" t="inlineStr">
        <is>
          <t>PRY-005</t>
        </is>
      </c>
      <c r="D1061" t="inlineStr">
        <is>
          <t>Casa 36</t>
        </is>
      </c>
      <c r="E1061" t="inlineStr">
        <is>
          <t>Santiago Muñoz</t>
        </is>
      </c>
      <c r="F1061" t="inlineStr">
        <is>
          <t>Prospección</t>
        </is>
      </c>
      <c r="G1061" t="n">
        <v>480000000</v>
      </c>
      <c r="H1061" t="n">
        <v>0.1</v>
      </c>
      <c r="I1061" s="28" t="n">
        <v>46198</v>
      </c>
      <c r="J1061" s="28" t="n">
        <v>46217</v>
      </c>
      <c r="K1061" t="n">
        <v>3</v>
      </c>
      <c r="L1061" t="inlineStr">
        <is>
          <t>Pidió brochure y precios</t>
        </is>
      </c>
    </row>
    <row r="1062">
      <c r="A1062" t="inlineStr">
        <is>
          <t>NEG-1060</t>
        </is>
      </c>
      <c r="B1062" t="inlineStr">
        <is>
          <t>Sandra Cardona Gaviria</t>
        </is>
      </c>
      <c r="C1062" t="inlineStr">
        <is>
          <t>PRY-007</t>
        </is>
      </c>
      <c r="D1062" t="inlineStr">
        <is>
          <t>Apto 501</t>
        </is>
      </c>
      <c r="E1062" t="inlineStr">
        <is>
          <t>Luis Bedoya</t>
        </is>
      </c>
      <c r="F1062" t="inlineStr">
        <is>
          <t>Prospección</t>
        </is>
      </c>
      <c r="G1062" t="n">
        <v>762000000</v>
      </c>
      <c r="H1062" t="n">
        <v>0.1</v>
      </c>
      <c r="I1062" s="28" t="n">
        <v>46199</v>
      </c>
      <c r="J1062" s="28" t="n">
        <v>46222</v>
      </c>
      <c r="K1062" t="n">
        <v>2</v>
      </c>
      <c r="L1062" t="inlineStr">
        <is>
          <t>Solicitó información por formulario</t>
        </is>
      </c>
    </row>
  </sheetData>
  <mergeCells count="1">
    <mergeCell ref="A1:L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tabColor rgb="FF1E7145"/>
    <outlinePr summaryBelow="1" summaryRight="1"/>
    <pageSetUpPr/>
  </sheetPr>
  <dimension ref="A1:K85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4.43" defaultRowHeight="15" customHeight="1"/>
  <cols>
    <col width="11" customWidth="1" style="25" min="1" max="1"/>
    <col width="22" customWidth="1" style="25" min="2" max="2"/>
    <col width="10" customWidth="1" style="25" min="3" max="3"/>
    <col width="20" customWidth="1" style="25" min="4" max="5"/>
    <col width="18" customWidth="1" style="25" min="6" max="6"/>
    <col width="20" customWidth="1" style="25" min="7" max="7"/>
    <col width="16" customWidth="1" style="25" min="8" max="8"/>
    <col width="18" customWidth="1" style="25" min="9" max="9"/>
    <col width="14" customWidth="1" style="25" min="10" max="10"/>
    <col width="16" customWidth="1" style="25" min="11" max="11"/>
    <col width="8.710000000000001" customWidth="1" style="25" min="12" max="26"/>
  </cols>
  <sheetData>
    <row r="1" ht="39.75" customHeight="1" s="25">
      <c r="A1" s="26" t="inlineStr">
        <is>
          <t>CONTROL FINANCIERO — INGRESOS Y CARTERA</t>
        </is>
      </c>
    </row>
    <row r="2" ht="21.75" customHeight="1" s="25">
      <c r="A2" s="24" t="inlineStr">
        <is>
          <t>ID Pago</t>
        </is>
      </c>
      <c r="B2" s="24" t="inlineStr">
        <is>
          <t>Cliente</t>
        </is>
      </c>
      <c r="C2" s="24" t="inlineStr">
        <is>
          <t>Proyecto</t>
        </is>
      </c>
      <c r="D2" s="24" t="inlineStr">
        <is>
          <t>Concepto</t>
        </is>
      </c>
      <c r="E2" s="24" t="inlineStr">
        <is>
          <t>Valor Total (COP)</t>
        </is>
      </c>
      <c r="F2" s="24" t="inlineStr">
        <is>
          <t>Valor Pagado</t>
        </is>
      </c>
      <c r="G2" s="24" t="inlineStr">
        <is>
          <t>Valor Pendiente</t>
        </is>
      </c>
      <c r="H2" s="24" t="inlineStr">
        <is>
          <t>% Avance Pago</t>
        </is>
      </c>
      <c r="I2" s="24" t="inlineStr">
        <is>
          <t>Fecha Compromiso</t>
        </is>
      </c>
      <c r="J2" s="24" t="inlineStr">
        <is>
          <t>Estado Pago</t>
        </is>
      </c>
      <c r="K2" s="24" t="inlineStr">
        <is>
          <t>Asesor</t>
        </is>
      </c>
    </row>
    <row r="3" ht="18" customHeight="1" s="25">
      <c r="A3" t="inlineStr">
        <is>
          <t>PAG-0001</t>
        </is>
      </c>
      <c r="B3" t="inlineStr">
        <is>
          <t>Natalia Cardona Uribe</t>
        </is>
      </c>
      <c r="C3" t="inlineStr">
        <is>
          <t>PRY-008</t>
        </is>
      </c>
      <c r="D3" t="inlineStr">
        <is>
          <t>Cuota inicial</t>
        </is>
      </c>
      <c r="E3" t="n">
        <v>33000000</v>
      </c>
      <c r="F3" t="n">
        <v>33000000</v>
      </c>
      <c r="G3">
        <f>E3-F3</f>
        <v/>
      </c>
      <c r="H3">
        <f>IF(E3&gt;0,F3/E3,0)</f>
        <v/>
      </c>
      <c r="I3" s="28" t="n">
        <v>46074</v>
      </c>
      <c r="J3" t="inlineStr">
        <is>
          <t>Pagado</t>
        </is>
      </c>
      <c r="K3" t="inlineStr">
        <is>
          <t>Miguel Salazar</t>
        </is>
      </c>
    </row>
    <row r="4" ht="18" customHeight="1" s="25">
      <c r="A4" t="inlineStr">
        <is>
          <t>PAG-0002</t>
        </is>
      </c>
      <c r="B4" t="inlineStr">
        <is>
          <t>Natalia Cardona Uribe</t>
        </is>
      </c>
      <c r="C4" t="inlineStr">
        <is>
          <t>PRY-008</t>
        </is>
      </c>
      <c r="D4" t="inlineStr">
        <is>
          <t>Escrituración</t>
        </is>
      </c>
      <c r="E4" t="n">
        <v>132000000</v>
      </c>
      <c r="F4" t="n">
        <v>132000000</v>
      </c>
      <c r="G4">
        <f>E4-F4</f>
        <v/>
      </c>
      <c r="H4">
        <f>IF(E4&gt;0,F4/E4,0)</f>
        <v/>
      </c>
      <c r="I4" s="28" t="n">
        <v>46168</v>
      </c>
      <c r="J4" t="inlineStr">
        <is>
          <t>Pagado</t>
        </is>
      </c>
      <c r="K4" t="inlineStr">
        <is>
          <t>Miguel Salazar</t>
        </is>
      </c>
    </row>
    <row r="5" ht="18" customHeight="1" s="25">
      <c r="A5" t="inlineStr">
        <is>
          <t>PAG-0003</t>
        </is>
      </c>
      <c r="B5" t="inlineStr">
        <is>
          <t>Juliana Ríos López</t>
        </is>
      </c>
      <c r="C5" t="inlineStr">
        <is>
          <t>PRY-008</t>
        </is>
      </c>
      <c r="D5" t="inlineStr">
        <is>
          <t>Cuota inicial</t>
        </is>
      </c>
      <c r="E5" t="n">
        <v>26000000</v>
      </c>
      <c r="F5" t="n">
        <v>26000000</v>
      </c>
      <c r="G5">
        <f>E5-F5</f>
        <v/>
      </c>
      <c r="H5">
        <f>IF(E5&gt;0,F5/E5,0)</f>
        <v/>
      </c>
      <c r="I5" s="28" t="n">
        <v>46074</v>
      </c>
      <c r="J5" t="inlineStr">
        <is>
          <t>Pagado</t>
        </is>
      </c>
      <c r="K5" t="inlineStr">
        <is>
          <t>Paula Arenas</t>
        </is>
      </c>
    </row>
    <row r="6" ht="18" customHeight="1" s="25">
      <c r="A6" t="inlineStr">
        <is>
          <t>PAG-0004</t>
        </is>
      </c>
      <c r="B6" t="inlineStr">
        <is>
          <t>Juliana Ríos López</t>
        </is>
      </c>
      <c r="C6" t="inlineStr">
        <is>
          <t>PRY-008</t>
        </is>
      </c>
      <c r="D6" t="inlineStr">
        <is>
          <t>Escrituración</t>
        </is>
      </c>
      <c r="E6" t="n">
        <v>105000000</v>
      </c>
      <c r="F6" t="n">
        <v>105000000</v>
      </c>
      <c r="G6">
        <f>E6-F6</f>
        <v/>
      </c>
      <c r="H6">
        <f>IF(E6&gt;0,F6/E6,0)</f>
        <v/>
      </c>
      <c r="I6" s="28" t="n">
        <v>46130</v>
      </c>
      <c r="J6" t="inlineStr">
        <is>
          <t>Pagado</t>
        </is>
      </c>
      <c r="K6" t="inlineStr">
        <is>
          <t>Paula Arenas</t>
        </is>
      </c>
    </row>
    <row r="7" ht="18" customHeight="1" s="25">
      <c r="A7" t="inlineStr">
        <is>
          <t>PAG-0005</t>
        </is>
      </c>
      <c r="B7" t="inlineStr">
        <is>
          <t>Fernando Giraldo Mejía</t>
        </is>
      </c>
      <c r="C7" t="inlineStr">
        <is>
          <t>PRY-008</t>
        </is>
      </c>
      <c r="D7" t="inlineStr">
        <is>
          <t>Cuota inicial</t>
        </is>
      </c>
      <c r="E7" t="n">
        <v>26000000</v>
      </c>
      <c r="F7" t="n">
        <v>26000000</v>
      </c>
      <c r="G7">
        <f>E7-F7</f>
        <v/>
      </c>
      <c r="H7">
        <f>IF(E7&gt;0,F7/E7,0)</f>
        <v/>
      </c>
      <c r="I7" s="28" t="n">
        <v>46074</v>
      </c>
      <c r="J7" t="inlineStr">
        <is>
          <t>Pagado</t>
        </is>
      </c>
      <c r="K7" t="inlineStr">
        <is>
          <t>Miguel Salazar</t>
        </is>
      </c>
    </row>
    <row r="8" ht="18" customHeight="1" s="25">
      <c r="A8" t="inlineStr">
        <is>
          <t>PAG-0006</t>
        </is>
      </c>
      <c r="B8" t="inlineStr">
        <is>
          <t>Fernando Giraldo Mejía</t>
        </is>
      </c>
      <c r="C8" t="inlineStr">
        <is>
          <t>PRY-008</t>
        </is>
      </c>
      <c r="D8" t="inlineStr">
        <is>
          <t>Escrituración</t>
        </is>
      </c>
      <c r="E8" t="n">
        <v>102000000</v>
      </c>
      <c r="F8" t="n">
        <v>102000000</v>
      </c>
      <c r="G8">
        <f>E8-F8</f>
        <v/>
      </c>
      <c r="H8">
        <f>IF(E8&gt;0,F8/E8,0)</f>
        <v/>
      </c>
      <c r="I8" s="28" t="n">
        <v>46112</v>
      </c>
      <c r="J8" t="inlineStr">
        <is>
          <t>Pagado</t>
        </is>
      </c>
      <c r="K8" t="inlineStr">
        <is>
          <t>Miguel Salazar</t>
        </is>
      </c>
    </row>
    <row r="9" ht="18" customHeight="1" s="25">
      <c r="A9" t="inlineStr">
        <is>
          <t>PAG-0007</t>
        </is>
      </c>
      <c r="B9" t="inlineStr">
        <is>
          <t>Mateo Ríos Cifuentes</t>
        </is>
      </c>
      <c r="C9" t="inlineStr">
        <is>
          <t>PRY-003</t>
        </is>
      </c>
      <c r="D9" t="inlineStr">
        <is>
          <t>Cuota inicial</t>
        </is>
      </c>
      <c r="E9" t="n">
        <v>95000000</v>
      </c>
      <c r="F9" t="n">
        <v>82500000</v>
      </c>
      <c r="G9">
        <f>E9-F9</f>
        <v/>
      </c>
      <c r="H9">
        <f>IF(E9&gt;0,F9/E9,0)</f>
        <v/>
      </c>
      <c r="I9" s="28" t="n">
        <v>46229</v>
      </c>
      <c r="J9" t="inlineStr">
        <is>
          <t>Al día</t>
        </is>
      </c>
      <c r="K9" t="inlineStr">
        <is>
          <t>Paula Arenas</t>
        </is>
      </c>
    </row>
    <row r="10" ht="18" customHeight="1" s="25">
      <c r="A10" t="inlineStr">
        <is>
          <t>PAG-0008</t>
        </is>
      </c>
      <c r="B10" t="inlineStr">
        <is>
          <t>Jhon Bedoya Echeverri</t>
        </is>
      </c>
      <c r="C10" t="inlineStr">
        <is>
          <t>PRY-003</t>
        </is>
      </c>
      <c r="D10" t="inlineStr">
        <is>
          <t>Cuota inicial</t>
        </is>
      </c>
      <c r="E10" t="n">
        <v>116000000</v>
      </c>
      <c r="F10" t="n">
        <v>100411765</v>
      </c>
      <c r="G10">
        <f>E10-F10</f>
        <v/>
      </c>
      <c r="H10">
        <f>IF(E10&gt;0,F10/E10,0)</f>
        <v/>
      </c>
      <c r="I10" s="28" t="n">
        <v>46229</v>
      </c>
      <c r="J10" t="inlineStr">
        <is>
          <t>Al día</t>
        </is>
      </c>
      <c r="K10" t="inlineStr">
        <is>
          <t>Andrés Torres</t>
        </is>
      </c>
    </row>
    <row r="11" ht="18" customHeight="1" s="25">
      <c r="A11" t="inlineStr">
        <is>
          <t>PAG-0009</t>
        </is>
      </c>
      <c r="B11" t="inlineStr">
        <is>
          <t>Juliana Correa López</t>
        </is>
      </c>
      <c r="C11" t="inlineStr">
        <is>
          <t>PRY-003</t>
        </is>
      </c>
      <c r="D11" t="inlineStr">
        <is>
          <t>Cuota inicial</t>
        </is>
      </c>
      <c r="E11" t="n">
        <v>106000000</v>
      </c>
      <c r="F11" t="n">
        <v>91882353</v>
      </c>
      <c r="G11">
        <f>E11-F11</f>
        <v/>
      </c>
      <c r="H11">
        <f>IF(E11&gt;0,F11/E11,0)</f>
        <v/>
      </c>
      <c r="I11" s="28" t="n">
        <v>46229</v>
      </c>
      <c r="J11" t="inlineStr">
        <is>
          <t>Al día</t>
        </is>
      </c>
      <c r="K11" t="inlineStr">
        <is>
          <t>Juliana Vélez</t>
        </is>
      </c>
    </row>
    <row r="12" ht="18" customHeight="1" s="25">
      <c r="A12" t="inlineStr">
        <is>
          <t>PAG-0010</t>
        </is>
      </c>
      <c r="B12" t="inlineStr">
        <is>
          <t>Hernán Duque Cardona</t>
        </is>
      </c>
      <c r="C12" t="inlineStr">
        <is>
          <t>PRY-003</t>
        </is>
      </c>
      <c r="D12" t="inlineStr">
        <is>
          <t>Cuota inicial</t>
        </is>
      </c>
      <c r="E12" t="n">
        <v>102000000</v>
      </c>
      <c r="F12" t="n">
        <v>88470588</v>
      </c>
      <c r="G12">
        <f>E12-F12</f>
        <v/>
      </c>
      <c r="H12">
        <f>IF(E12&gt;0,F12/E12,0)</f>
        <v/>
      </c>
      <c r="I12" s="28" t="n">
        <v>46229</v>
      </c>
      <c r="J12" t="inlineStr">
        <is>
          <t>Al día</t>
        </is>
      </c>
      <c r="K12" t="inlineStr">
        <is>
          <t>Miguel Salazar</t>
        </is>
      </c>
    </row>
    <row r="13" ht="18" customHeight="1" s="25">
      <c r="A13" t="inlineStr">
        <is>
          <t>PAG-0011</t>
        </is>
      </c>
      <c r="B13" t="inlineStr">
        <is>
          <t>Rodrigo Echeverri Jaramillo</t>
        </is>
      </c>
      <c r="C13" t="inlineStr">
        <is>
          <t>PRY-003</t>
        </is>
      </c>
      <c r="D13" t="inlineStr">
        <is>
          <t>Cuota inicial</t>
        </is>
      </c>
      <c r="E13" t="n">
        <v>110000000</v>
      </c>
      <c r="F13" t="n">
        <v>95294118</v>
      </c>
      <c r="G13">
        <f>E13-F13</f>
        <v/>
      </c>
      <c r="H13">
        <f>IF(E13&gt;0,F13/E13,0)</f>
        <v/>
      </c>
      <c r="I13" s="28" t="n">
        <v>46229</v>
      </c>
      <c r="J13" t="inlineStr">
        <is>
          <t>Al día</t>
        </is>
      </c>
      <c r="K13" t="inlineStr">
        <is>
          <t>Miguel Salazar</t>
        </is>
      </c>
    </row>
    <row r="14" ht="18" customHeight="1" s="25">
      <c r="A14" t="inlineStr">
        <is>
          <t>PAG-0012</t>
        </is>
      </c>
      <c r="B14" t="inlineStr">
        <is>
          <t>David Espinosa Giraldo</t>
        </is>
      </c>
      <c r="C14" t="inlineStr">
        <is>
          <t>PRY-003</t>
        </is>
      </c>
      <c r="D14" t="inlineStr">
        <is>
          <t>Cuota inicial</t>
        </is>
      </c>
      <c r="E14" t="n">
        <v>90000000</v>
      </c>
      <c r="F14" t="n">
        <v>68181818</v>
      </c>
      <c r="G14">
        <f>E14-F14</f>
        <v/>
      </c>
      <c r="H14">
        <f>IF(E14&gt;0,F14/E14,0)</f>
        <v/>
      </c>
      <c r="I14" s="28" t="n">
        <v>46082</v>
      </c>
      <c r="J14" t="inlineStr">
        <is>
          <t>En mora</t>
        </is>
      </c>
      <c r="K14" t="inlineStr">
        <is>
          <t>Juliana Vélez</t>
        </is>
      </c>
    </row>
    <row r="15" ht="18" customHeight="1" s="25">
      <c r="A15" t="inlineStr">
        <is>
          <t>PAG-0013</t>
        </is>
      </c>
      <c r="B15" t="inlineStr">
        <is>
          <t>Felipe Escobar Ríos</t>
        </is>
      </c>
      <c r="C15" t="inlineStr">
        <is>
          <t>PRY-008</t>
        </is>
      </c>
      <c r="D15" t="inlineStr">
        <is>
          <t>Cuota inicial</t>
        </is>
      </c>
      <c r="E15" t="n">
        <v>33000000</v>
      </c>
      <c r="F15" t="n">
        <v>31750000</v>
      </c>
      <c r="G15">
        <f>E15-F15</f>
        <v/>
      </c>
      <c r="H15">
        <f>IF(E15&gt;0,F15/E15,0)</f>
        <v/>
      </c>
      <c r="I15" s="28" t="n">
        <v>46054</v>
      </c>
      <c r="J15" t="inlineStr">
        <is>
          <t>En mora</t>
        </is>
      </c>
      <c r="K15" t="inlineStr">
        <is>
          <t>Andrés Torres</t>
        </is>
      </c>
    </row>
    <row r="16" ht="18" customHeight="1" s="25">
      <c r="A16" t="inlineStr">
        <is>
          <t>PAG-0014</t>
        </is>
      </c>
      <c r="B16" t="inlineStr">
        <is>
          <t>Rodrigo Franco Montes</t>
        </is>
      </c>
      <c r="C16" t="inlineStr">
        <is>
          <t>PRY-008</t>
        </is>
      </c>
      <c r="D16" t="inlineStr">
        <is>
          <t>Cuota inicial</t>
        </is>
      </c>
      <c r="E16" t="n">
        <v>27000000</v>
      </c>
      <c r="F16" t="n">
        <v>27000000</v>
      </c>
      <c r="G16">
        <f>E16-F16</f>
        <v/>
      </c>
      <c r="H16">
        <f>IF(E16&gt;0,F16/E16,0)</f>
        <v/>
      </c>
      <c r="I16" s="28" t="n">
        <v>46056</v>
      </c>
      <c r="J16" t="inlineStr">
        <is>
          <t>Pagado</t>
        </is>
      </c>
      <c r="K16" t="inlineStr">
        <is>
          <t>Ana Quintero</t>
        </is>
      </c>
    </row>
    <row r="17" ht="18" customHeight="1" s="25">
      <c r="A17" t="inlineStr">
        <is>
          <t>PAG-0015</t>
        </is>
      </c>
      <c r="B17" t="inlineStr">
        <is>
          <t>Rodrigo Franco Montes</t>
        </is>
      </c>
      <c r="C17" t="inlineStr">
        <is>
          <t>PRY-008</t>
        </is>
      </c>
      <c r="D17" t="inlineStr">
        <is>
          <t>Escrituración</t>
        </is>
      </c>
      <c r="E17" t="n">
        <v>107000000</v>
      </c>
      <c r="F17" t="n">
        <v>107000000</v>
      </c>
      <c r="G17">
        <f>E17-F17</f>
        <v/>
      </c>
      <c r="H17">
        <f>IF(E17&gt;0,F17/E17,0)</f>
        <v/>
      </c>
      <c r="I17" s="28" t="n">
        <v>46149</v>
      </c>
      <c r="J17" t="inlineStr">
        <is>
          <t>Pagado</t>
        </is>
      </c>
      <c r="K17" t="inlineStr">
        <is>
          <t>Ana Quintero</t>
        </is>
      </c>
    </row>
    <row r="18" ht="18" customHeight="1" s="25">
      <c r="A18" t="inlineStr">
        <is>
          <t>PAG-0016</t>
        </is>
      </c>
      <c r="B18" t="inlineStr">
        <is>
          <t>Paula Uribe Londoño</t>
        </is>
      </c>
      <c r="C18" t="inlineStr">
        <is>
          <t>PRY-008</t>
        </is>
      </c>
      <c r="D18" t="inlineStr">
        <is>
          <t>Cuota inicial</t>
        </is>
      </c>
      <c r="E18" t="n">
        <v>26000000</v>
      </c>
      <c r="F18" t="n">
        <v>26000000</v>
      </c>
      <c r="G18">
        <f>E18-F18</f>
        <v/>
      </c>
      <c r="H18">
        <f>IF(E18&gt;0,F18/E18,0)</f>
        <v/>
      </c>
      <c r="I18" s="28" t="n">
        <v>46057</v>
      </c>
      <c r="J18" t="inlineStr">
        <is>
          <t>Pagado</t>
        </is>
      </c>
      <c r="K18" t="inlineStr">
        <is>
          <t>Luis Bedoya</t>
        </is>
      </c>
    </row>
    <row r="19" ht="18" customHeight="1" s="25">
      <c r="A19" t="inlineStr">
        <is>
          <t>PAG-0017</t>
        </is>
      </c>
      <c r="B19" t="inlineStr">
        <is>
          <t>Paula Uribe Londoño</t>
        </is>
      </c>
      <c r="C19" t="inlineStr">
        <is>
          <t>PRY-008</t>
        </is>
      </c>
      <c r="D19" t="inlineStr">
        <is>
          <t>Escrituración</t>
        </is>
      </c>
      <c r="E19" t="n">
        <v>103000000</v>
      </c>
      <c r="F19" t="n">
        <v>103000000</v>
      </c>
      <c r="G19">
        <f>E19-F19</f>
        <v/>
      </c>
      <c r="H19">
        <f>IF(E19&gt;0,F19/E19,0)</f>
        <v/>
      </c>
      <c r="I19" s="28" t="n">
        <v>46151</v>
      </c>
      <c r="J19" t="inlineStr">
        <is>
          <t>Pagado</t>
        </is>
      </c>
      <c r="K19" t="inlineStr">
        <is>
          <t>Luis Bedoya</t>
        </is>
      </c>
    </row>
    <row r="20" ht="18" customHeight="1" s="25">
      <c r="A20" t="inlineStr">
        <is>
          <t>PAG-0018</t>
        </is>
      </c>
      <c r="B20" t="inlineStr">
        <is>
          <t>Cristian Muñoz Gómez</t>
        </is>
      </c>
      <c r="C20" t="inlineStr">
        <is>
          <t>PRY-001</t>
        </is>
      </c>
      <c r="D20" t="inlineStr">
        <is>
          <t>Cuota inicial</t>
        </is>
      </c>
      <c r="E20" t="n">
        <v>161000000</v>
      </c>
      <c r="F20" t="n">
        <v>118410256</v>
      </c>
      <c r="G20">
        <f>E20-F20</f>
        <v/>
      </c>
      <c r="H20">
        <f>IF(E20&gt;0,F20/E20,0)</f>
        <v/>
      </c>
      <c r="I20" s="28" t="n">
        <v>46208</v>
      </c>
      <c r="J20" t="inlineStr">
        <is>
          <t>Al día</t>
        </is>
      </c>
      <c r="K20" t="inlineStr">
        <is>
          <t>Paula Arenas</t>
        </is>
      </c>
    </row>
    <row r="21" ht="18" customHeight="1" s="25">
      <c r="A21" t="inlineStr">
        <is>
          <t>PAG-0019</t>
        </is>
      </c>
      <c r="B21" t="inlineStr">
        <is>
          <t>Daniela López Quintero</t>
        </is>
      </c>
      <c r="C21" t="inlineStr">
        <is>
          <t>PRY-001</t>
        </is>
      </c>
      <c r="D21" t="inlineStr">
        <is>
          <t>Cuota inicial</t>
        </is>
      </c>
      <c r="E21" t="n">
        <v>200000000</v>
      </c>
      <c r="F21" t="n">
        <v>136666667</v>
      </c>
      <c r="G21">
        <f>E21-F21</f>
        <v/>
      </c>
      <c r="H21">
        <f>IF(E21&gt;0,F21/E21,0)</f>
        <v/>
      </c>
      <c r="I21" s="28" t="n">
        <v>46147</v>
      </c>
      <c r="J21" t="inlineStr">
        <is>
          <t>En mora</t>
        </is>
      </c>
      <c r="K21" t="inlineStr">
        <is>
          <t>Andrés Torres</t>
        </is>
      </c>
    </row>
    <row r="22" ht="18" customHeight="1" s="25">
      <c r="A22" t="inlineStr">
        <is>
          <t>PAG-0020</t>
        </is>
      </c>
      <c r="B22" t="inlineStr">
        <is>
          <t>Valeria Montoya Montes</t>
        </is>
      </c>
      <c r="C22" t="inlineStr">
        <is>
          <t>PRY-001</t>
        </is>
      </c>
      <c r="D22" t="inlineStr">
        <is>
          <t>Cuota inicial</t>
        </is>
      </c>
      <c r="E22" t="n">
        <v>225000000</v>
      </c>
      <c r="F22" t="n">
        <v>164358974</v>
      </c>
      <c r="G22">
        <f>E22-F22</f>
        <v/>
      </c>
      <c r="H22">
        <f>IF(E22&gt;0,F22/E22,0)</f>
        <v/>
      </c>
      <c r="I22" s="28" t="n">
        <v>46208</v>
      </c>
      <c r="J22" t="inlineStr">
        <is>
          <t>Al día</t>
        </is>
      </c>
      <c r="K22" t="inlineStr">
        <is>
          <t>Juliana Vélez</t>
        </is>
      </c>
    </row>
    <row r="23" ht="18" customHeight="1" s="25">
      <c r="A23" t="inlineStr">
        <is>
          <t>PAG-0021</t>
        </is>
      </c>
      <c r="B23" t="inlineStr">
        <is>
          <t>Isabel Cardona Quintero</t>
        </is>
      </c>
      <c r="C23" t="inlineStr">
        <is>
          <t>PRY-001</t>
        </is>
      </c>
      <c r="D23" t="inlineStr">
        <is>
          <t>Cuota inicial</t>
        </is>
      </c>
      <c r="E23" t="n">
        <v>167000000</v>
      </c>
      <c r="F23" t="n">
        <v>122717949</v>
      </c>
      <c r="G23">
        <f>E23-F23</f>
        <v/>
      </c>
      <c r="H23">
        <f>IF(E23&gt;0,F23/E23,0)</f>
        <v/>
      </c>
      <c r="I23" s="28" t="n">
        <v>46208</v>
      </c>
      <c r="J23" t="inlineStr">
        <is>
          <t>Al día</t>
        </is>
      </c>
      <c r="K23" t="inlineStr">
        <is>
          <t>Luis Bedoya</t>
        </is>
      </c>
    </row>
    <row r="24" ht="18" customHeight="1" s="25">
      <c r="A24" t="inlineStr">
        <is>
          <t>PAG-0022</t>
        </is>
      </c>
      <c r="B24" t="inlineStr">
        <is>
          <t>Esteban Escobar Pérez</t>
        </is>
      </c>
      <c r="C24" t="inlineStr">
        <is>
          <t>PRY-003</t>
        </is>
      </c>
      <c r="D24" t="inlineStr">
        <is>
          <t>Cuota inicial</t>
        </is>
      </c>
      <c r="E24" t="n">
        <v>87000000</v>
      </c>
      <c r="F24" t="n">
        <v>75333333</v>
      </c>
      <c r="G24">
        <f>E24-F24</f>
        <v/>
      </c>
      <c r="H24">
        <f>IF(E24&gt;0,F24/E24,0)</f>
        <v/>
      </c>
      <c r="I24" s="28" t="n">
        <v>46211</v>
      </c>
      <c r="J24" t="inlineStr">
        <is>
          <t>Al día</t>
        </is>
      </c>
      <c r="K24" t="inlineStr">
        <is>
          <t>Luis Bedoya</t>
        </is>
      </c>
    </row>
    <row r="25" ht="18" customHeight="1" s="25">
      <c r="A25" t="inlineStr">
        <is>
          <t>PAG-0023</t>
        </is>
      </c>
      <c r="B25" t="inlineStr">
        <is>
          <t>Catalina Higuita Gaviria</t>
        </is>
      </c>
      <c r="C25" t="inlineStr">
        <is>
          <t>PRY-003</t>
        </is>
      </c>
      <c r="D25" t="inlineStr">
        <is>
          <t>Cuota inicial</t>
        </is>
      </c>
      <c r="E25" t="n">
        <v>97000000</v>
      </c>
      <c r="F25" t="n">
        <v>83818182</v>
      </c>
      <c r="G25">
        <f>E25-F25</f>
        <v/>
      </c>
      <c r="H25">
        <f>IF(E25&gt;0,F25/E25,0)</f>
        <v/>
      </c>
      <c r="I25" s="28" t="n">
        <v>46213</v>
      </c>
      <c r="J25" t="inlineStr">
        <is>
          <t>Al día</t>
        </is>
      </c>
      <c r="K25" t="inlineStr">
        <is>
          <t>Sofía Prada</t>
        </is>
      </c>
    </row>
    <row r="26" ht="18" customHeight="1" s="25">
      <c r="A26" t="inlineStr">
        <is>
          <t>PAG-0024</t>
        </is>
      </c>
      <c r="B26" t="inlineStr">
        <is>
          <t>Alejandra Rojas López</t>
        </is>
      </c>
      <c r="C26" t="inlineStr">
        <is>
          <t>PRY-004</t>
        </is>
      </c>
      <c r="D26" t="inlineStr">
        <is>
          <t>Cuota inicial</t>
        </is>
      </c>
      <c r="E26" t="n">
        <v>154000000</v>
      </c>
      <c r="F26" t="n">
        <v>154000000</v>
      </c>
      <c r="G26">
        <f>E26-F26</f>
        <v/>
      </c>
      <c r="H26">
        <f>IF(E26&gt;0,F26/E26,0)</f>
        <v/>
      </c>
      <c r="I26" s="28" t="n">
        <v>45940</v>
      </c>
      <c r="J26" t="inlineStr">
        <is>
          <t>Pagado</t>
        </is>
      </c>
      <c r="K26" t="inlineStr">
        <is>
          <t>Luis Bedoya</t>
        </is>
      </c>
    </row>
    <row r="27" ht="18" customHeight="1" s="25">
      <c r="A27" t="inlineStr">
        <is>
          <t>PAG-0025</t>
        </is>
      </c>
      <c r="B27" t="inlineStr">
        <is>
          <t>Alejandra Rojas López</t>
        </is>
      </c>
      <c r="C27" t="inlineStr">
        <is>
          <t>PRY-004</t>
        </is>
      </c>
      <c r="D27" t="inlineStr">
        <is>
          <t>Escrituración</t>
        </is>
      </c>
      <c r="E27" t="n">
        <v>358000000</v>
      </c>
      <c r="F27" t="n">
        <v>358000000</v>
      </c>
      <c r="G27">
        <f>E27-F27</f>
        <v/>
      </c>
      <c r="H27">
        <f>IF(E27&gt;0,F27/E27,0)</f>
        <v/>
      </c>
      <c r="I27" s="28" t="n">
        <v>46041</v>
      </c>
      <c r="J27" t="inlineStr">
        <is>
          <t>Pagado</t>
        </is>
      </c>
      <c r="K27" t="inlineStr">
        <is>
          <t>Luis Bedoya</t>
        </is>
      </c>
    </row>
    <row r="28" ht="18" customHeight="1" s="25">
      <c r="A28" t="inlineStr">
        <is>
          <t>PAG-0026</t>
        </is>
      </c>
      <c r="B28" t="inlineStr">
        <is>
          <t>Luisa Gaviria Palacio</t>
        </is>
      </c>
      <c r="C28" t="inlineStr">
        <is>
          <t>PRY-004</t>
        </is>
      </c>
      <c r="D28" t="inlineStr">
        <is>
          <t>Cuota inicial</t>
        </is>
      </c>
      <c r="E28" t="n">
        <v>132000000</v>
      </c>
      <c r="F28" t="n">
        <v>132000000</v>
      </c>
      <c r="G28">
        <f>E28-F28</f>
        <v/>
      </c>
      <c r="H28">
        <f>IF(E28&gt;0,F28/E28,0)</f>
        <v/>
      </c>
      <c r="I28" s="28" t="n">
        <v>45940</v>
      </c>
      <c r="J28" t="inlineStr">
        <is>
          <t>Pagado</t>
        </is>
      </c>
      <c r="K28" t="inlineStr">
        <is>
          <t>Andrés Torres</t>
        </is>
      </c>
    </row>
    <row r="29" ht="18" customHeight="1" s="25">
      <c r="A29" t="inlineStr">
        <is>
          <t>PAG-0027</t>
        </is>
      </c>
      <c r="B29" t="inlineStr">
        <is>
          <t>Luisa Gaviria Palacio</t>
        </is>
      </c>
      <c r="C29" t="inlineStr">
        <is>
          <t>PRY-004</t>
        </is>
      </c>
      <c r="D29" t="inlineStr">
        <is>
          <t>Escrituración</t>
        </is>
      </c>
      <c r="E29" t="n">
        <v>307000000</v>
      </c>
      <c r="F29" t="n">
        <v>307000000</v>
      </c>
      <c r="G29">
        <f>E29-F29</f>
        <v/>
      </c>
      <c r="H29">
        <f>IF(E29&gt;0,F29/E29,0)</f>
        <v/>
      </c>
      <c r="I29" s="28" t="n">
        <v>45998</v>
      </c>
      <c r="J29" t="inlineStr">
        <is>
          <t>Pagado</t>
        </is>
      </c>
      <c r="K29" t="inlineStr">
        <is>
          <t>Andrés Torres</t>
        </is>
      </c>
    </row>
    <row r="30" ht="18" customHeight="1" s="25">
      <c r="A30" t="inlineStr">
        <is>
          <t>PAG-0028</t>
        </is>
      </c>
      <c r="B30" t="inlineStr">
        <is>
          <t>Sofía Londoño Zapata</t>
        </is>
      </c>
      <c r="C30" t="inlineStr">
        <is>
          <t>PRY-004</t>
        </is>
      </c>
      <c r="D30" t="inlineStr">
        <is>
          <t>Cuota inicial</t>
        </is>
      </c>
      <c r="E30" t="n">
        <v>132000000</v>
      </c>
      <c r="F30" t="n">
        <v>132000000</v>
      </c>
      <c r="G30">
        <f>E30-F30</f>
        <v/>
      </c>
      <c r="H30">
        <f>IF(E30&gt;0,F30/E30,0)</f>
        <v/>
      </c>
      <c r="I30" s="28" t="n">
        <v>45940</v>
      </c>
      <c r="J30" t="inlineStr">
        <is>
          <t>Pagado</t>
        </is>
      </c>
      <c r="K30" t="inlineStr">
        <is>
          <t>Sofía Prada</t>
        </is>
      </c>
    </row>
    <row r="31" ht="18" customHeight="1" s="25">
      <c r="A31" t="inlineStr">
        <is>
          <t>PAG-0029</t>
        </is>
      </c>
      <c r="B31" t="inlineStr">
        <is>
          <t>Sofía Londoño Zapata</t>
        </is>
      </c>
      <c r="C31" t="inlineStr">
        <is>
          <t>PRY-004</t>
        </is>
      </c>
      <c r="D31" t="inlineStr">
        <is>
          <t>Escrituración</t>
        </is>
      </c>
      <c r="E31" t="n">
        <v>307000000</v>
      </c>
      <c r="F31" t="n">
        <v>307000000</v>
      </c>
      <c r="G31">
        <f>E31-F31</f>
        <v/>
      </c>
      <c r="H31">
        <f>IF(E31&gt;0,F31/E31,0)</f>
        <v/>
      </c>
      <c r="I31" s="28" t="n">
        <v>46056</v>
      </c>
      <c r="J31" t="inlineStr">
        <is>
          <t>Pagado</t>
        </is>
      </c>
      <c r="K31" t="inlineStr">
        <is>
          <t>Sofía Prada</t>
        </is>
      </c>
    </row>
    <row r="32" ht="18" customHeight="1" s="25">
      <c r="A32" t="inlineStr">
        <is>
          <t>PAG-0030</t>
        </is>
      </c>
      <c r="B32" t="inlineStr">
        <is>
          <t>Paola Salazar Arango</t>
        </is>
      </c>
      <c r="C32" t="inlineStr">
        <is>
          <t>PRY-004</t>
        </is>
      </c>
      <c r="D32" t="inlineStr">
        <is>
          <t>Cuota inicial</t>
        </is>
      </c>
      <c r="E32" t="n">
        <v>142000000</v>
      </c>
      <c r="F32" t="n">
        <v>142000000</v>
      </c>
      <c r="G32">
        <f>E32-F32</f>
        <v/>
      </c>
      <c r="H32">
        <f>IF(E32&gt;0,F32/E32,0)</f>
        <v/>
      </c>
      <c r="I32" s="28" t="n">
        <v>45940</v>
      </c>
      <c r="J32" t="inlineStr">
        <is>
          <t>Pagado</t>
        </is>
      </c>
      <c r="K32" t="inlineStr">
        <is>
          <t>Miguel Salazar</t>
        </is>
      </c>
    </row>
    <row r="33" ht="18" customHeight="1" s="25">
      <c r="A33" t="inlineStr">
        <is>
          <t>PAG-0031</t>
        </is>
      </c>
      <c r="B33" t="inlineStr">
        <is>
          <t>Paola Salazar Arango</t>
        </is>
      </c>
      <c r="C33" t="inlineStr">
        <is>
          <t>PRY-004</t>
        </is>
      </c>
      <c r="D33" t="inlineStr">
        <is>
          <t>Escrituración</t>
        </is>
      </c>
      <c r="E33" t="n">
        <v>331000000</v>
      </c>
      <c r="F33" t="n">
        <v>331000000</v>
      </c>
      <c r="G33">
        <f>E33-F33</f>
        <v/>
      </c>
      <c r="H33">
        <f>IF(E33&gt;0,F33/E33,0)</f>
        <v/>
      </c>
      <c r="I33" s="28" t="n">
        <v>46044</v>
      </c>
      <c r="J33" t="inlineStr">
        <is>
          <t>Pagado</t>
        </is>
      </c>
      <c r="K33" t="inlineStr">
        <is>
          <t>Miguel Salazar</t>
        </is>
      </c>
    </row>
    <row r="34" ht="18" customHeight="1" s="25">
      <c r="A34" t="inlineStr">
        <is>
          <t>PAG-0032</t>
        </is>
      </c>
      <c r="B34" t="inlineStr">
        <is>
          <t>Felipe Pérez Vargas</t>
        </is>
      </c>
      <c r="C34" t="inlineStr">
        <is>
          <t>PRY-004</t>
        </is>
      </c>
      <c r="D34" t="inlineStr">
        <is>
          <t>Cuota inicial</t>
        </is>
      </c>
      <c r="E34" t="n">
        <v>158000000</v>
      </c>
      <c r="F34" t="n">
        <v>158000000</v>
      </c>
      <c r="G34">
        <f>E34-F34</f>
        <v/>
      </c>
      <c r="H34">
        <f>IF(E34&gt;0,F34/E34,0)</f>
        <v/>
      </c>
      <c r="I34" s="28" t="n">
        <v>45940</v>
      </c>
      <c r="J34" t="inlineStr">
        <is>
          <t>Pagado</t>
        </is>
      </c>
      <c r="K34" t="inlineStr">
        <is>
          <t>Sofía Prada</t>
        </is>
      </c>
    </row>
    <row r="35" ht="18" customHeight="1" s="25">
      <c r="A35" t="inlineStr">
        <is>
          <t>PAG-0033</t>
        </is>
      </c>
      <c r="B35" t="inlineStr">
        <is>
          <t>Felipe Pérez Vargas</t>
        </is>
      </c>
      <c r="C35" t="inlineStr">
        <is>
          <t>PRY-004</t>
        </is>
      </c>
      <c r="D35" t="inlineStr">
        <is>
          <t>Escrituración</t>
        </is>
      </c>
      <c r="E35" t="n">
        <v>368000000</v>
      </c>
      <c r="F35" t="n">
        <v>368000000</v>
      </c>
      <c r="G35">
        <f>E35-F35</f>
        <v/>
      </c>
      <c r="H35">
        <f>IF(E35&gt;0,F35/E35,0)</f>
        <v/>
      </c>
      <c r="I35" s="28" t="n">
        <v>46002</v>
      </c>
      <c r="J35" t="inlineStr">
        <is>
          <t>Pagado</t>
        </is>
      </c>
      <c r="K35" t="inlineStr">
        <is>
          <t>Sofía Prada</t>
        </is>
      </c>
    </row>
    <row r="36" ht="18" customHeight="1" s="25">
      <c r="A36" t="inlineStr">
        <is>
          <t>PAG-0034</t>
        </is>
      </c>
      <c r="B36" t="inlineStr">
        <is>
          <t>Rodrigo Vélez Palacio</t>
        </is>
      </c>
      <c r="C36" t="inlineStr">
        <is>
          <t>PRY-004</t>
        </is>
      </c>
      <c r="D36" t="inlineStr">
        <is>
          <t>Cuota inicial</t>
        </is>
      </c>
      <c r="E36" t="n">
        <v>148000000</v>
      </c>
      <c r="F36" t="n">
        <v>148000000</v>
      </c>
      <c r="G36">
        <f>E36-F36</f>
        <v/>
      </c>
      <c r="H36">
        <f>IF(E36&gt;0,F36/E36,0)</f>
        <v/>
      </c>
      <c r="I36" s="28" t="n">
        <v>45940</v>
      </c>
      <c r="J36" t="inlineStr">
        <is>
          <t>Pagado</t>
        </is>
      </c>
      <c r="K36" t="inlineStr">
        <is>
          <t>Ana Quintero</t>
        </is>
      </c>
    </row>
    <row r="37" ht="18" customHeight="1" s="25">
      <c r="A37" t="inlineStr">
        <is>
          <t>PAG-0035</t>
        </is>
      </c>
      <c r="B37" t="inlineStr">
        <is>
          <t>Rodrigo Vélez Palacio</t>
        </is>
      </c>
      <c r="C37" t="inlineStr">
        <is>
          <t>PRY-004</t>
        </is>
      </c>
      <c r="D37" t="inlineStr">
        <is>
          <t>Escrituración</t>
        </is>
      </c>
      <c r="E37" t="n">
        <v>344000000</v>
      </c>
      <c r="F37" t="n">
        <v>344000000</v>
      </c>
      <c r="G37">
        <f>E37-F37</f>
        <v/>
      </c>
      <c r="H37">
        <f>IF(E37&gt;0,F37/E37,0)</f>
        <v/>
      </c>
      <c r="I37" s="28" t="n">
        <v>45997</v>
      </c>
      <c r="J37" t="inlineStr">
        <is>
          <t>Pagado</t>
        </is>
      </c>
      <c r="K37" t="inlineStr">
        <is>
          <t>Ana Quintero</t>
        </is>
      </c>
    </row>
    <row r="38" ht="15.75" customHeight="1" s="25">
      <c r="A38" t="inlineStr">
        <is>
          <t>PAG-0036</t>
        </is>
      </c>
      <c r="B38" t="inlineStr">
        <is>
          <t>Felipe Ramírez Henao</t>
        </is>
      </c>
      <c r="C38" t="inlineStr">
        <is>
          <t>PRY-004</t>
        </is>
      </c>
      <c r="D38" t="inlineStr">
        <is>
          <t>Cuota inicial</t>
        </is>
      </c>
      <c r="E38" t="n">
        <v>158000000</v>
      </c>
      <c r="F38" t="n">
        <v>158000000</v>
      </c>
      <c r="G38">
        <f>E38-F38</f>
        <v/>
      </c>
      <c r="H38">
        <f>IF(E38&gt;0,F38/E38,0)</f>
        <v/>
      </c>
      <c r="I38" s="28" t="n">
        <v>45940</v>
      </c>
      <c r="J38" t="inlineStr">
        <is>
          <t>Pagado</t>
        </is>
      </c>
      <c r="K38" t="inlineStr">
        <is>
          <t>Miguel Salazar</t>
        </is>
      </c>
    </row>
    <row r="39" ht="15.75" customHeight="1" s="25">
      <c r="A39" t="inlineStr">
        <is>
          <t>PAG-0037</t>
        </is>
      </c>
      <c r="B39" t="inlineStr">
        <is>
          <t>Felipe Ramírez Henao</t>
        </is>
      </c>
      <c r="C39" t="inlineStr">
        <is>
          <t>PRY-004</t>
        </is>
      </c>
      <c r="D39" t="inlineStr">
        <is>
          <t>Escrituración</t>
        </is>
      </c>
      <c r="E39" t="n">
        <v>368000000</v>
      </c>
      <c r="F39" t="n">
        <v>368000000</v>
      </c>
      <c r="G39">
        <f>E39-F39</f>
        <v/>
      </c>
      <c r="H39">
        <f>IF(E39&gt;0,F39/E39,0)</f>
        <v/>
      </c>
      <c r="I39" s="28" t="n">
        <v>46037</v>
      </c>
      <c r="J39" t="inlineStr">
        <is>
          <t>Pagado</t>
        </is>
      </c>
      <c r="K39" t="inlineStr">
        <is>
          <t>Miguel Salazar</t>
        </is>
      </c>
    </row>
    <row r="40" ht="15.75" customHeight="1" s="25">
      <c r="A40" t="inlineStr">
        <is>
          <t>PAG-0038</t>
        </is>
      </c>
      <c r="B40" t="inlineStr">
        <is>
          <t>Mónica Agudelo Peláez</t>
        </is>
      </c>
      <c r="C40" t="inlineStr">
        <is>
          <t>PRY-004</t>
        </is>
      </c>
      <c r="D40" t="inlineStr">
        <is>
          <t>Cuota inicial</t>
        </is>
      </c>
      <c r="E40" t="n">
        <v>149000000</v>
      </c>
      <c r="F40" t="n">
        <v>149000000</v>
      </c>
      <c r="G40">
        <f>E40-F40</f>
        <v/>
      </c>
      <c r="H40">
        <f>IF(E40&gt;0,F40/E40,0)</f>
        <v/>
      </c>
      <c r="I40" s="28" t="n">
        <v>45941</v>
      </c>
      <c r="J40" t="inlineStr">
        <is>
          <t>Pagado</t>
        </is>
      </c>
      <c r="K40" t="inlineStr">
        <is>
          <t>Ana Quintero</t>
        </is>
      </c>
    </row>
    <row r="41" ht="15.75" customHeight="1" s="25">
      <c r="A41" t="inlineStr">
        <is>
          <t>PAG-0039</t>
        </is>
      </c>
      <c r="B41" t="inlineStr">
        <is>
          <t>Mónica Agudelo Peláez</t>
        </is>
      </c>
      <c r="C41" t="inlineStr">
        <is>
          <t>PRY-004</t>
        </is>
      </c>
      <c r="D41" t="inlineStr">
        <is>
          <t>Escrituración</t>
        </is>
      </c>
      <c r="E41" t="n">
        <v>348000000</v>
      </c>
      <c r="F41" t="n">
        <v>348000000</v>
      </c>
      <c r="G41">
        <f>E41-F41</f>
        <v/>
      </c>
      <c r="H41">
        <f>IF(E41&gt;0,F41/E41,0)</f>
        <v/>
      </c>
      <c r="I41" s="28" t="n">
        <v>46003</v>
      </c>
      <c r="J41" t="inlineStr">
        <is>
          <t>Pagado</t>
        </is>
      </c>
      <c r="K41" t="inlineStr">
        <is>
          <t>Ana Quintero</t>
        </is>
      </c>
    </row>
    <row r="42" ht="15.75" customHeight="1" s="25">
      <c r="A42" t="inlineStr">
        <is>
          <t>PAG-0040</t>
        </is>
      </c>
      <c r="B42" t="inlineStr">
        <is>
          <t>Simón Palacio Echeverri</t>
        </is>
      </c>
      <c r="C42" t="inlineStr">
        <is>
          <t>PRY-003</t>
        </is>
      </c>
      <c r="D42" t="inlineStr">
        <is>
          <t>Cuota inicial</t>
        </is>
      </c>
      <c r="E42" t="n">
        <v>98000000</v>
      </c>
      <c r="F42" t="n">
        <v>84666667</v>
      </c>
      <c r="G42">
        <f>E42-F42</f>
        <v/>
      </c>
      <c r="H42">
        <f>IF(E42&gt;0,F42/E42,0)</f>
        <v/>
      </c>
      <c r="I42" s="28" t="n">
        <v>46216</v>
      </c>
      <c r="J42" t="inlineStr">
        <is>
          <t>Al día</t>
        </is>
      </c>
      <c r="K42" t="inlineStr">
        <is>
          <t>Miguel Salazar</t>
        </is>
      </c>
    </row>
    <row r="43" ht="15.75" customHeight="1" s="25">
      <c r="A43" t="inlineStr">
        <is>
          <t>PAG-0041</t>
        </is>
      </c>
      <c r="B43" t="inlineStr">
        <is>
          <t>Alejandro Escobar Cifuentes</t>
        </is>
      </c>
      <c r="C43" t="inlineStr">
        <is>
          <t>PRY-004</t>
        </is>
      </c>
      <c r="D43" t="inlineStr">
        <is>
          <t>Cuota inicial</t>
        </is>
      </c>
      <c r="E43" t="n">
        <v>130000000</v>
      </c>
      <c r="F43" t="n">
        <v>130000000</v>
      </c>
      <c r="G43">
        <f>E43-F43</f>
        <v/>
      </c>
      <c r="H43">
        <f>IF(E43&gt;0,F43/E43,0)</f>
        <v/>
      </c>
      <c r="I43" s="28" t="n">
        <v>45949</v>
      </c>
      <c r="J43" t="inlineStr">
        <is>
          <t>Pagado</t>
        </is>
      </c>
      <c r="K43" t="inlineStr">
        <is>
          <t>Miguel Salazar</t>
        </is>
      </c>
    </row>
    <row r="44" ht="15.75" customHeight="1" s="25">
      <c r="A44" t="inlineStr">
        <is>
          <t>PAG-0042</t>
        </is>
      </c>
      <c r="B44" t="inlineStr">
        <is>
          <t>Alejandro Escobar Cifuentes</t>
        </is>
      </c>
      <c r="C44" t="inlineStr">
        <is>
          <t>PRY-004</t>
        </is>
      </c>
      <c r="D44" t="inlineStr">
        <is>
          <t>Escrituración</t>
        </is>
      </c>
      <c r="E44" t="n">
        <v>304000000</v>
      </c>
      <c r="F44" t="n">
        <v>304000000</v>
      </c>
      <c r="G44">
        <f>E44-F44</f>
        <v/>
      </c>
      <c r="H44">
        <f>IF(E44&gt;0,F44/E44,0)</f>
        <v/>
      </c>
      <c r="I44" s="28" t="n">
        <v>46001</v>
      </c>
      <c r="J44" t="inlineStr">
        <is>
          <t>Pagado</t>
        </is>
      </c>
      <c r="K44" t="inlineStr">
        <is>
          <t>Miguel Salazar</t>
        </is>
      </c>
    </row>
    <row r="45" ht="15.75" customHeight="1" s="25">
      <c r="A45" t="inlineStr">
        <is>
          <t>PAG-0043</t>
        </is>
      </c>
      <c r="B45" t="inlineStr">
        <is>
          <t>Fernando Hernández Montes</t>
        </is>
      </c>
      <c r="C45" t="inlineStr">
        <is>
          <t>PRY-003</t>
        </is>
      </c>
      <c r="D45" t="inlineStr">
        <is>
          <t>Cuota inicial</t>
        </is>
      </c>
      <c r="E45" t="n">
        <v>83000000</v>
      </c>
      <c r="F45" t="n">
        <v>71939394</v>
      </c>
      <c r="G45">
        <f>E45-F45</f>
        <v/>
      </c>
      <c r="H45">
        <f>IF(E45&gt;0,F45/E45,0)</f>
        <v/>
      </c>
      <c r="I45" s="28" t="n">
        <v>46222</v>
      </c>
      <c r="J45" t="inlineStr">
        <is>
          <t>Al día</t>
        </is>
      </c>
      <c r="K45" t="inlineStr">
        <is>
          <t>Sofía Prada</t>
        </is>
      </c>
    </row>
    <row r="46" ht="15.75" customHeight="1" s="25">
      <c r="A46" t="inlineStr">
        <is>
          <t>PAG-0044</t>
        </is>
      </c>
      <c r="B46" t="inlineStr">
        <is>
          <t>Verónica Higuita Peláez</t>
        </is>
      </c>
      <c r="C46" t="inlineStr">
        <is>
          <t>PRY-001</t>
        </is>
      </c>
      <c r="D46" t="inlineStr">
        <is>
          <t>Cuota inicial</t>
        </is>
      </c>
      <c r="E46" t="n">
        <v>171000000</v>
      </c>
      <c r="F46" t="n">
        <v>125589744</v>
      </c>
      <c r="G46">
        <f>E46-F46</f>
        <v/>
      </c>
      <c r="H46">
        <f>IF(E46&gt;0,F46/E46,0)</f>
        <v/>
      </c>
      <c r="I46" s="28" t="n">
        <v>46223</v>
      </c>
      <c r="J46" t="inlineStr">
        <is>
          <t>Al día</t>
        </is>
      </c>
      <c r="K46" t="inlineStr">
        <is>
          <t>Sofía Prada</t>
        </is>
      </c>
    </row>
    <row r="47" ht="15.75" customHeight="1" s="25">
      <c r="A47" t="inlineStr">
        <is>
          <t>PAG-0045</t>
        </is>
      </c>
      <c r="B47" t="inlineStr">
        <is>
          <t>Ximena López Salcedo</t>
        </is>
      </c>
      <c r="C47" t="inlineStr">
        <is>
          <t>PRY-001</t>
        </is>
      </c>
      <c r="D47" t="inlineStr">
        <is>
          <t>Cuota inicial</t>
        </is>
      </c>
      <c r="E47" t="n">
        <v>157000000</v>
      </c>
      <c r="F47" t="n">
        <v>115538462</v>
      </c>
      <c r="G47">
        <f>E47-F47</f>
        <v/>
      </c>
      <c r="H47">
        <f>IF(E47&gt;0,F47/E47,0)</f>
        <v/>
      </c>
      <c r="I47" s="28" t="n">
        <v>46223</v>
      </c>
      <c r="J47" t="inlineStr">
        <is>
          <t>Al día</t>
        </is>
      </c>
      <c r="K47" t="inlineStr">
        <is>
          <t>Sofía Prada</t>
        </is>
      </c>
    </row>
    <row r="48" ht="15.75" customHeight="1" s="25">
      <c r="A48" t="inlineStr">
        <is>
          <t>PAG-0046</t>
        </is>
      </c>
      <c r="B48" t="inlineStr">
        <is>
          <t>Daniela Vargas Vélez</t>
        </is>
      </c>
      <c r="C48" t="inlineStr">
        <is>
          <t>PRY-008</t>
        </is>
      </c>
      <c r="D48" t="inlineStr">
        <is>
          <t>Cuota inicial</t>
        </is>
      </c>
      <c r="E48" t="n">
        <v>26000000</v>
      </c>
      <c r="F48" t="n">
        <v>26000000</v>
      </c>
      <c r="G48">
        <f>E48-F48</f>
        <v/>
      </c>
      <c r="H48">
        <f>IF(E48&gt;0,F48/E48,0)</f>
        <v/>
      </c>
      <c r="I48" s="28" t="n">
        <v>46073</v>
      </c>
      <c r="J48" t="inlineStr">
        <is>
          <t>Pagado</t>
        </is>
      </c>
      <c r="K48" t="inlineStr">
        <is>
          <t>Andrés Torres</t>
        </is>
      </c>
    </row>
    <row r="49" ht="15.75" customHeight="1" s="25">
      <c r="A49" t="inlineStr">
        <is>
          <t>PAG-0047</t>
        </is>
      </c>
      <c r="B49" t="inlineStr">
        <is>
          <t>Daniela Vargas Vélez</t>
        </is>
      </c>
      <c r="C49" t="inlineStr">
        <is>
          <t>PRY-008</t>
        </is>
      </c>
      <c r="D49" t="inlineStr">
        <is>
          <t>Escrituración</t>
        </is>
      </c>
      <c r="E49" t="n">
        <v>106000000</v>
      </c>
      <c r="F49" t="n">
        <v>0</v>
      </c>
      <c r="G49">
        <f>E49-F49</f>
        <v/>
      </c>
      <c r="H49">
        <f>IF(E49&gt;0,F49/E49,0)</f>
        <v/>
      </c>
      <c r="I49" s="28" t="n">
        <v>46227</v>
      </c>
      <c r="J49" t="inlineStr">
        <is>
          <t>Pendiente</t>
        </is>
      </c>
      <c r="K49" t="inlineStr">
        <is>
          <t>Andrés Torres</t>
        </is>
      </c>
    </row>
    <row r="50" ht="15.75" customHeight="1" s="25">
      <c r="A50" t="inlineStr">
        <is>
          <t>PAG-0048</t>
        </is>
      </c>
      <c r="B50" t="inlineStr">
        <is>
          <t>Jhon Bedoya Rojas</t>
        </is>
      </c>
      <c r="C50" t="inlineStr">
        <is>
          <t>PRY-004</t>
        </is>
      </c>
      <c r="D50" t="inlineStr">
        <is>
          <t>Cuota inicial</t>
        </is>
      </c>
      <c r="E50" t="n">
        <v>139000000</v>
      </c>
      <c r="F50" t="n">
        <v>139000000</v>
      </c>
      <c r="G50">
        <f>E50-F50</f>
        <v/>
      </c>
      <c r="H50">
        <f>IF(E50&gt;0,F50/E50,0)</f>
        <v/>
      </c>
      <c r="I50" s="28" t="n">
        <v>45954</v>
      </c>
      <c r="J50" t="inlineStr">
        <is>
          <t>Pagado</t>
        </is>
      </c>
      <c r="K50" t="inlineStr">
        <is>
          <t>Ana Quintero</t>
        </is>
      </c>
    </row>
    <row r="51" ht="15.75" customHeight="1" s="25">
      <c r="A51" t="inlineStr">
        <is>
          <t>PAG-0049</t>
        </is>
      </c>
      <c r="B51" t="inlineStr">
        <is>
          <t>Jhon Bedoya Rojas</t>
        </is>
      </c>
      <c r="C51" t="inlineStr">
        <is>
          <t>PRY-004</t>
        </is>
      </c>
      <c r="D51" t="inlineStr">
        <is>
          <t>Escrituración</t>
        </is>
      </c>
      <c r="E51" t="n">
        <v>324000000</v>
      </c>
      <c r="F51" t="n">
        <v>324000000</v>
      </c>
      <c r="G51">
        <f>E51-F51</f>
        <v/>
      </c>
      <c r="H51">
        <f>IF(E51&gt;0,F51/E51,0)</f>
        <v/>
      </c>
      <c r="I51" s="28" t="n">
        <v>46010</v>
      </c>
      <c r="J51" t="inlineStr">
        <is>
          <t>Pagado</t>
        </is>
      </c>
      <c r="K51" t="inlineStr">
        <is>
          <t>Ana Quintero</t>
        </is>
      </c>
    </row>
    <row r="52" ht="15.75" customHeight="1" s="25">
      <c r="A52" t="inlineStr">
        <is>
          <t>PAG-0050</t>
        </is>
      </c>
      <c r="B52" t="inlineStr">
        <is>
          <t>José Giraldo Álvarez</t>
        </is>
      </c>
      <c r="C52" t="inlineStr">
        <is>
          <t>PRY-003</t>
        </is>
      </c>
      <c r="D52" t="inlineStr">
        <is>
          <t>Cuota inicial</t>
        </is>
      </c>
      <c r="E52" t="n">
        <v>80000000</v>
      </c>
      <c r="F52" t="n">
        <v>69393939</v>
      </c>
      <c r="G52">
        <f>E52-F52</f>
        <v/>
      </c>
      <c r="H52">
        <f>IF(E52&gt;0,F52/E52,0)</f>
        <v/>
      </c>
      <c r="I52" s="28" t="n">
        <v>46228</v>
      </c>
      <c r="J52" t="inlineStr">
        <is>
          <t>Al día</t>
        </is>
      </c>
      <c r="K52" t="inlineStr">
        <is>
          <t>Andrés Torres</t>
        </is>
      </c>
    </row>
    <row r="53" ht="15.75" customHeight="1" s="25">
      <c r="A53" t="inlineStr">
        <is>
          <t>PAG-0051</t>
        </is>
      </c>
      <c r="B53" t="inlineStr">
        <is>
          <t>Felipe Correa Cifuentes</t>
        </is>
      </c>
      <c r="C53" t="inlineStr">
        <is>
          <t>PRY-004</t>
        </is>
      </c>
      <c r="D53" t="inlineStr">
        <is>
          <t>Cuota inicial</t>
        </is>
      </c>
      <c r="E53" t="n">
        <v>149000000</v>
      </c>
      <c r="F53" t="n">
        <v>149000000</v>
      </c>
      <c r="G53">
        <f>E53-F53</f>
        <v/>
      </c>
      <c r="H53">
        <f>IF(E53&gt;0,F53/E53,0)</f>
        <v/>
      </c>
      <c r="I53" s="28" t="n">
        <v>45957</v>
      </c>
      <c r="J53" t="inlineStr">
        <is>
          <t>Pagado</t>
        </is>
      </c>
      <c r="K53" t="inlineStr">
        <is>
          <t>Luis Bedoya</t>
        </is>
      </c>
    </row>
    <row r="54" ht="15.75" customHeight="1" s="25">
      <c r="A54" t="inlineStr">
        <is>
          <t>PAG-0052</t>
        </is>
      </c>
      <c r="B54" t="inlineStr">
        <is>
          <t>Felipe Correa Cifuentes</t>
        </is>
      </c>
      <c r="C54" t="inlineStr">
        <is>
          <t>PRY-004</t>
        </is>
      </c>
      <c r="D54" t="inlineStr">
        <is>
          <t>Escrituración</t>
        </is>
      </c>
      <c r="E54" t="n">
        <v>348000000</v>
      </c>
      <c r="F54" t="n">
        <v>348000000</v>
      </c>
      <c r="G54">
        <f>E54-F54</f>
        <v/>
      </c>
      <c r="H54">
        <f>IF(E54&gt;0,F54/E54,0)</f>
        <v/>
      </c>
      <c r="I54" s="28" t="n">
        <v>46034</v>
      </c>
      <c r="J54" t="inlineStr">
        <is>
          <t>Pagado</t>
        </is>
      </c>
      <c r="K54" t="inlineStr">
        <is>
          <t>Luis Bedoya</t>
        </is>
      </c>
    </row>
    <row r="55" ht="15.75" customHeight="1" s="25">
      <c r="A55" t="inlineStr">
        <is>
          <t>PAG-0053</t>
        </is>
      </c>
      <c r="B55" t="inlineStr">
        <is>
          <t>Jhon Quintero Cifuentes</t>
        </is>
      </c>
      <c r="C55" t="inlineStr">
        <is>
          <t>PRY-003</t>
        </is>
      </c>
      <c r="D55" t="inlineStr">
        <is>
          <t>Cuota inicial</t>
        </is>
      </c>
      <c r="E55" t="n">
        <v>103000000</v>
      </c>
      <c r="F55" t="n">
        <v>88909091</v>
      </c>
      <c r="G55">
        <f>E55-F55</f>
        <v/>
      </c>
      <c r="H55">
        <f>IF(E55&gt;0,F55/E55,0)</f>
        <v/>
      </c>
      <c r="I55" s="28" t="n">
        <v>46232</v>
      </c>
      <c r="J55" t="inlineStr">
        <is>
          <t>Al día</t>
        </is>
      </c>
      <c r="K55" t="inlineStr">
        <is>
          <t>Sofía Prada</t>
        </is>
      </c>
    </row>
    <row r="56" ht="15.75" customHeight="1" s="25">
      <c r="A56" t="inlineStr">
        <is>
          <t>PAG-0054</t>
        </is>
      </c>
      <c r="B56" t="inlineStr">
        <is>
          <t>Paola Vásquez Sánchez</t>
        </is>
      </c>
      <c r="C56" t="inlineStr">
        <is>
          <t>PRY-001</t>
        </is>
      </c>
      <c r="D56" t="inlineStr">
        <is>
          <t>Cuota inicial</t>
        </is>
      </c>
      <c r="E56" t="n">
        <v>176000000</v>
      </c>
      <c r="F56" t="n">
        <v>120666667</v>
      </c>
      <c r="G56">
        <f>E56-F56</f>
        <v/>
      </c>
      <c r="H56">
        <f>IF(E56&gt;0,F56/E56,0)</f>
        <v/>
      </c>
      <c r="I56" s="28" t="n">
        <v>46171</v>
      </c>
      <c r="J56" t="inlineStr">
        <is>
          <t>En mora</t>
        </is>
      </c>
      <c r="K56" t="inlineStr">
        <is>
          <t>Juliana Vélez</t>
        </is>
      </c>
    </row>
    <row r="57" ht="15.75" customHeight="1" s="25">
      <c r="A57" t="inlineStr">
        <is>
          <t>PAG-0055</t>
        </is>
      </c>
      <c r="B57" t="inlineStr">
        <is>
          <t>Ximena Álvarez Duque</t>
        </is>
      </c>
      <c r="C57" t="inlineStr">
        <is>
          <t>PRY-001</t>
        </is>
      </c>
      <c r="D57" t="inlineStr">
        <is>
          <t>Cuota inicial</t>
        </is>
      </c>
      <c r="E57" t="n">
        <v>209000000</v>
      </c>
      <c r="F57" t="n">
        <v>151394737</v>
      </c>
      <c r="G57">
        <f>E57-F57</f>
        <v/>
      </c>
      <c r="H57">
        <f>IF(E57&gt;0,F57/E57,0)</f>
        <v/>
      </c>
      <c r="I57" s="28" t="n">
        <v>46204</v>
      </c>
      <c r="J57" t="inlineStr">
        <is>
          <t>Al día</t>
        </is>
      </c>
      <c r="K57" t="inlineStr">
        <is>
          <t>Paula Arenas</t>
        </is>
      </c>
    </row>
    <row r="58" ht="15.75" customHeight="1" s="25">
      <c r="A58" t="inlineStr">
        <is>
          <t>PAG-0056</t>
        </is>
      </c>
      <c r="B58" t="inlineStr">
        <is>
          <t>Diana Agudelo Palacio</t>
        </is>
      </c>
      <c r="C58" t="inlineStr">
        <is>
          <t>PRY-003</t>
        </is>
      </c>
      <c r="D58" t="inlineStr">
        <is>
          <t>Cuota inicial</t>
        </is>
      </c>
      <c r="E58" t="n">
        <v>87000000</v>
      </c>
      <c r="F58" t="n">
        <v>74968750</v>
      </c>
      <c r="G58">
        <f>E58-F58</f>
        <v/>
      </c>
      <c r="H58">
        <f>IF(E58&gt;0,F58/E58,0)</f>
        <v/>
      </c>
      <c r="I58" s="28" t="n">
        <v>46204</v>
      </c>
      <c r="J58" t="inlineStr">
        <is>
          <t>Al día</t>
        </is>
      </c>
      <c r="K58" t="inlineStr">
        <is>
          <t>Luis Bedoya</t>
        </is>
      </c>
    </row>
    <row r="59" ht="15.75" customHeight="1" s="25">
      <c r="A59" t="inlineStr">
        <is>
          <t>PAG-0057</t>
        </is>
      </c>
      <c r="B59" t="inlineStr">
        <is>
          <t>Gloria Escobar Cardona</t>
        </is>
      </c>
      <c r="C59" t="inlineStr">
        <is>
          <t>PRY-003</t>
        </is>
      </c>
      <c r="D59" t="inlineStr">
        <is>
          <t>Cuota inicial</t>
        </is>
      </c>
      <c r="E59" t="n">
        <v>106000000</v>
      </c>
      <c r="F59" t="n">
        <v>88000000</v>
      </c>
      <c r="G59">
        <f>E59-F59</f>
        <v/>
      </c>
      <c r="H59">
        <f>IF(E59&gt;0,F59/E59,0)</f>
        <v/>
      </c>
      <c r="I59" s="28" t="n">
        <v>46175</v>
      </c>
      <c r="J59" t="inlineStr">
        <is>
          <t>En mora</t>
        </is>
      </c>
      <c r="K59" t="inlineStr">
        <is>
          <t>Ana Quintero</t>
        </is>
      </c>
    </row>
    <row r="60" ht="15.75" customHeight="1" s="25">
      <c r="A60" t="inlineStr">
        <is>
          <t>PAG-0058</t>
        </is>
      </c>
      <c r="B60" t="inlineStr">
        <is>
          <t>José Muñoz López</t>
        </is>
      </c>
      <c r="C60" t="inlineStr">
        <is>
          <t>PRY-008</t>
        </is>
      </c>
      <c r="D60" t="inlineStr">
        <is>
          <t>Cuota inicial</t>
        </is>
      </c>
      <c r="E60" t="n">
        <v>27000000</v>
      </c>
      <c r="F60" t="n">
        <v>27000000</v>
      </c>
      <c r="G60">
        <f>E60-F60</f>
        <v/>
      </c>
      <c r="H60">
        <f>IF(E60&gt;0,F60/E60,0)</f>
        <v/>
      </c>
      <c r="I60" s="28" t="n">
        <v>46055</v>
      </c>
      <c r="J60" t="inlineStr">
        <is>
          <t>Pagado</t>
        </is>
      </c>
      <c r="K60" t="inlineStr">
        <is>
          <t>Luis Bedoya</t>
        </is>
      </c>
    </row>
    <row r="61" ht="15.75" customHeight="1" s="25">
      <c r="A61" t="inlineStr">
        <is>
          <t>PAG-0059</t>
        </is>
      </c>
      <c r="B61" t="inlineStr">
        <is>
          <t>José Muñoz López</t>
        </is>
      </c>
      <c r="C61" t="inlineStr">
        <is>
          <t>PRY-008</t>
        </is>
      </c>
      <c r="D61" t="inlineStr">
        <is>
          <t>Escrituración</t>
        </is>
      </c>
      <c r="E61" t="n">
        <v>108000000</v>
      </c>
      <c r="F61" t="n">
        <v>108000000</v>
      </c>
      <c r="G61">
        <f>E61-F61</f>
        <v/>
      </c>
      <c r="H61">
        <f>IF(E61&gt;0,F61/E61,0)</f>
        <v/>
      </c>
      <c r="I61" s="28" t="n">
        <v>46171</v>
      </c>
      <c r="J61" t="inlineStr">
        <is>
          <t>Pagado</t>
        </is>
      </c>
      <c r="K61" t="inlineStr">
        <is>
          <t>Luis Bedoya</t>
        </is>
      </c>
    </row>
    <row r="62" ht="15.75" customHeight="1" s="25">
      <c r="A62" t="inlineStr">
        <is>
          <t>PAG-0060</t>
        </is>
      </c>
      <c r="B62" t="inlineStr">
        <is>
          <t>Verónica Henao Bedoya</t>
        </is>
      </c>
      <c r="C62" t="inlineStr">
        <is>
          <t>PRY-004</t>
        </is>
      </c>
      <c r="D62" t="inlineStr">
        <is>
          <t>Cuota inicial</t>
        </is>
      </c>
      <c r="E62" t="n">
        <v>146000000</v>
      </c>
      <c r="F62" t="n">
        <v>146000000</v>
      </c>
      <c r="G62">
        <f>E62-F62</f>
        <v/>
      </c>
      <c r="H62">
        <f>IF(E62&gt;0,F62/E62,0)</f>
        <v/>
      </c>
      <c r="I62" s="28" t="n">
        <v>45933</v>
      </c>
      <c r="J62" t="inlineStr">
        <is>
          <t>Pagado</t>
        </is>
      </c>
      <c r="K62" t="inlineStr">
        <is>
          <t>Paula Arenas</t>
        </is>
      </c>
    </row>
    <row r="63" ht="15.75" customHeight="1" s="25">
      <c r="A63" t="inlineStr">
        <is>
          <t>PAG-0061</t>
        </is>
      </c>
      <c r="B63" t="inlineStr">
        <is>
          <t>Verónica Henao Bedoya</t>
        </is>
      </c>
      <c r="C63" t="inlineStr">
        <is>
          <t>PRY-004</t>
        </is>
      </c>
      <c r="D63" t="inlineStr">
        <is>
          <t>Escrituración</t>
        </is>
      </c>
      <c r="E63" t="n">
        <v>340000000</v>
      </c>
      <c r="F63" t="n">
        <v>340000000</v>
      </c>
      <c r="G63">
        <f>E63-F63</f>
        <v/>
      </c>
      <c r="H63">
        <f>IF(E63&gt;0,F63/E63,0)</f>
        <v/>
      </c>
      <c r="I63" s="28" t="n">
        <v>46028</v>
      </c>
      <c r="J63" t="inlineStr">
        <is>
          <t>Pagado</t>
        </is>
      </c>
      <c r="K63" t="inlineStr">
        <is>
          <t>Paula Arenas</t>
        </is>
      </c>
    </row>
    <row r="64" ht="15.75" customHeight="1" s="25">
      <c r="A64" t="inlineStr">
        <is>
          <t>PAG-0062</t>
        </is>
      </c>
      <c r="B64" t="inlineStr">
        <is>
          <t>Marcela Duque Espinosa</t>
        </is>
      </c>
      <c r="C64" t="inlineStr">
        <is>
          <t>PRY-004</t>
        </is>
      </c>
      <c r="D64" t="inlineStr">
        <is>
          <t>Cuota inicial</t>
        </is>
      </c>
      <c r="E64" t="n">
        <v>140000000</v>
      </c>
      <c r="F64" t="n">
        <v>140000000</v>
      </c>
      <c r="G64">
        <f>E64-F64</f>
        <v/>
      </c>
      <c r="H64">
        <f>IF(E64&gt;0,F64/E64,0)</f>
        <v/>
      </c>
      <c r="I64" s="28" t="n">
        <v>45934</v>
      </c>
      <c r="J64" t="inlineStr">
        <is>
          <t>Pagado</t>
        </is>
      </c>
      <c r="K64" t="inlineStr">
        <is>
          <t>Luis Bedoya</t>
        </is>
      </c>
    </row>
    <row r="65" ht="15.75" customHeight="1" s="25">
      <c r="A65" t="inlineStr">
        <is>
          <t>PAG-0063</t>
        </is>
      </c>
      <c r="B65" t="inlineStr">
        <is>
          <t>Marcela Duque Espinosa</t>
        </is>
      </c>
      <c r="C65" t="inlineStr">
        <is>
          <t>PRY-004</t>
        </is>
      </c>
      <c r="D65" t="inlineStr">
        <is>
          <t>Escrituración</t>
        </is>
      </c>
      <c r="E65" t="n">
        <v>327000000</v>
      </c>
      <c r="F65" t="n">
        <v>327000000</v>
      </c>
      <c r="G65">
        <f>E65-F65</f>
        <v/>
      </c>
      <c r="H65">
        <f>IF(E65&gt;0,F65/E65,0)</f>
        <v/>
      </c>
      <c r="I65" s="28" t="n">
        <v>46006</v>
      </c>
      <c r="J65" t="inlineStr">
        <is>
          <t>Pagado</t>
        </is>
      </c>
      <c r="K65" t="inlineStr">
        <is>
          <t>Luis Bedoya</t>
        </is>
      </c>
    </row>
    <row r="66" ht="15.75" customHeight="1" s="25">
      <c r="A66" t="inlineStr">
        <is>
          <t>PAG-0064</t>
        </is>
      </c>
      <c r="B66" t="inlineStr">
        <is>
          <t>Alejandra Betancur Henao</t>
        </is>
      </c>
      <c r="C66" t="inlineStr">
        <is>
          <t>PRY-003</t>
        </is>
      </c>
      <c r="D66" t="inlineStr">
        <is>
          <t>Cuota inicial</t>
        </is>
      </c>
      <c r="E66" t="n">
        <v>108000000</v>
      </c>
      <c r="F66" t="n">
        <v>92687500</v>
      </c>
      <c r="G66">
        <f>E66-F66</f>
        <v/>
      </c>
      <c r="H66">
        <f>IF(E66&gt;0,F66/E66,0)</f>
        <v/>
      </c>
      <c r="I66" s="28" t="n">
        <v>46208</v>
      </c>
      <c r="J66" t="inlineStr">
        <is>
          <t>Al día</t>
        </is>
      </c>
      <c r="K66" t="inlineStr">
        <is>
          <t>Sofía Prada</t>
        </is>
      </c>
    </row>
    <row r="67" ht="15.75" customHeight="1" s="25">
      <c r="A67" t="inlineStr">
        <is>
          <t>PAG-0065</t>
        </is>
      </c>
      <c r="B67" t="inlineStr">
        <is>
          <t>Andrés Vásquez Montoya</t>
        </is>
      </c>
      <c r="C67" t="inlineStr">
        <is>
          <t>PRY-004</t>
        </is>
      </c>
      <c r="D67" t="inlineStr">
        <is>
          <t>Cuota inicial</t>
        </is>
      </c>
      <c r="E67" t="n">
        <v>152000000</v>
      </c>
      <c r="F67" t="n">
        <v>152000000</v>
      </c>
      <c r="G67">
        <f>E67-F67</f>
        <v/>
      </c>
      <c r="H67">
        <f>IF(E67&gt;0,F67/E67,0)</f>
        <v/>
      </c>
      <c r="I67" s="28" t="n">
        <v>45936</v>
      </c>
      <c r="J67" t="inlineStr">
        <is>
          <t>Pagado</t>
        </is>
      </c>
      <c r="K67" t="inlineStr">
        <is>
          <t>Andrés Torres</t>
        </is>
      </c>
    </row>
    <row r="68" ht="15.75" customHeight="1" s="25">
      <c r="A68" t="inlineStr">
        <is>
          <t>PAG-0066</t>
        </is>
      </c>
      <c r="B68" t="inlineStr">
        <is>
          <t>Andrés Vásquez Montoya</t>
        </is>
      </c>
      <c r="C68" t="inlineStr">
        <is>
          <t>PRY-004</t>
        </is>
      </c>
      <c r="D68" t="inlineStr">
        <is>
          <t>Escrituración</t>
        </is>
      </c>
      <c r="E68" t="n">
        <v>354000000</v>
      </c>
      <c r="F68" t="n">
        <v>354000000</v>
      </c>
      <c r="G68">
        <f>E68-F68</f>
        <v/>
      </c>
      <c r="H68">
        <f>IF(E68&gt;0,F68/E68,0)</f>
        <v/>
      </c>
      <c r="I68" s="28" t="n">
        <v>46029</v>
      </c>
      <c r="J68" t="inlineStr">
        <is>
          <t>Pagado</t>
        </is>
      </c>
      <c r="K68" t="inlineStr">
        <is>
          <t>Andrés Torres</t>
        </is>
      </c>
    </row>
    <row r="69" ht="15.75" customHeight="1" s="25">
      <c r="A69" t="inlineStr">
        <is>
          <t>PAG-0067</t>
        </is>
      </c>
      <c r="B69" t="inlineStr">
        <is>
          <t>Daniel Hernández Zapata</t>
        </is>
      </c>
      <c r="C69" t="inlineStr">
        <is>
          <t>PRY-008</t>
        </is>
      </c>
      <c r="D69" t="inlineStr">
        <is>
          <t>Cuota inicial</t>
        </is>
      </c>
      <c r="E69" t="n">
        <v>29000000</v>
      </c>
      <c r="F69" t="n">
        <v>29000000</v>
      </c>
      <c r="G69">
        <f>E69-F69</f>
        <v/>
      </c>
      <c r="H69">
        <f>IF(E69&gt;0,F69/E69,0)</f>
        <v/>
      </c>
      <c r="I69" s="28" t="n">
        <v>46059</v>
      </c>
      <c r="J69" t="inlineStr">
        <is>
          <t>Pagado</t>
        </is>
      </c>
      <c r="K69" t="inlineStr">
        <is>
          <t>Ana Quintero</t>
        </is>
      </c>
    </row>
    <row r="70" ht="15.75" customHeight="1" s="25">
      <c r="A70" t="inlineStr">
        <is>
          <t>PAG-0068</t>
        </is>
      </c>
      <c r="B70" t="inlineStr">
        <is>
          <t>Daniel Hernández Zapata</t>
        </is>
      </c>
      <c r="C70" t="inlineStr">
        <is>
          <t>PRY-008</t>
        </is>
      </c>
      <c r="D70" t="inlineStr">
        <is>
          <t>Escrituración</t>
        </is>
      </c>
      <c r="E70" t="n">
        <v>118000000</v>
      </c>
      <c r="F70" t="n">
        <v>0</v>
      </c>
      <c r="G70">
        <f>E70-F70</f>
        <v/>
      </c>
      <c r="H70">
        <f>IF(E70&gt;0,F70/E70,0)</f>
        <v/>
      </c>
      <c r="I70" s="28" t="n">
        <v>46221</v>
      </c>
      <c r="J70" t="inlineStr">
        <is>
          <t>Pendiente</t>
        </is>
      </c>
      <c r="K70" t="inlineStr">
        <is>
          <t>Ana Quintero</t>
        </is>
      </c>
    </row>
    <row r="71" ht="15.75" customHeight="1" s="25">
      <c r="A71" t="inlineStr">
        <is>
          <t>PAG-0069</t>
        </is>
      </c>
      <c r="B71" t="inlineStr">
        <is>
          <t>Carolina Peláez Echeverri</t>
        </is>
      </c>
      <c r="C71" t="inlineStr">
        <is>
          <t>PRY-003</t>
        </is>
      </c>
      <c r="D71" t="inlineStr">
        <is>
          <t>Cuota inicial</t>
        </is>
      </c>
      <c r="E71" t="n">
        <v>86000000</v>
      </c>
      <c r="F71" t="n">
        <v>74125000</v>
      </c>
      <c r="G71">
        <f>E71-F71</f>
        <v/>
      </c>
      <c r="H71">
        <f>IF(E71&gt;0,F71/E71,0)</f>
        <v/>
      </c>
      <c r="I71" s="28" t="n">
        <v>46209</v>
      </c>
      <c r="J71" t="inlineStr">
        <is>
          <t>Al día</t>
        </is>
      </c>
      <c r="K71" t="inlineStr">
        <is>
          <t>Miguel Salazar</t>
        </is>
      </c>
    </row>
    <row r="72" ht="15.75" customHeight="1" s="25">
      <c r="A72" t="inlineStr">
        <is>
          <t>PAG-0070</t>
        </is>
      </c>
      <c r="B72" t="inlineStr">
        <is>
          <t>Ricardo Espinosa Palacio</t>
        </is>
      </c>
      <c r="C72" t="inlineStr">
        <is>
          <t>PRY-002</t>
        </is>
      </c>
      <c r="D72" t="inlineStr">
        <is>
          <t>Cuota inicial</t>
        </is>
      </c>
      <c r="E72" t="n">
        <v>208000000</v>
      </c>
      <c r="F72" t="n">
        <v>122500000</v>
      </c>
      <c r="G72">
        <f>E72-F72</f>
        <v/>
      </c>
      <c r="H72">
        <f>IF(E72&gt;0,F72/E72,0)</f>
        <v/>
      </c>
      <c r="I72" s="28" t="n">
        <v>46149</v>
      </c>
      <c r="J72" t="inlineStr">
        <is>
          <t>En mora</t>
        </is>
      </c>
      <c r="K72" t="inlineStr">
        <is>
          <t>Miguel Salazar</t>
        </is>
      </c>
    </row>
    <row r="73" ht="15.75" customHeight="1" s="25">
      <c r="A73" t="inlineStr">
        <is>
          <t>PAG-0071</t>
        </is>
      </c>
      <c r="B73" t="inlineStr">
        <is>
          <t>Manuela Echeverri Vásquez</t>
        </is>
      </c>
      <c r="C73" t="inlineStr">
        <is>
          <t>PRY-004</t>
        </is>
      </c>
      <c r="D73" t="inlineStr">
        <is>
          <t>Cuota inicial</t>
        </is>
      </c>
      <c r="E73" t="n">
        <v>158000000</v>
      </c>
      <c r="F73" t="n">
        <v>158000000</v>
      </c>
      <c r="G73">
        <f>E73-F73</f>
        <v/>
      </c>
      <c r="H73">
        <f>IF(E73&gt;0,F73/E73,0)</f>
        <v/>
      </c>
      <c r="I73" s="28" t="n">
        <v>45937</v>
      </c>
      <c r="J73" t="inlineStr">
        <is>
          <t>Pagado</t>
        </is>
      </c>
      <c r="K73" t="inlineStr">
        <is>
          <t>Juliana Vélez</t>
        </is>
      </c>
    </row>
    <row r="74" ht="15.75" customHeight="1" s="25">
      <c r="A74" t="inlineStr">
        <is>
          <t>PAG-0072</t>
        </is>
      </c>
      <c r="B74" t="inlineStr">
        <is>
          <t>Manuela Echeverri Vásquez</t>
        </is>
      </c>
      <c r="C74" t="inlineStr">
        <is>
          <t>PRY-004</t>
        </is>
      </c>
      <c r="D74" t="inlineStr">
        <is>
          <t>Escrituración</t>
        </is>
      </c>
      <c r="E74" t="n">
        <v>367000000</v>
      </c>
      <c r="F74" t="n">
        <v>367000000</v>
      </c>
      <c r="G74">
        <f>E74-F74</f>
        <v/>
      </c>
      <c r="H74">
        <f>IF(E74&gt;0,F74/E74,0)</f>
        <v/>
      </c>
      <c r="I74" s="28" t="n">
        <v>46026</v>
      </c>
      <c r="J74" t="inlineStr">
        <is>
          <t>Pagado</t>
        </is>
      </c>
      <c r="K74" t="inlineStr">
        <is>
          <t>Juliana Vélez</t>
        </is>
      </c>
    </row>
    <row r="75" ht="15.75" customHeight="1" s="25">
      <c r="A75" t="inlineStr">
        <is>
          <t>PAG-0073</t>
        </is>
      </c>
      <c r="B75" t="inlineStr">
        <is>
          <t>Gabriel Muñoz Montes</t>
        </is>
      </c>
      <c r="C75" t="inlineStr">
        <is>
          <t>PRY-003</t>
        </is>
      </c>
      <c r="D75" t="inlineStr">
        <is>
          <t>Cuota inicial</t>
        </is>
      </c>
      <c r="E75" t="n">
        <v>83000000</v>
      </c>
      <c r="F75" t="n">
        <v>71593750</v>
      </c>
      <c r="G75">
        <f>E75-F75</f>
        <v/>
      </c>
      <c r="H75">
        <f>IF(E75&gt;0,F75/E75,0)</f>
        <v/>
      </c>
      <c r="I75" s="28" t="n">
        <v>46210</v>
      </c>
      <c r="J75" t="inlineStr">
        <is>
          <t>Al día</t>
        </is>
      </c>
      <c r="K75" t="inlineStr">
        <is>
          <t>Miguel Salazar</t>
        </is>
      </c>
    </row>
    <row r="76" ht="15.75" customHeight="1" s="25">
      <c r="A76" t="inlineStr">
        <is>
          <t>PAG-0074</t>
        </is>
      </c>
      <c r="B76" t="inlineStr">
        <is>
          <t>Diego Jaramillo Osorio</t>
        </is>
      </c>
      <c r="C76" t="inlineStr">
        <is>
          <t>PRY-008</t>
        </is>
      </c>
      <c r="D76" t="inlineStr">
        <is>
          <t>Cuota inicial</t>
        </is>
      </c>
      <c r="E76" t="n">
        <v>27000000</v>
      </c>
      <c r="F76" t="n">
        <v>27000000</v>
      </c>
      <c r="G76">
        <f>E76-F76</f>
        <v/>
      </c>
      <c r="H76">
        <f>IF(E76&gt;0,F76/E76,0)</f>
        <v/>
      </c>
      <c r="I76" s="28" t="n">
        <v>46062</v>
      </c>
      <c r="J76" t="inlineStr">
        <is>
          <t>Pagado</t>
        </is>
      </c>
      <c r="K76" t="inlineStr">
        <is>
          <t>Ana Quintero</t>
        </is>
      </c>
    </row>
    <row r="77" ht="15.75" customHeight="1" s="25">
      <c r="A77" t="inlineStr">
        <is>
          <t>PAG-0075</t>
        </is>
      </c>
      <c r="B77" t="inlineStr">
        <is>
          <t>Diego Jaramillo Osorio</t>
        </is>
      </c>
      <c r="C77" t="inlineStr">
        <is>
          <t>PRY-008</t>
        </is>
      </c>
      <c r="D77" t="inlineStr">
        <is>
          <t>Escrituración</t>
        </is>
      </c>
      <c r="E77" t="n">
        <v>108000000</v>
      </c>
      <c r="F77" t="n">
        <v>108000000</v>
      </c>
      <c r="G77">
        <f>E77-F77</f>
        <v/>
      </c>
      <c r="H77">
        <f>IF(E77&gt;0,F77/E77,0)</f>
        <v/>
      </c>
      <c r="I77" s="28" t="n">
        <v>46115</v>
      </c>
      <c r="J77" t="inlineStr">
        <is>
          <t>Pagado</t>
        </is>
      </c>
      <c r="K77" t="inlineStr">
        <is>
          <t>Ana Quintero</t>
        </is>
      </c>
    </row>
    <row r="78" ht="15.75" customHeight="1" s="25">
      <c r="A78" t="inlineStr">
        <is>
          <t>PAG-0076</t>
        </is>
      </c>
      <c r="B78" t="inlineStr">
        <is>
          <t>Emilio Vélez Cardona</t>
        </is>
      </c>
      <c r="C78" t="inlineStr">
        <is>
          <t>PRY-004</t>
        </is>
      </c>
      <c r="D78" t="inlineStr">
        <is>
          <t>Cuota inicial</t>
        </is>
      </c>
      <c r="E78" t="n">
        <v>150000000</v>
      </c>
      <c r="F78" t="n">
        <v>150000000</v>
      </c>
      <c r="G78">
        <f>E78-F78</f>
        <v/>
      </c>
      <c r="H78">
        <f>IF(E78&gt;0,F78/E78,0)</f>
        <v/>
      </c>
      <c r="I78" s="28" t="n">
        <v>45940</v>
      </c>
      <c r="J78" t="inlineStr">
        <is>
          <t>Pagado</t>
        </is>
      </c>
      <c r="K78" t="inlineStr">
        <is>
          <t>Sofía Prada</t>
        </is>
      </c>
    </row>
    <row r="79" ht="15.75" customHeight="1" s="25">
      <c r="A79" t="inlineStr">
        <is>
          <t>PAG-0077</t>
        </is>
      </c>
      <c r="B79" t="inlineStr">
        <is>
          <t>Emilio Vélez Cardona</t>
        </is>
      </c>
      <c r="C79" t="inlineStr">
        <is>
          <t>PRY-004</t>
        </is>
      </c>
      <c r="D79" t="inlineStr">
        <is>
          <t>Escrituración</t>
        </is>
      </c>
      <c r="E79" t="n">
        <v>351000000</v>
      </c>
      <c r="F79" t="n">
        <v>351000000</v>
      </c>
      <c r="G79">
        <f>E79-F79</f>
        <v/>
      </c>
      <c r="H79">
        <f>IF(E79&gt;0,F79/E79,0)</f>
        <v/>
      </c>
      <c r="I79" s="28" t="n">
        <v>46005</v>
      </c>
      <c r="J79" t="inlineStr">
        <is>
          <t>Pagado</t>
        </is>
      </c>
      <c r="K79" t="inlineStr">
        <is>
          <t>Sofía Prada</t>
        </is>
      </c>
    </row>
    <row r="80" ht="15.75" customHeight="1" s="25">
      <c r="A80" t="inlineStr">
        <is>
          <t>PAG-0078</t>
        </is>
      </c>
      <c r="B80" t="inlineStr">
        <is>
          <t>Isabel Vélez Palacio</t>
        </is>
      </c>
      <c r="C80" t="inlineStr">
        <is>
          <t>PRY-001</t>
        </is>
      </c>
      <c r="D80" t="inlineStr">
        <is>
          <t>Cuota inicial</t>
        </is>
      </c>
      <c r="E80" t="n">
        <v>175000000</v>
      </c>
      <c r="F80" t="n">
        <v>127236842</v>
      </c>
      <c r="G80">
        <f>E80-F80</f>
        <v/>
      </c>
      <c r="H80">
        <f>IF(E80&gt;0,F80/E80,0)</f>
        <v/>
      </c>
      <c r="I80" s="28" t="n">
        <v>46214</v>
      </c>
      <c r="J80" t="inlineStr">
        <is>
          <t>Al día</t>
        </is>
      </c>
      <c r="K80" t="inlineStr">
        <is>
          <t>Sofía Prada</t>
        </is>
      </c>
    </row>
    <row r="81" ht="15.75" customHeight="1" s="25">
      <c r="A81" t="inlineStr">
        <is>
          <t>PAG-0079</t>
        </is>
      </c>
      <c r="B81" t="inlineStr">
        <is>
          <t>David Hernández Echeverri</t>
        </is>
      </c>
      <c r="C81" t="inlineStr">
        <is>
          <t>PRY-004</t>
        </is>
      </c>
      <c r="D81" t="inlineStr">
        <is>
          <t>Cuota inicial</t>
        </is>
      </c>
      <c r="E81" t="n">
        <v>124000000</v>
      </c>
      <c r="F81" t="n">
        <v>124000000</v>
      </c>
      <c r="G81">
        <f>E81-F81</f>
        <v/>
      </c>
      <c r="H81">
        <f>IF(E81&gt;0,F81/E81,0)</f>
        <v/>
      </c>
      <c r="I81" s="28" t="n">
        <v>45942</v>
      </c>
      <c r="J81" t="inlineStr">
        <is>
          <t>Pagado</t>
        </is>
      </c>
      <c r="K81" t="inlineStr">
        <is>
          <t>Ana Quintero</t>
        </is>
      </c>
    </row>
    <row r="82" ht="15.75" customHeight="1" s="25">
      <c r="A82" t="inlineStr">
        <is>
          <t>PAG-0080</t>
        </is>
      </c>
      <c r="B82" t="inlineStr">
        <is>
          <t>David Hernández Echeverri</t>
        </is>
      </c>
      <c r="C82" t="inlineStr">
        <is>
          <t>PRY-004</t>
        </is>
      </c>
      <c r="D82" t="inlineStr">
        <is>
          <t>Escrituración</t>
        </is>
      </c>
      <c r="E82" t="n">
        <v>289000000</v>
      </c>
      <c r="F82" t="n">
        <v>289000000</v>
      </c>
      <c r="G82">
        <f>E82-F82</f>
        <v/>
      </c>
      <c r="H82">
        <f>IF(E82&gt;0,F82/E82,0)</f>
        <v/>
      </c>
      <c r="I82" s="28" t="n">
        <v>46012</v>
      </c>
      <c r="J82" t="inlineStr">
        <is>
          <t>Pagado</t>
        </is>
      </c>
      <c r="K82" t="inlineStr">
        <is>
          <t>Ana Quintero</t>
        </is>
      </c>
    </row>
    <row r="83" ht="15.75" customHeight="1" s="25">
      <c r="A83" t="inlineStr">
        <is>
          <t>PAG-0081</t>
        </is>
      </c>
      <c r="B83" t="inlineStr">
        <is>
          <t>Camila Ochoa Pérez</t>
        </is>
      </c>
      <c r="C83" t="inlineStr">
        <is>
          <t>PRY-001</t>
        </is>
      </c>
      <c r="D83" t="inlineStr">
        <is>
          <t>Cuota inicial</t>
        </is>
      </c>
      <c r="E83" t="n">
        <v>207000000</v>
      </c>
      <c r="F83" t="n">
        <v>149973684</v>
      </c>
      <c r="G83">
        <f>E83-F83</f>
        <v/>
      </c>
      <c r="H83">
        <f>IF(E83&gt;0,F83/E83,0)</f>
        <v/>
      </c>
      <c r="I83" s="28" t="n">
        <v>46217</v>
      </c>
      <c r="J83" t="inlineStr">
        <is>
          <t>Al día</t>
        </is>
      </c>
      <c r="K83" t="inlineStr">
        <is>
          <t>Juliana Vélez</t>
        </is>
      </c>
    </row>
    <row r="84" ht="15.75" customHeight="1" s="25">
      <c r="A84" t="inlineStr">
        <is>
          <t>PAG-0082</t>
        </is>
      </c>
      <c r="B84" t="inlineStr">
        <is>
          <t>Luisa Sánchez Cifuentes</t>
        </is>
      </c>
      <c r="C84" t="inlineStr">
        <is>
          <t>PRY-003</t>
        </is>
      </c>
      <c r="D84" t="inlineStr">
        <is>
          <t>Cuota inicial</t>
        </is>
      </c>
      <c r="E84" t="n">
        <v>106000000</v>
      </c>
      <c r="F84" t="n">
        <v>91000000</v>
      </c>
      <c r="G84">
        <f>E84-F84</f>
        <v/>
      </c>
      <c r="H84">
        <f>IF(E84&gt;0,F84/E84,0)</f>
        <v/>
      </c>
      <c r="I84" s="28" t="n">
        <v>46221</v>
      </c>
      <c r="J84" t="inlineStr">
        <is>
          <t>Al día</t>
        </is>
      </c>
      <c r="K84" t="inlineStr">
        <is>
          <t>Andrés Torres</t>
        </is>
      </c>
    </row>
    <row r="85" ht="15.75" customHeight="1" s="25">
      <c r="A85" t="inlineStr">
        <is>
          <t>PAG-0083</t>
        </is>
      </c>
      <c r="B85" t="inlineStr">
        <is>
          <t>Ximena Salazar Pérez</t>
        </is>
      </c>
      <c r="C85" t="inlineStr">
        <is>
          <t>PRY-001</t>
        </is>
      </c>
      <c r="D85" t="inlineStr">
        <is>
          <t>Cuota inicial</t>
        </is>
      </c>
      <c r="E85" t="n">
        <v>216000000</v>
      </c>
      <c r="F85" t="n">
        <v>156368421</v>
      </c>
      <c r="G85">
        <f>E85-F85</f>
        <v/>
      </c>
      <c r="H85">
        <f>IF(E85&gt;0,F85/E85,0)</f>
        <v/>
      </c>
      <c r="I85" s="28" t="n">
        <v>46223</v>
      </c>
      <c r="J85" t="inlineStr">
        <is>
          <t>Al día</t>
        </is>
      </c>
      <c r="K85" t="inlineStr">
        <is>
          <t>Juliana Vélez</t>
        </is>
      </c>
    </row>
    <row r="86" ht="15.75" customHeight="1" s="25">
      <c r="A86" t="inlineStr">
        <is>
          <t>PAG-0084</t>
        </is>
      </c>
      <c r="B86" t="inlineStr">
        <is>
          <t>Simón Peláez Duque</t>
        </is>
      </c>
      <c r="C86" t="inlineStr">
        <is>
          <t>PRY-008</t>
        </is>
      </c>
      <c r="D86" t="inlineStr">
        <is>
          <t>Cuota inicial</t>
        </is>
      </c>
      <c r="E86" t="n">
        <v>29000000</v>
      </c>
      <c r="F86" t="n">
        <v>29000000</v>
      </c>
      <c r="G86">
        <f>E86-F86</f>
        <v/>
      </c>
      <c r="H86">
        <f>IF(E86&gt;0,F86/E86,0)</f>
        <v/>
      </c>
      <c r="I86" s="28" t="n">
        <v>46075</v>
      </c>
      <c r="J86" t="inlineStr">
        <is>
          <t>Pagado</t>
        </is>
      </c>
      <c r="K86" t="inlineStr">
        <is>
          <t>Andrés Torres</t>
        </is>
      </c>
    </row>
    <row r="87" ht="15.75" customHeight="1" s="25">
      <c r="A87" t="inlineStr">
        <is>
          <t>PAG-0085</t>
        </is>
      </c>
      <c r="B87" t="inlineStr">
        <is>
          <t>Simón Peláez Duque</t>
        </is>
      </c>
      <c r="C87" t="inlineStr">
        <is>
          <t>PRY-008</t>
        </is>
      </c>
      <c r="D87" t="inlineStr">
        <is>
          <t>Escrituración</t>
        </is>
      </c>
      <c r="E87" t="n">
        <v>115000000</v>
      </c>
      <c r="F87" t="n">
        <v>0</v>
      </c>
      <c r="G87">
        <f>E87-F87</f>
        <v/>
      </c>
      <c r="H87">
        <f>IF(E87&gt;0,F87/E87,0)</f>
        <v/>
      </c>
      <c r="I87" s="28" t="n">
        <v>46218</v>
      </c>
      <c r="J87" t="inlineStr">
        <is>
          <t>Pendiente</t>
        </is>
      </c>
      <c r="K87" t="inlineStr">
        <is>
          <t>Andrés Torres</t>
        </is>
      </c>
    </row>
    <row r="88" ht="15.75" customHeight="1" s="25">
      <c r="A88" t="inlineStr">
        <is>
          <t>PAG-0086</t>
        </is>
      </c>
      <c r="B88" t="inlineStr">
        <is>
          <t>Mónica Montes Cano</t>
        </is>
      </c>
      <c r="C88" t="inlineStr">
        <is>
          <t>PRY-003</t>
        </is>
      </c>
      <c r="D88" t="inlineStr">
        <is>
          <t>Cuota inicial</t>
        </is>
      </c>
      <c r="E88" t="n">
        <v>111000000</v>
      </c>
      <c r="F88" t="n">
        <v>95218750</v>
      </c>
      <c r="G88">
        <f>E88-F88</f>
        <v/>
      </c>
      <c r="H88">
        <f>IF(E88&gt;0,F88/E88,0)</f>
        <v/>
      </c>
      <c r="I88" s="28" t="n">
        <v>46227</v>
      </c>
      <c r="J88" t="inlineStr">
        <is>
          <t>Al día</t>
        </is>
      </c>
      <c r="K88" t="inlineStr">
        <is>
          <t>Luis Bedoya</t>
        </is>
      </c>
    </row>
    <row r="89" ht="15.75" customHeight="1" s="25">
      <c r="A89" t="inlineStr">
        <is>
          <t>PAG-0087</t>
        </is>
      </c>
      <c r="B89" t="inlineStr">
        <is>
          <t>Alejandro Hernández Palacio</t>
        </is>
      </c>
      <c r="C89" t="inlineStr">
        <is>
          <t>PRY-002</t>
        </is>
      </c>
      <c r="D89" t="inlineStr">
        <is>
          <t>Cuota inicial</t>
        </is>
      </c>
      <c r="E89" t="n">
        <v>190000000</v>
      </c>
      <c r="F89" t="n">
        <v>120454545</v>
      </c>
      <c r="G89">
        <f>E89-F89</f>
        <v/>
      </c>
      <c r="H89">
        <f>IF(E89&gt;0,F89/E89,0)</f>
        <v/>
      </c>
      <c r="I89" s="28" t="n">
        <v>46228</v>
      </c>
      <c r="J89" t="inlineStr">
        <is>
          <t>Al día</t>
        </is>
      </c>
      <c r="K89" t="inlineStr">
        <is>
          <t>Juliana Vélez</t>
        </is>
      </c>
    </row>
    <row r="90" ht="15.75" customHeight="1" s="25">
      <c r="A90" t="inlineStr">
        <is>
          <t>PAG-0088</t>
        </is>
      </c>
      <c r="B90" t="inlineStr">
        <is>
          <t>Alejandro Gómez Ochoa</t>
        </is>
      </c>
      <c r="C90" t="inlineStr">
        <is>
          <t>PRY-001</t>
        </is>
      </c>
      <c r="D90" t="inlineStr">
        <is>
          <t>Cuota inicial</t>
        </is>
      </c>
      <c r="E90" t="n">
        <v>226000000</v>
      </c>
      <c r="F90" t="n">
        <v>163473684</v>
      </c>
      <c r="G90">
        <f>E90-F90</f>
        <v/>
      </c>
      <c r="H90">
        <f>IF(E90&gt;0,F90/E90,0)</f>
        <v/>
      </c>
      <c r="I90" s="28" t="n">
        <v>46230</v>
      </c>
      <c r="J90" t="inlineStr">
        <is>
          <t>Al día</t>
        </is>
      </c>
      <c r="K90" t="inlineStr">
        <is>
          <t>Ana Quintero</t>
        </is>
      </c>
    </row>
    <row r="91" ht="15.75" customHeight="1" s="25">
      <c r="A91" t="inlineStr">
        <is>
          <t>PAG-0089</t>
        </is>
      </c>
      <c r="B91" t="inlineStr">
        <is>
          <t>Mauricio Gaviria Londoño</t>
        </is>
      </c>
      <c r="C91" t="inlineStr">
        <is>
          <t>PRY-004</t>
        </is>
      </c>
      <c r="D91" t="inlineStr">
        <is>
          <t>Cuota inicial</t>
        </is>
      </c>
      <c r="E91" t="n">
        <v>142000000</v>
      </c>
      <c r="F91" t="n">
        <v>142000000</v>
      </c>
      <c r="G91">
        <f>E91-F91</f>
        <v/>
      </c>
      <c r="H91">
        <f>IF(E91&gt;0,F91/E91,0)</f>
        <v/>
      </c>
      <c r="I91" s="28" t="n">
        <v>45957</v>
      </c>
      <c r="J91" t="inlineStr">
        <is>
          <t>Pagado</t>
        </is>
      </c>
      <c r="K91" t="inlineStr">
        <is>
          <t>Sofía Prada</t>
        </is>
      </c>
    </row>
    <row r="92" ht="15.75" customHeight="1" s="25">
      <c r="A92" t="inlineStr">
        <is>
          <t>PAG-0090</t>
        </is>
      </c>
      <c r="B92" t="inlineStr">
        <is>
          <t>Mauricio Gaviria Londoño</t>
        </is>
      </c>
      <c r="C92" t="inlineStr">
        <is>
          <t>PRY-004</t>
        </is>
      </c>
      <c r="D92" t="inlineStr">
        <is>
          <t>Escrituración</t>
        </is>
      </c>
      <c r="E92" t="n">
        <v>330000000</v>
      </c>
      <c r="F92" t="n">
        <v>330000000</v>
      </c>
      <c r="G92">
        <f>E92-F92</f>
        <v/>
      </c>
      <c r="H92">
        <f>IF(E92&gt;0,F92/E92,0)</f>
        <v/>
      </c>
      <c r="I92" s="28" t="n">
        <v>46010</v>
      </c>
      <c r="J92" t="inlineStr">
        <is>
          <t>Pagado</t>
        </is>
      </c>
      <c r="K92" t="inlineStr">
        <is>
          <t>Sofía Prada</t>
        </is>
      </c>
    </row>
    <row r="93" ht="15.75" customHeight="1" s="25">
      <c r="A93" t="inlineStr">
        <is>
          <t>PAG-0091</t>
        </is>
      </c>
      <c r="B93" t="inlineStr">
        <is>
          <t>Sebastián Peláez Vélez</t>
        </is>
      </c>
      <c r="C93" t="inlineStr">
        <is>
          <t>PRY-003</t>
        </is>
      </c>
      <c r="D93" t="inlineStr">
        <is>
          <t>Cuota inicial</t>
        </is>
      </c>
      <c r="E93" t="n">
        <v>105000000</v>
      </c>
      <c r="F93" t="n">
        <v>90156250</v>
      </c>
      <c r="G93">
        <f>E93-F93</f>
        <v/>
      </c>
      <c r="H93">
        <f>IF(E93&gt;0,F93/E93,0)</f>
        <v/>
      </c>
      <c r="I93" s="28" t="n">
        <v>46232</v>
      </c>
      <c r="J93" t="inlineStr">
        <is>
          <t>Al día</t>
        </is>
      </c>
      <c r="K93" t="inlineStr">
        <is>
          <t>Luis Bedoya</t>
        </is>
      </c>
    </row>
    <row r="94" ht="15.75" customHeight="1" s="25">
      <c r="A94" t="inlineStr">
        <is>
          <t>PAG-0092</t>
        </is>
      </c>
      <c r="B94" t="inlineStr">
        <is>
          <t>Verónica Correa Montes</t>
        </is>
      </c>
      <c r="C94" t="inlineStr">
        <is>
          <t>PRY-008</t>
        </is>
      </c>
      <c r="D94" t="inlineStr">
        <is>
          <t>Cuota inicial</t>
        </is>
      </c>
      <c r="E94" t="n">
        <v>31000000</v>
      </c>
      <c r="F94" t="n">
        <v>31000000</v>
      </c>
      <c r="G94">
        <f>E94-F94</f>
        <v/>
      </c>
      <c r="H94">
        <f>IF(E94&gt;0,F94/E94,0)</f>
        <v/>
      </c>
      <c r="I94" s="28" t="n">
        <v>46057</v>
      </c>
      <c r="J94" t="inlineStr">
        <is>
          <t>Pagado</t>
        </is>
      </c>
      <c r="K94" t="inlineStr">
        <is>
          <t>Luis Bedoya</t>
        </is>
      </c>
    </row>
    <row r="95" ht="15.75" customHeight="1" s="25">
      <c r="A95" t="inlineStr">
        <is>
          <t>PAG-0093</t>
        </is>
      </c>
      <c r="B95" t="inlineStr">
        <is>
          <t>Verónica Correa Montes</t>
        </is>
      </c>
      <c r="C95" t="inlineStr">
        <is>
          <t>PRY-008</t>
        </is>
      </c>
      <c r="D95" t="inlineStr">
        <is>
          <t>Escrituración</t>
        </is>
      </c>
      <c r="E95" t="n">
        <v>122000000</v>
      </c>
      <c r="F95" t="n">
        <v>122000000</v>
      </c>
      <c r="G95">
        <f>E95-F95</f>
        <v/>
      </c>
      <c r="H95">
        <f>IF(E95&gt;0,F95/E95,0)</f>
        <v/>
      </c>
      <c r="I95" s="28" t="n">
        <v>46158</v>
      </c>
      <c r="J95" t="inlineStr">
        <is>
          <t>Pagado</t>
        </is>
      </c>
      <c r="K95" t="inlineStr">
        <is>
          <t>Luis Bedoya</t>
        </is>
      </c>
    </row>
    <row r="96" ht="15.75" customHeight="1" s="25">
      <c r="A96" t="inlineStr">
        <is>
          <t>PAG-0094</t>
        </is>
      </c>
      <c r="B96" t="inlineStr">
        <is>
          <t>Valeria Pérez Osorio</t>
        </is>
      </c>
      <c r="C96" t="inlineStr">
        <is>
          <t>PRY-004</t>
        </is>
      </c>
      <c r="D96" t="inlineStr">
        <is>
          <t>Cuota inicial</t>
        </is>
      </c>
      <c r="E96" t="n">
        <v>147000000</v>
      </c>
      <c r="F96" t="n">
        <v>147000000</v>
      </c>
      <c r="G96">
        <f>E96-F96</f>
        <v/>
      </c>
      <c r="H96">
        <f>IF(E96&gt;0,F96/E96,0)</f>
        <v/>
      </c>
      <c r="I96" s="28" t="n">
        <v>45937</v>
      </c>
      <c r="J96" t="inlineStr">
        <is>
          <t>Pagado</t>
        </is>
      </c>
      <c r="K96" t="inlineStr">
        <is>
          <t>Andrés Torres</t>
        </is>
      </c>
    </row>
    <row r="97" ht="15.75" customHeight="1" s="25">
      <c r="A97" t="inlineStr">
        <is>
          <t>PAG-0095</t>
        </is>
      </c>
      <c r="B97" t="inlineStr">
        <is>
          <t>Valeria Pérez Osorio</t>
        </is>
      </c>
      <c r="C97" t="inlineStr">
        <is>
          <t>PRY-004</t>
        </is>
      </c>
      <c r="D97" t="inlineStr">
        <is>
          <t>Escrituración</t>
        </is>
      </c>
      <c r="E97" t="n">
        <v>343000000</v>
      </c>
      <c r="F97" t="n">
        <v>343000000</v>
      </c>
      <c r="G97">
        <f>E97-F97</f>
        <v/>
      </c>
      <c r="H97">
        <f>IF(E97&gt;0,F97/E97,0)</f>
        <v/>
      </c>
      <c r="I97" s="28" t="n">
        <v>46052</v>
      </c>
      <c r="J97" t="inlineStr">
        <is>
          <t>Pagado</t>
        </is>
      </c>
      <c r="K97" t="inlineStr">
        <is>
          <t>Andrés Torres</t>
        </is>
      </c>
    </row>
    <row r="98" ht="15.75" customHeight="1" s="25">
      <c r="A98" t="inlineStr">
        <is>
          <t>PAG-0096</t>
        </is>
      </c>
      <c r="B98" t="inlineStr">
        <is>
          <t>Juliana Londoño Gaviria</t>
        </is>
      </c>
      <c r="C98" t="inlineStr">
        <is>
          <t>PRY-002</t>
        </is>
      </c>
      <c r="D98" t="inlineStr">
        <is>
          <t>Cuota inicial</t>
        </is>
      </c>
      <c r="E98" t="n">
        <v>210000000</v>
      </c>
      <c r="F98" t="n">
        <v>130930233</v>
      </c>
      <c r="G98">
        <f>E98-F98</f>
        <v/>
      </c>
      <c r="H98">
        <f>IF(E98&gt;0,F98/E98,0)</f>
        <v/>
      </c>
      <c r="I98" s="28" t="n">
        <v>46213</v>
      </c>
      <c r="J98" t="inlineStr">
        <is>
          <t>Al día</t>
        </is>
      </c>
      <c r="K98" t="inlineStr">
        <is>
          <t>Andrés Torres</t>
        </is>
      </c>
    </row>
    <row r="99" ht="15.75" customHeight="1" s="25">
      <c r="A99" t="inlineStr">
        <is>
          <t>PAG-0097</t>
        </is>
      </c>
      <c r="B99" t="inlineStr">
        <is>
          <t>Santiago Arango Ríos</t>
        </is>
      </c>
      <c r="C99" t="inlineStr">
        <is>
          <t>PRY-002</t>
        </is>
      </c>
      <c r="D99" t="inlineStr">
        <is>
          <t>Cuota inicial</t>
        </is>
      </c>
      <c r="E99" t="n">
        <v>218000000</v>
      </c>
      <c r="F99" t="n">
        <v>135767442</v>
      </c>
      <c r="G99">
        <f>E99-F99</f>
        <v/>
      </c>
      <c r="H99">
        <f>IF(E99&gt;0,F99/E99,0)</f>
        <v/>
      </c>
      <c r="I99" s="28" t="n">
        <v>46215</v>
      </c>
      <c r="J99" t="inlineStr">
        <is>
          <t>Al día</t>
        </is>
      </c>
      <c r="K99" t="inlineStr">
        <is>
          <t>Luis Bedoya</t>
        </is>
      </c>
    </row>
    <row r="100" ht="15.75" customHeight="1" s="25">
      <c r="A100" t="inlineStr">
        <is>
          <t>PAG-0098</t>
        </is>
      </c>
      <c r="B100" t="inlineStr">
        <is>
          <t>Mauricio Zuluaga Toro</t>
        </is>
      </c>
      <c r="C100" t="inlineStr">
        <is>
          <t>PRY-001</t>
        </is>
      </c>
      <c r="D100" t="inlineStr">
        <is>
          <t>Cuota inicial</t>
        </is>
      </c>
      <c r="E100" t="n">
        <v>202000000</v>
      </c>
      <c r="F100" t="n">
        <v>144918919</v>
      </c>
      <c r="G100">
        <f>E100-F100</f>
        <v/>
      </c>
      <c r="H100">
        <f>IF(E100&gt;0,F100/E100,0)</f>
        <v/>
      </c>
      <c r="I100" s="28" t="n">
        <v>46219</v>
      </c>
      <c r="J100" t="inlineStr">
        <is>
          <t>Al día</t>
        </is>
      </c>
      <c r="K100" t="inlineStr">
        <is>
          <t>Ana Quintero</t>
        </is>
      </c>
    </row>
    <row r="101" ht="15.75" customHeight="1" s="25">
      <c r="A101" t="inlineStr">
        <is>
          <t>PAG-0099</t>
        </is>
      </c>
      <c r="B101" t="inlineStr">
        <is>
          <t>David Peláez Henao</t>
        </is>
      </c>
      <c r="C101" t="inlineStr">
        <is>
          <t>PRY-004</t>
        </is>
      </c>
      <c r="D101" t="inlineStr">
        <is>
          <t>Cuota inicial</t>
        </is>
      </c>
      <c r="E101" t="n">
        <v>125000000</v>
      </c>
      <c r="F101" t="n">
        <v>125000000</v>
      </c>
      <c r="G101">
        <f>E101-F101</f>
        <v/>
      </c>
      <c r="H101">
        <f>IF(E101&gt;0,F101/E101,0)</f>
        <v/>
      </c>
      <c r="I101" s="28" t="n">
        <v>45951</v>
      </c>
      <c r="J101" t="inlineStr">
        <is>
          <t>Pagado</t>
        </is>
      </c>
      <c r="K101" t="inlineStr">
        <is>
          <t>Paula Arenas</t>
        </is>
      </c>
    </row>
    <row r="102" ht="15.75" customHeight="1" s="25">
      <c r="A102" t="inlineStr">
        <is>
          <t>PAG-0100</t>
        </is>
      </c>
      <c r="B102" t="inlineStr">
        <is>
          <t>David Peláez Henao</t>
        </is>
      </c>
      <c r="C102" t="inlineStr">
        <is>
          <t>PRY-004</t>
        </is>
      </c>
      <c r="D102" t="inlineStr">
        <is>
          <t>Escrituración</t>
        </is>
      </c>
      <c r="E102" t="n">
        <v>291000000</v>
      </c>
      <c r="F102" t="n">
        <v>291000000</v>
      </c>
      <c r="G102">
        <f>E102-F102</f>
        <v/>
      </c>
      <c r="H102">
        <f>IF(E102&gt;0,F102/E102,0)</f>
        <v/>
      </c>
      <c r="I102" s="28" t="n">
        <v>46002</v>
      </c>
      <c r="J102" t="inlineStr">
        <is>
          <t>Pagado</t>
        </is>
      </c>
      <c r="K102" t="inlineStr">
        <is>
          <t>Paula Arenas</t>
        </is>
      </c>
    </row>
    <row r="103" ht="15.75" customHeight="1" s="25">
      <c r="A103" t="inlineStr">
        <is>
          <t>PAG-0101</t>
        </is>
      </c>
      <c r="B103" t="inlineStr">
        <is>
          <t>Mónica Henao Hernández</t>
        </is>
      </c>
      <c r="C103" t="inlineStr">
        <is>
          <t>PRY-003</t>
        </is>
      </c>
      <c r="D103" t="inlineStr">
        <is>
          <t>Cuota inicial</t>
        </is>
      </c>
      <c r="E103" t="n">
        <v>87000000</v>
      </c>
      <c r="F103" t="n">
        <v>74580645</v>
      </c>
      <c r="G103">
        <f>E103-F103</f>
        <v/>
      </c>
      <c r="H103">
        <f>IF(E103&gt;0,F103/E103,0)</f>
        <v/>
      </c>
      <c r="I103" s="28" t="n">
        <v>46225</v>
      </c>
      <c r="J103" t="inlineStr">
        <is>
          <t>Al día</t>
        </is>
      </c>
      <c r="K103" t="inlineStr">
        <is>
          <t>Ana Quintero</t>
        </is>
      </c>
    </row>
    <row r="104" ht="15.75" customHeight="1" s="25">
      <c r="A104" t="inlineStr">
        <is>
          <t>PAG-0102</t>
        </is>
      </c>
      <c r="B104" t="inlineStr">
        <is>
          <t>Marcela Zuluaga Franco</t>
        </is>
      </c>
      <c r="C104" t="inlineStr">
        <is>
          <t>PRY-003</t>
        </is>
      </c>
      <c r="D104" t="inlineStr">
        <is>
          <t>Cuota inicial</t>
        </is>
      </c>
      <c r="E104" t="n">
        <v>97000000</v>
      </c>
      <c r="F104" t="n">
        <v>82967742</v>
      </c>
      <c r="G104">
        <f>E104-F104</f>
        <v/>
      </c>
      <c r="H104">
        <f>IF(E104&gt;0,F104/E104,0)</f>
        <v/>
      </c>
      <c r="I104" s="28" t="n">
        <v>46227</v>
      </c>
      <c r="J104" t="inlineStr">
        <is>
          <t>Al día</t>
        </is>
      </c>
      <c r="K104" t="inlineStr">
        <is>
          <t>Luis Bedoya</t>
        </is>
      </c>
    </row>
    <row r="105" ht="15.75" customHeight="1" s="25">
      <c r="A105" t="inlineStr">
        <is>
          <t>PAG-0103</t>
        </is>
      </c>
      <c r="B105" t="inlineStr">
        <is>
          <t>Lorena Gaviria Agudelo</t>
        </is>
      </c>
      <c r="C105" t="inlineStr">
        <is>
          <t>PRY-004</t>
        </is>
      </c>
      <c r="D105" t="inlineStr">
        <is>
          <t>Cuota inicial</t>
        </is>
      </c>
      <c r="E105" t="n">
        <v>141000000</v>
      </c>
      <c r="F105" t="n">
        <v>141000000</v>
      </c>
      <c r="G105">
        <f>E105-F105</f>
        <v/>
      </c>
      <c r="H105">
        <f>IF(E105&gt;0,F105/E105,0)</f>
        <v/>
      </c>
      <c r="I105" s="28" t="n">
        <v>45954</v>
      </c>
      <c r="J105" t="inlineStr">
        <is>
          <t>Pagado</t>
        </is>
      </c>
      <c r="K105" t="inlineStr">
        <is>
          <t>Andrés Torres</t>
        </is>
      </c>
    </row>
    <row r="106" ht="15.75" customHeight="1" s="25">
      <c r="A106" t="inlineStr">
        <is>
          <t>PAG-0104</t>
        </is>
      </c>
      <c r="B106" t="inlineStr">
        <is>
          <t>Lorena Gaviria Agudelo</t>
        </is>
      </c>
      <c r="C106" t="inlineStr">
        <is>
          <t>PRY-004</t>
        </is>
      </c>
      <c r="D106" t="inlineStr">
        <is>
          <t>Escrituración</t>
        </is>
      </c>
      <c r="E106" t="n">
        <v>329000000</v>
      </c>
      <c r="F106" t="n">
        <v>329000000</v>
      </c>
      <c r="G106">
        <f>E106-F106</f>
        <v/>
      </c>
      <c r="H106">
        <f>IF(E106&gt;0,F106/E106,0)</f>
        <v/>
      </c>
      <c r="I106" s="28" t="n">
        <v>46045</v>
      </c>
      <c r="J106" t="inlineStr">
        <is>
          <t>Pagado</t>
        </is>
      </c>
      <c r="K106" t="inlineStr">
        <is>
          <t>Andrés Torres</t>
        </is>
      </c>
    </row>
    <row r="107" ht="15.75" customHeight="1" s="25">
      <c r="A107" t="inlineStr">
        <is>
          <t>PAG-0105</t>
        </is>
      </c>
      <c r="B107" t="inlineStr">
        <is>
          <t>Óscar Betancur Correa</t>
        </is>
      </c>
      <c r="C107" t="inlineStr">
        <is>
          <t>PRY-004</t>
        </is>
      </c>
      <c r="D107" t="inlineStr">
        <is>
          <t>Cuota inicial</t>
        </is>
      </c>
      <c r="E107" t="n">
        <v>125000000</v>
      </c>
      <c r="F107" t="n">
        <v>125000000</v>
      </c>
      <c r="G107">
        <f>E107-F107</f>
        <v/>
      </c>
      <c r="H107">
        <f>IF(E107&gt;0,F107/E107,0)</f>
        <v/>
      </c>
      <c r="I107" s="28" t="n">
        <v>45955</v>
      </c>
      <c r="J107" t="inlineStr">
        <is>
          <t>Pagado</t>
        </is>
      </c>
      <c r="K107" t="inlineStr">
        <is>
          <t>Ana Quintero</t>
        </is>
      </c>
    </row>
    <row r="108" ht="15.75" customHeight="1" s="25">
      <c r="A108" t="inlineStr">
        <is>
          <t>PAG-0106</t>
        </is>
      </c>
      <c r="B108" t="inlineStr">
        <is>
          <t>Óscar Betancur Correa</t>
        </is>
      </c>
      <c r="C108" t="inlineStr">
        <is>
          <t>PRY-004</t>
        </is>
      </c>
      <c r="D108" t="inlineStr">
        <is>
          <t>Escrituración</t>
        </is>
      </c>
      <c r="E108" t="n">
        <v>291000000</v>
      </c>
      <c r="F108" t="n">
        <v>291000000</v>
      </c>
      <c r="G108">
        <f>E108-F108</f>
        <v/>
      </c>
      <c r="H108">
        <f>IF(E108&gt;0,F108/E108,0)</f>
        <v/>
      </c>
      <c r="I108" s="28" t="n">
        <v>46062</v>
      </c>
      <c r="J108" t="inlineStr">
        <is>
          <t>Pagado</t>
        </is>
      </c>
      <c r="K108" t="inlineStr">
        <is>
          <t>Ana Quintero</t>
        </is>
      </c>
    </row>
    <row r="109" ht="15.75" customHeight="1" s="25">
      <c r="A109" t="inlineStr">
        <is>
          <t>PAG-0107</t>
        </is>
      </c>
      <c r="B109" t="inlineStr">
        <is>
          <t>Juliana Cifuentes Salazar</t>
        </is>
      </c>
      <c r="C109" t="inlineStr">
        <is>
          <t>PRY-003</t>
        </is>
      </c>
      <c r="D109" t="inlineStr">
        <is>
          <t>Cuota inicial</t>
        </is>
      </c>
      <c r="E109" t="n">
        <v>90000000</v>
      </c>
      <c r="F109" t="n">
        <v>77096774</v>
      </c>
      <c r="G109">
        <f>E109-F109</f>
        <v/>
      </c>
      <c r="H109">
        <f>IF(E109&gt;0,F109/E109,0)</f>
        <v/>
      </c>
      <c r="I109" s="28" t="n">
        <v>46230</v>
      </c>
      <c r="J109" t="inlineStr">
        <is>
          <t>Al día</t>
        </is>
      </c>
      <c r="K109" t="inlineStr">
        <is>
          <t>Luis Bedoya</t>
        </is>
      </c>
    </row>
    <row r="110" ht="15.75" customHeight="1" s="25">
      <c r="A110" t="inlineStr">
        <is>
          <t>PAG-0108</t>
        </is>
      </c>
      <c r="B110" t="inlineStr">
        <is>
          <t>Cristian Ríos Marín</t>
        </is>
      </c>
      <c r="C110" t="inlineStr">
        <is>
          <t>PRY-008</t>
        </is>
      </c>
      <c r="D110" t="inlineStr">
        <is>
          <t>Cuota inicial</t>
        </is>
      </c>
      <c r="E110" t="n">
        <v>29000000</v>
      </c>
      <c r="F110" t="n">
        <v>29000000</v>
      </c>
      <c r="G110">
        <f>E110-F110</f>
        <v/>
      </c>
      <c r="H110">
        <f>IF(E110&gt;0,F110/E110,0)</f>
        <v/>
      </c>
      <c r="I110" s="28" t="n">
        <v>46080</v>
      </c>
      <c r="J110" t="inlineStr">
        <is>
          <t>Pagado</t>
        </is>
      </c>
      <c r="K110" t="inlineStr">
        <is>
          <t>Sofía Prada</t>
        </is>
      </c>
    </row>
    <row r="111" ht="15.75" customHeight="1" s="25">
      <c r="A111" t="inlineStr">
        <is>
          <t>PAG-0109</t>
        </is>
      </c>
      <c r="B111" t="inlineStr">
        <is>
          <t>Cristian Ríos Marín</t>
        </is>
      </c>
      <c r="C111" t="inlineStr">
        <is>
          <t>PRY-008</t>
        </is>
      </c>
      <c r="D111" t="inlineStr">
        <is>
          <t>Escrituración</t>
        </is>
      </c>
      <c r="E111" t="n">
        <v>118000000</v>
      </c>
      <c r="F111" t="n">
        <v>118000000</v>
      </c>
      <c r="G111">
        <f>E111-F111</f>
        <v/>
      </c>
      <c r="H111">
        <f>IF(E111&gt;0,F111/E111,0)</f>
        <v/>
      </c>
      <c r="I111" s="28" t="n">
        <v>46132</v>
      </c>
      <c r="J111" t="inlineStr">
        <is>
          <t>Pagado</t>
        </is>
      </c>
      <c r="K111" t="inlineStr">
        <is>
          <t>Sofía Prada</t>
        </is>
      </c>
    </row>
    <row r="112" ht="15.75" customHeight="1" s="25">
      <c r="A112" t="inlineStr">
        <is>
          <t>PAG-0110</t>
        </is>
      </c>
      <c r="B112" t="inlineStr">
        <is>
          <t>Esteban Vélez Franco</t>
        </is>
      </c>
      <c r="C112" t="inlineStr">
        <is>
          <t>PRY-003</t>
        </is>
      </c>
      <c r="D112" t="inlineStr">
        <is>
          <t>Cuota inicial</t>
        </is>
      </c>
      <c r="E112" t="n">
        <v>106000000</v>
      </c>
      <c r="F112" t="n">
        <v>90516129</v>
      </c>
      <c r="G112">
        <f>E112-F112</f>
        <v/>
      </c>
      <c r="H112">
        <f>IF(E112&gt;0,F112/E112,0)</f>
        <v/>
      </c>
      <c r="I112" s="28" t="n">
        <v>46231</v>
      </c>
      <c r="J112" t="inlineStr">
        <is>
          <t>Al día</t>
        </is>
      </c>
      <c r="K112" t="inlineStr">
        <is>
          <t>Juliana Vélez</t>
        </is>
      </c>
    </row>
    <row r="113" ht="15.75" customHeight="1" s="25">
      <c r="A113" t="inlineStr">
        <is>
          <t>PAG-0111</t>
        </is>
      </c>
      <c r="B113" t="inlineStr">
        <is>
          <t>Tomás Agudelo Sánchez</t>
        </is>
      </c>
      <c r="C113" t="inlineStr">
        <is>
          <t>PRY-001</t>
        </is>
      </c>
      <c r="D113" t="inlineStr">
        <is>
          <t>Cuota inicial</t>
        </is>
      </c>
      <c r="E113" t="n">
        <v>216000000</v>
      </c>
      <c r="F113" t="n">
        <v>132486486</v>
      </c>
      <c r="G113">
        <f>E113-F113</f>
        <v/>
      </c>
      <c r="H113">
        <f>IF(E113&gt;0,F113/E113,0)</f>
        <v/>
      </c>
      <c r="I113" s="28" t="n">
        <v>46111</v>
      </c>
      <c r="J113" t="inlineStr">
        <is>
          <t>En mora</t>
        </is>
      </c>
      <c r="K113" t="inlineStr">
        <is>
          <t>Ana Quintero</t>
        </is>
      </c>
    </row>
    <row r="114" ht="15.75" customHeight="1" s="25">
      <c r="A114" t="inlineStr">
        <is>
          <t>PAG-0112</t>
        </is>
      </c>
      <c r="B114" t="inlineStr">
        <is>
          <t>Mauricio Bedoya Álvarez</t>
        </is>
      </c>
      <c r="C114" t="inlineStr">
        <is>
          <t>PRY-004</t>
        </is>
      </c>
      <c r="D114" t="inlineStr">
        <is>
          <t>Cuota inicial</t>
        </is>
      </c>
      <c r="E114" t="n">
        <v>132000000</v>
      </c>
      <c r="F114" t="n">
        <v>132000000</v>
      </c>
      <c r="G114">
        <f>E114-F114</f>
        <v/>
      </c>
      <c r="H114">
        <f>IF(E114&gt;0,F114/E114,0)</f>
        <v/>
      </c>
      <c r="I114" s="28" t="n">
        <v>45938</v>
      </c>
      <c r="J114" t="inlineStr">
        <is>
          <t>Pagado</t>
        </is>
      </c>
      <c r="K114" t="inlineStr">
        <is>
          <t>Juliana Vélez</t>
        </is>
      </c>
    </row>
    <row r="115" ht="15.75" customHeight="1" s="25">
      <c r="A115" t="inlineStr">
        <is>
          <t>PAG-0113</t>
        </is>
      </c>
      <c r="B115" t="inlineStr">
        <is>
          <t>Mauricio Bedoya Álvarez</t>
        </is>
      </c>
      <c r="C115" t="inlineStr">
        <is>
          <t>PRY-004</t>
        </is>
      </c>
      <c r="D115" t="inlineStr">
        <is>
          <t>Escrituración</t>
        </is>
      </c>
      <c r="E115" t="n">
        <v>307000000</v>
      </c>
      <c r="F115" t="n">
        <v>307000000</v>
      </c>
      <c r="G115">
        <f>E115-F115</f>
        <v/>
      </c>
      <c r="H115">
        <f>IF(E115&gt;0,F115/E115,0)</f>
        <v/>
      </c>
      <c r="I115" s="28" t="n">
        <v>46039</v>
      </c>
      <c r="J115" t="inlineStr">
        <is>
          <t>Pagado</t>
        </is>
      </c>
      <c r="K115" t="inlineStr">
        <is>
          <t>Juliana Vélez</t>
        </is>
      </c>
    </row>
    <row r="116" ht="15.75" customHeight="1" s="25">
      <c r="A116" t="inlineStr">
        <is>
          <t>PAG-0114</t>
        </is>
      </c>
      <c r="B116" t="inlineStr">
        <is>
          <t>Manuela Ramírez Jaramillo</t>
        </is>
      </c>
      <c r="C116" t="inlineStr">
        <is>
          <t>PRY-008</t>
        </is>
      </c>
      <c r="D116" t="inlineStr">
        <is>
          <t>Cuota inicial</t>
        </is>
      </c>
      <c r="E116" t="n">
        <v>33000000</v>
      </c>
      <c r="F116" t="n">
        <v>33000000</v>
      </c>
      <c r="G116">
        <f>E116-F116</f>
        <v/>
      </c>
      <c r="H116">
        <f>IF(E116&gt;0,F116/E116,0)</f>
        <v/>
      </c>
      <c r="I116" s="28" t="n">
        <v>46063</v>
      </c>
      <c r="J116" t="inlineStr">
        <is>
          <t>Pagado</t>
        </is>
      </c>
      <c r="K116" t="inlineStr">
        <is>
          <t>Juliana Vélez</t>
        </is>
      </c>
    </row>
    <row r="117" ht="15.75" customHeight="1" s="25">
      <c r="A117" t="inlineStr">
        <is>
          <t>PAG-0115</t>
        </is>
      </c>
      <c r="B117" t="inlineStr">
        <is>
          <t>Manuela Ramírez Jaramillo</t>
        </is>
      </c>
      <c r="C117" t="inlineStr">
        <is>
          <t>PRY-008</t>
        </is>
      </c>
      <c r="D117" t="inlineStr">
        <is>
          <t>Escrituración</t>
        </is>
      </c>
      <c r="E117" t="n">
        <v>132000000</v>
      </c>
      <c r="F117" t="n">
        <v>132000000</v>
      </c>
      <c r="G117">
        <f>E117-F117</f>
        <v/>
      </c>
      <c r="H117">
        <f>IF(E117&gt;0,F117/E117,0)</f>
        <v/>
      </c>
      <c r="I117" s="28" t="n">
        <v>46185</v>
      </c>
      <c r="J117" t="inlineStr">
        <is>
          <t>Pagado</t>
        </is>
      </c>
      <c r="K117" t="inlineStr">
        <is>
          <t>Juliana Vélez</t>
        </is>
      </c>
    </row>
    <row r="118" ht="15.75" customHeight="1" s="25">
      <c r="A118" t="inlineStr">
        <is>
          <t>PAG-0116</t>
        </is>
      </c>
      <c r="B118" t="inlineStr">
        <is>
          <t>Cristian Gómez Gaviria</t>
        </is>
      </c>
      <c r="C118" t="inlineStr">
        <is>
          <t>PRY-008</t>
        </is>
      </c>
      <c r="D118" t="inlineStr">
        <is>
          <t>Cuota inicial</t>
        </is>
      </c>
      <c r="E118" t="n">
        <v>35000000</v>
      </c>
      <c r="F118" t="n">
        <v>35000000</v>
      </c>
      <c r="G118">
        <f>E118-F118</f>
        <v/>
      </c>
      <c r="H118">
        <f>IF(E118&gt;0,F118/E118,0)</f>
        <v/>
      </c>
      <c r="I118" s="28" t="n">
        <v>46064</v>
      </c>
      <c r="J118" t="inlineStr">
        <is>
          <t>Pagado</t>
        </is>
      </c>
      <c r="K118" t="inlineStr">
        <is>
          <t>Paula Arenas</t>
        </is>
      </c>
    </row>
    <row r="119" ht="15.75" customHeight="1" s="25">
      <c r="A119" t="inlineStr">
        <is>
          <t>PAG-0117</t>
        </is>
      </c>
      <c r="B119" t="inlineStr">
        <is>
          <t>Cristian Gómez Gaviria</t>
        </is>
      </c>
      <c r="C119" t="inlineStr">
        <is>
          <t>PRY-008</t>
        </is>
      </c>
      <c r="D119" t="inlineStr">
        <is>
          <t>Escrituración</t>
        </is>
      </c>
      <c r="E119" t="n">
        <v>139000000</v>
      </c>
      <c r="F119" t="n">
        <v>139000000</v>
      </c>
      <c r="G119">
        <f>E119-F119</f>
        <v/>
      </c>
      <c r="H119">
        <f>IF(E119&gt;0,F119/E119,0)</f>
        <v/>
      </c>
      <c r="I119" s="28" t="n">
        <v>46180</v>
      </c>
      <c r="J119" t="inlineStr">
        <is>
          <t>Pagado</t>
        </is>
      </c>
      <c r="K119" t="inlineStr">
        <is>
          <t>Paula Arenas</t>
        </is>
      </c>
    </row>
    <row r="120" ht="15.75" customHeight="1" s="25">
      <c r="A120" t="inlineStr">
        <is>
          <t>PAG-0118</t>
        </is>
      </c>
      <c r="B120" t="inlineStr">
        <is>
          <t>Emilio Duque Uribe</t>
        </is>
      </c>
      <c r="C120" t="inlineStr">
        <is>
          <t>PRY-003</t>
        </is>
      </c>
      <c r="D120" t="inlineStr">
        <is>
          <t>Cuota inicial</t>
        </is>
      </c>
      <c r="E120" t="n">
        <v>92000000</v>
      </c>
      <c r="F120" t="n">
        <v>78333333</v>
      </c>
      <c r="G120">
        <f>E120-F120</f>
        <v/>
      </c>
      <c r="H120">
        <f>IF(E120&gt;0,F120/E120,0)</f>
        <v/>
      </c>
      <c r="I120" s="28" t="n">
        <v>46216</v>
      </c>
      <c r="J120" t="inlineStr">
        <is>
          <t>Al día</t>
        </is>
      </c>
      <c r="K120" t="inlineStr">
        <is>
          <t>Ana Quintero</t>
        </is>
      </c>
    </row>
    <row r="121" ht="15.75" customHeight="1" s="25">
      <c r="A121" t="inlineStr">
        <is>
          <t>PAG-0119</t>
        </is>
      </c>
      <c r="B121" t="inlineStr">
        <is>
          <t>Jorge Gaviria Pérez</t>
        </is>
      </c>
      <c r="C121" t="inlineStr">
        <is>
          <t>PRY-001</t>
        </is>
      </c>
      <c r="D121" t="inlineStr">
        <is>
          <t>Cuota inicial</t>
        </is>
      </c>
      <c r="E121" t="n">
        <v>198000000</v>
      </c>
      <c r="F121" t="n">
        <v>130111111</v>
      </c>
      <c r="G121">
        <f>E121-F121</f>
        <v/>
      </c>
      <c r="H121">
        <f>IF(E121&gt;0,F121/E121,0)</f>
        <v/>
      </c>
      <c r="I121" s="28" t="n">
        <v>46157</v>
      </c>
      <c r="J121" t="inlineStr">
        <is>
          <t>En mora</t>
        </is>
      </c>
      <c r="K121" t="inlineStr">
        <is>
          <t>Andrés Torres</t>
        </is>
      </c>
    </row>
    <row r="122" ht="15.75" customHeight="1" s="25">
      <c r="A122" t="inlineStr">
        <is>
          <t>PAG-0120</t>
        </is>
      </c>
      <c r="B122" t="inlineStr">
        <is>
          <t>Tomás Peláez Cano</t>
        </is>
      </c>
      <c r="C122" t="inlineStr">
        <is>
          <t>PRY-001</t>
        </is>
      </c>
      <c r="D122" t="inlineStr">
        <is>
          <t>Cuota inicial</t>
        </is>
      </c>
      <c r="E122" t="n">
        <v>200000000</v>
      </c>
      <c r="F122" t="n">
        <v>141944444</v>
      </c>
      <c r="G122">
        <f>E122-F122</f>
        <v/>
      </c>
      <c r="H122">
        <f>IF(E122&gt;0,F122/E122,0)</f>
        <v/>
      </c>
      <c r="I122" s="28" t="n">
        <v>46220</v>
      </c>
      <c r="J122" t="inlineStr">
        <is>
          <t>Al día</t>
        </is>
      </c>
      <c r="K122" t="inlineStr">
        <is>
          <t>Miguel Salazar</t>
        </is>
      </c>
    </row>
    <row r="123" ht="15.75" customHeight="1" s="25">
      <c r="A123" t="inlineStr">
        <is>
          <t>PAG-0121</t>
        </is>
      </c>
      <c r="B123" t="inlineStr">
        <is>
          <t>Emilio Quintero Ríos</t>
        </is>
      </c>
      <c r="C123" t="inlineStr">
        <is>
          <t>PRY-003</t>
        </is>
      </c>
      <c r="D123" t="inlineStr">
        <is>
          <t>Cuota inicial</t>
        </is>
      </c>
      <c r="E123" t="n">
        <v>95000000</v>
      </c>
      <c r="F123" t="n">
        <v>80833333</v>
      </c>
      <c r="G123">
        <f>E123-F123</f>
        <v/>
      </c>
      <c r="H123">
        <f>IF(E123&gt;0,F123/E123,0)</f>
        <v/>
      </c>
      <c r="I123" s="28" t="n">
        <v>46222</v>
      </c>
      <c r="J123" t="inlineStr">
        <is>
          <t>Al día</t>
        </is>
      </c>
      <c r="K123" t="inlineStr">
        <is>
          <t>Miguel Salazar</t>
        </is>
      </c>
    </row>
    <row r="124" ht="15.75" customHeight="1" s="25">
      <c r="A124" t="inlineStr">
        <is>
          <t>PAG-0122</t>
        </is>
      </c>
      <c r="B124" t="inlineStr">
        <is>
          <t>Juan Pablo Salcedo Rojas</t>
        </is>
      </c>
      <c r="C124" t="inlineStr">
        <is>
          <t>PRY-002</t>
        </is>
      </c>
      <c r="D124" t="inlineStr">
        <is>
          <t>Cuota inicial</t>
        </is>
      </c>
      <c r="E124" t="n">
        <v>194000000</v>
      </c>
      <c r="F124" t="n">
        <v>119523810</v>
      </c>
      <c r="G124">
        <f>E124-F124</f>
        <v/>
      </c>
      <c r="H124">
        <f>IF(E124&gt;0,F124/E124,0)</f>
        <v/>
      </c>
      <c r="I124" s="28" t="n">
        <v>46222</v>
      </c>
      <c r="J124" t="inlineStr">
        <is>
          <t>Al día</t>
        </is>
      </c>
      <c r="K124" t="inlineStr">
        <is>
          <t>Luis Bedoya</t>
        </is>
      </c>
    </row>
    <row r="125" ht="15.75" customHeight="1" s="25">
      <c r="A125" t="inlineStr">
        <is>
          <t>PAG-0123</t>
        </is>
      </c>
      <c r="B125" t="inlineStr">
        <is>
          <t>Iván Peláez Betancur</t>
        </is>
      </c>
      <c r="C125" t="inlineStr">
        <is>
          <t>PRY-008</t>
        </is>
      </c>
      <c r="D125" t="inlineStr">
        <is>
          <t>Cuota inicial</t>
        </is>
      </c>
      <c r="E125" t="n">
        <v>30000000</v>
      </c>
      <c r="F125" t="n">
        <v>30000000</v>
      </c>
      <c r="G125">
        <f>E125-F125</f>
        <v/>
      </c>
      <c r="H125">
        <f>IF(E125&gt;0,F125/E125,0)</f>
        <v/>
      </c>
      <c r="I125" s="28" t="n">
        <v>46073</v>
      </c>
      <c r="J125" t="inlineStr">
        <is>
          <t>Pagado</t>
        </is>
      </c>
      <c r="K125" t="inlineStr">
        <is>
          <t>Luis Bedoya</t>
        </is>
      </c>
    </row>
    <row r="126" ht="15.75" customHeight="1" s="25">
      <c r="A126" t="inlineStr">
        <is>
          <t>PAG-0124</t>
        </is>
      </c>
      <c r="B126" t="inlineStr">
        <is>
          <t>Iván Peláez Betancur</t>
        </is>
      </c>
      <c r="C126" t="inlineStr">
        <is>
          <t>PRY-008</t>
        </is>
      </c>
      <c r="D126" t="inlineStr">
        <is>
          <t>Escrituración</t>
        </is>
      </c>
      <c r="E126" t="n">
        <v>118000000</v>
      </c>
      <c r="F126" t="n">
        <v>118000000</v>
      </c>
      <c r="G126">
        <f>E126-F126</f>
        <v/>
      </c>
      <c r="H126">
        <f>IF(E126&gt;0,F126/E126,0)</f>
        <v/>
      </c>
      <c r="I126" s="28" t="n">
        <v>46165</v>
      </c>
      <c r="J126" t="inlineStr">
        <is>
          <t>Pagado</t>
        </is>
      </c>
      <c r="K126" t="inlineStr">
        <is>
          <t>Luis Bedoya</t>
        </is>
      </c>
    </row>
    <row r="127" ht="15.75" customHeight="1" s="25">
      <c r="A127" t="inlineStr">
        <is>
          <t>PAG-0125</t>
        </is>
      </c>
      <c r="B127" t="inlineStr">
        <is>
          <t>Simón Duque Franco</t>
        </is>
      </c>
      <c r="C127" t="inlineStr">
        <is>
          <t>PRY-004</t>
        </is>
      </c>
      <c r="D127" t="inlineStr">
        <is>
          <t>Cuota inicial</t>
        </is>
      </c>
      <c r="E127" t="n">
        <v>135000000</v>
      </c>
      <c r="F127" t="n">
        <v>135000000</v>
      </c>
      <c r="G127">
        <f>E127-F127</f>
        <v/>
      </c>
      <c r="H127">
        <f>IF(E127&gt;0,F127/E127,0)</f>
        <v/>
      </c>
      <c r="I127" s="28" t="n">
        <v>45951</v>
      </c>
      <c r="J127" t="inlineStr">
        <is>
          <t>Pagado</t>
        </is>
      </c>
      <c r="K127" t="inlineStr">
        <is>
          <t>Andrés Torres</t>
        </is>
      </c>
    </row>
    <row r="128" ht="15.75" customHeight="1" s="25">
      <c r="A128" t="inlineStr">
        <is>
          <t>PAG-0126</t>
        </is>
      </c>
      <c r="B128" t="inlineStr">
        <is>
          <t>Simón Duque Franco</t>
        </is>
      </c>
      <c r="C128" t="inlineStr">
        <is>
          <t>PRY-004</t>
        </is>
      </c>
      <c r="D128" t="inlineStr">
        <is>
          <t>Escrituración</t>
        </is>
      </c>
      <c r="E128" t="n">
        <v>314000000</v>
      </c>
      <c r="F128" t="n">
        <v>314000000</v>
      </c>
      <c r="G128">
        <f>E128-F128</f>
        <v/>
      </c>
      <c r="H128">
        <f>IF(E128&gt;0,F128/E128,0)</f>
        <v/>
      </c>
      <c r="I128" s="28" t="n">
        <v>46014</v>
      </c>
      <c r="J128" t="inlineStr">
        <is>
          <t>Pagado</t>
        </is>
      </c>
      <c r="K128" t="inlineStr">
        <is>
          <t>Andrés Torres</t>
        </is>
      </c>
    </row>
    <row r="129" ht="15.75" customHeight="1" s="25">
      <c r="A129" t="inlineStr">
        <is>
          <t>PAG-0127</t>
        </is>
      </c>
      <c r="B129" t="inlineStr">
        <is>
          <t>Daniela Escobar Espinosa</t>
        </is>
      </c>
      <c r="C129" t="inlineStr">
        <is>
          <t>PRY-003</t>
        </is>
      </c>
      <c r="D129" t="inlineStr">
        <is>
          <t>Cuota inicial</t>
        </is>
      </c>
      <c r="E129" t="n">
        <v>121000000</v>
      </c>
      <c r="F129" t="n">
        <v>102500000</v>
      </c>
      <c r="G129">
        <f>E129-F129</f>
        <v/>
      </c>
      <c r="H129">
        <f>IF(E129&gt;0,F129/E129,0)</f>
        <v/>
      </c>
      <c r="I129" s="28" t="n">
        <v>46225</v>
      </c>
      <c r="J129" t="inlineStr">
        <is>
          <t>Al día</t>
        </is>
      </c>
      <c r="K129" t="inlineStr">
        <is>
          <t>Miguel Salazar</t>
        </is>
      </c>
    </row>
    <row r="130" ht="15.75" customHeight="1" s="25">
      <c r="A130" t="inlineStr">
        <is>
          <t>PAG-0128</t>
        </is>
      </c>
      <c r="B130" t="inlineStr">
        <is>
          <t>Camila Salcedo Peláez</t>
        </is>
      </c>
      <c r="C130" t="inlineStr">
        <is>
          <t>PRY-002</t>
        </is>
      </c>
      <c r="D130" t="inlineStr">
        <is>
          <t>Cuota inicial</t>
        </is>
      </c>
      <c r="E130" t="n">
        <v>196000000</v>
      </c>
      <c r="F130" t="n">
        <v>120714286</v>
      </c>
      <c r="G130">
        <f>E130-F130</f>
        <v/>
      </c>
      <c r="H130">
        <f>IF(E130&gt;0,F130/E130,0)</f>
        <v/>
      </c>
      <c r="I130" s="28" t="n">
        <v>46228</v>
      </c>
      <c r="J130" t="inlineStr">
        <is>
          <t>Al día</t>
        </is>
      </c>
      <c r="K130" t="inlineStr">
        <is>
          <t>Luis Bedoya</t>
        </is>
      </c>
    </row>
    <row r="131" ht="15.75" customHeight="1" s="25">
      <c r="A131" t="inlineStr">
        <is>
          <t>PAG-0129</t>
        </is>
      </c>
      <c r="B131" t="inlineStr">
        <is>
          <t>Gabriel Echeverri Rojas</t>
        </is>
      </c>
      <c r="C131" t="inlineStr">
        <is>
          <t>PRY-004</t>
        </is>
      </c>
      <c r="D131" t="inlineStr">
        <is>
          <t>Cuota inicial</t>
        </is>
      </c>
      <c r="E131" t="n">
        <v>160000000</v>
      </c>
      <c r="F131" t="n">
        <v>160000000</v>
      </c>
      <c r="G131">
        <f>E131-F131</f>
        <v/>
      </c>
      <c r="H131">
        <f>IF(E131&gt;0,F131/E131,0)</f>
        <v/>
      </c>
      <c r="I131" s="28" t="n">
        <v>45957</v>
      </c>
      <c r="J131" t="inlineStr">
        <is>
          <t>Pagado</t>
        </is>
      </c>
      <c r="K131" t="inlineStr">
        <is>
          <t>Sofía Prada</t>
        </is>
      </c>
    </row>
    <row r="132" ht="15.75" customHeight="1" s="25">
      <c r="A132" t="inlineStr">
        <is>
          <t>PAG-0130</t>
        </is>
      </c>
      <c r="B132" t="inlineStr">
        <is>
          <t>Gabriel Echeverri Rojas</t>
        </is>
      </c>
      <c r="C132" t="inlineStr">
        <is>
          <t>PRY-004</t>
        </is>
      </c>
      <c r="D132" t="inlineStr">
        <is>
          <t>Escrituración</t>
        </is>
      </c>
      <c r="E132" t="n">
        <v>373000000</v>
      </c>
      <c r="F132" t="n">
        <v>373000000</v>
      </c>
      <c r="G132">
        <f>E132-F132</f>
        <v/>
      </c>
      <c r="H132">
        <f>IF(E132&gt;0,F132/E132,0)</f>
        <v/>
      </c>
      <c r="I132" s="28" t="n">
        <v>45998</v>
      </c>
      <c r="J132" t="inlineStr">
        <is>
          <t>Pagado</t>
        </is>
      </c>
      <c r="K132" t="inlineStr">
        <is>
          <t>Sofía Prada</t>
        </is>
      </c>
    </row>
    <row r="133" ht="15.75" customHeight="1" s="25">
      <c r="A133" t="inlineStr">
        <is>
          <t>PAG-0131</t>
        </is>
      </c>
      <c r="B133" t="inlineStr">
        <is>
          <t>Isabel Montes Montes</t>
        </is>
      </c>
      <c r="C133" t="inlineStr">
        <is>
          <t>PRY-004</t>
        </is>
      </c>
      <c r="D133" t="inlineStr">
        <is>
          <t>Cuota inicial</t>
        </is>
      </c>
      <c r="E133" t="n">
        <v>136000000</v>
      </c>
      <c r="F133" t="n">
        <v>136000000</v>
      </c>
      <c r="G133">
        <f>E133-F133</f>
        <v/>
      </c>
      <c r="H133">
        <f>IF(E133&gt;0,F133/E133,0)</f>
        <v/>
      </c>
      <c r="I133" s="28" t="n">
        <v>45957</v>
      </c>
      <c r="J133" t="inlineStr">
        <is>
          <t>Pagado</t>
        </is>
      </c>
      <c r="K133" t="inlineStr">
        <is>
          <t>Luis Bedoya</t>
        </is>
      </c>
    </row>
    <row r="134" ht="15.75" customHeight="1" s="25">
      <c r="A134" t="inlineStr">
        <is>
          <t>PAG-0132</t>
        </is>
      </c>
      <c r="B134" t="inlineStr">
        <is>
          <t>Isabel Montes Montes</t>
        </is>
      </c>
      <c r="C134" t="inlineStr">
        <is>
          <t>PRY-004</t>
        </is>
      </c>
      <c r="D134" t="inlineStr">
        <is>
          <t>Escrituración</t>
        </is>
      </c>
      <c r="E134" t="n">
        <v>318000000</v>
      </c>
      <c r="F134" t="n">
        <v>318000000</v>
      </c>
      <c r="G134">
        <f>E134-F134</f>
        <v/>
      </c>
      <c r="H134">
        <f>IF(E134&gt;0,F134/E134,0)</f>
        <v/>
      </c>
      <c r="I134" s="28" t="n">
        <v>46054</v>
      </c>
      <c r="J134" t="inlineStr">
        <is>
          <t>Pagado</t>
        </is>
      </c>
      <c r="K134" t="inlineStr">
        <is>
          <t>Luis Bedoya</t>
        </is>
      </c>
    </row>
    <row r="135" ht="15.75" customHeight="1" s="25">
      <c r="A135" t="inlineStr">
        <is>
          <t>PAG-0133</t>
        </is>
      </c>
      <c r="B135" t="inlineStr">
        <is>
          <t>Valentina Pérez Agudelo</t>
        </is>
      </c>
      <c r="C135" t="inlineStr">
        <is>
          <t>PRY-001</t>
        </is>
      </c>
      <c r="D135" t="inlineStr">
        <is>
          <t>Cuota inicial</t>
        </is>
      </c>
      <c r="E135" t="n">
        <v>215000000</v>
      </c>
      <c r="F135" t="n">
        <v>152361111</v>
      </c>
      <c r="G135">
        <f>E135-F135</f>
        <v/>
      </c>
      <c r="H135">
        <f>IF(E135&gt;0,F135/E135,0)</f>
        <v/>
      </c>
      <c r="I135" s="28" t="n">
        <v>46231</v>
      </c>
      <c r="J135" t="inlineStr">
        <is>
          <t>Al día</t>
        </is>
      </c>
      <c r="K135" t="inlineStr">
        <is>
          <t>Sofía Prada</t>
        </is>
      </c>
    </row>
    <row r="136" ht="15.75" customHeight="1" s="25">
      <c r="A136" t="inlineStr">
        <is>
          <t>PAG-0134</t>
        </is>
      </c>
      <c r="B136" t="inlineStr">
        <is>
          <t>Camila Zuluaga Zuluaga</t>
        </is>
      </c>
      <c r="C136" t="inlineStr">
        <is>
          <t>PRY-003</t>
        </is>
      </c>
      <c r="D136" t="inlineStr">
        <is>
          <t>Cuota inicial</t>
        </is>
      </c>
      <c r="E136" t="n">
        <v>86000000</v>
      </c>
      <c r="F136" t="n">
        <v>73333333</v>
      </c>
      <c r="G136">
        <f>E136-F136</f>
        <v/>
      </c>
      <c r="H136">
        <f>IF(E136&gt;0,F136/E136,0)</f>
        <v/>
      </c>
      <c r="I136" s="28" t="n">
        <v>46233</v>
      </c>
      <c r="J136" t="inlineStr">
        <is>
          <t>Al día</t>
        </is>
      </c>
      <c r="K136" t="inlineStr">
        <is>
          <t>Santiago Muñoz</t>
        </is>
      </c>
    </row>
    <row r="137" ht="15.75" customHeight="1" s="25">
      <c r="A137" t="inlineStr">
        <is>
          <t>PAG-0135</t>
        </is>
      </c>
      <c r="B137" t="inlineStr">
        <is>
          <t>Sandra Giraldo Henao</t>
        </is>
      </c>
      <c r="C137" t="inlineStr">
        <is>
          <t>PRY-005</t>
        </is>
      </c>
      <c r="D137" t="inlineStr">
        <is>
          <t>Cuota inicial</t>
        </is>
      </c>
      <c r="E137" t="n">
        <v>110000000</v>
      </c>
      <c r="F137" t="n">
        <v>85000000</v>
      </c>
      <c r="G137">
        <f>E137-F137</f>
        <v/>
      </c>
      <c r="H137">
        <f>IF(E137&gt;0,F137/E137,0)</f>
        <v/>
      </c>
      <c r="I137" s="28" t="n">
        <v>46204</v>
      </c>
      <c r="J137" t="inlineStr">
        <is>
          <t>Al día</t>
        </is>
      </c>
      <c r="K137" t="inlineStr">
        <is>
          <t>Andrés Torres</t>
        </is>
      </c>
    </row>
    <row r="138" ht="15.75" customHeight="1" s="25">
      <c r="A138" t="inlineStr">
        <is>
          <t>PAG-0136</t>
        </is>
      </c>
      <c r="B138" t="inlineStr">
        <is>
          <t>Emilio Zapata Salazar</t>
        </is>
      </c>
      <c r="C138" t="inlineStr">
        <is>
          <t>PRY-004</t>
        </is>
      </c>
      <c r="D138" t="inlineStr">
        <is>
          <t>Cuota inicial</t>
        </is>
      </c>
      <c r="E138" t="n">
        <v>158000000</v>
      </c>
      <c r="F138" t="n">
        <v>158000000</v>
      </c>
      <c r="G138">
        <f>E138-F138</f>
        <v/>
      </c>
      <c r="H138">
        <f>IF(E138&gt;0,F138/E138,0)</f>
        <v/>
      </c>
      <c r="I138" s="28" t="n">
        <v>45932</v>
      </c>
      <c r="J138" t="inlineStr">
        <is>
          <t>Pagado</t>
        </is>
      </c>
      <c r="K138" t="inlineStr">
        <is>
          <t>Paula Arenas</t>
        </is>
      </c>
    </row>
    <row r="139" ht="15.75" customHeight="1" s="25">
      <c r="A139" t="inlineStr">
        <is>
          <t>PAG-0137</t>
        </is>
      </c>
      <c r="B139" t="inlineStr">
        <is>
          <t>Emilio Zapata Salazar</t>
        </is>
      </c>
      <c r="C139" t="inlineStr">
        <is>
          <t>PRY-004</t>
        </is>
      </c>
      <c r="D139" t="inlineStr">
        <is>
          <t>Escrituración</t>
        </is>
      </c>
      <c r="E139" t="n">
        <v>368000000</v>
      </c>
      <c r="F139" t="n">
        <v>368000000</v>
      </c>
      <c r="G139">
        <f>E139-F139</f>
        <v/>
      </c>
      <c r="H139">
        <f>IF(E139&gt;0,F139/E139,0)</f>
        <v/>
      </c>
      <c r="I139" s="28" t="n">
        <v>45995</v>
      </c>
      <c r="J139" t="inlineStr">
        <is>
          <t>Pagado</t>
        </is>
      </c>
      <c r="K139" t="inlineStr">
        <is>
          <t>Paula Arenas</t>
        </is>
      </c>
    </row>
    <row r="140" ht="15.75" customHeight="1" s="25">
      <c r="A140" t="inlineStr">
        <is>
          <t>PAG-0138</t>
        </is>
      </c>
      <c r="B140" t="inlineStr">
        <is>
          <t>Mónica Bedoya Franco</t>
        </is>
      </c>
      <c r="C140" t="inlineStr">
        <is>
          <t>PRY-003</t>
        </is>
      </c>
      <c r="D140" t="inlineStr">
        <is>
          <t>Cuota inicial</t>
        </is>
      </c>
      <c r="E140" t="n">
        <v>107000000</v>
      </c>
      <c r="F140" t="n">
        <v>90275862</v>
      </c>
      <c r="G140">
        <f>E140-F140</f>
        <v/>
      </c>
      <c r="H140">
        <f>IF(E140&gt;0,F140/E140,0)</f>
        <v/>
      </c>
      <c r="I140" s="28" t="n">
        <v>46205</v>
      </c>
      <c r="J140" t="inlineStr">
        <is>
          <t>Al día</t>
        </is>
      </c>
      <c r="K140" t="inlineStr">
        <is>
          <t>Andrés Torres</t>
        </is>
      </c>
    </row>
    <row r="141" ht="15.75" customHeight="1" s="25">
      <c r="A141" t="inlineStr">
        <is>
          <t>PAG-0139</t>
        </is>
      </c>
      <c r="B141" t="inlineStr">
        <is>
          <t>Alejandro Duque Restrepo</t>
        </is>
      </c>
      <c r="C141" t="inlineStr">
        <is>
          <t>PRY-003</t>
        </is>
      </c>
      <c r="D141" t="inlineStr">
        <is>
          <t>Cuota inicial</t>
        </is>
      </c>
      <c r="E141" t="n">
        <v>100000000</v>
      </c>
      <c r="F141" t="n">
        <v>84482759</v>
      </c>
      <c r="G141">
        <f>E141-F141</f>
        <v/>
      </c>
      <c r="H141">
        <f>IF(E141&gt;0,F141/E141,0)</f>
        <v/>
      </c>
      <c r="I141" s="28" t="n">
        <v>46207</v>
      </c>
      <c r="J141" t="inlineStr">
        <is>
          <t>Al día</t>
        </is>
      </c>
      <c r="K141" t="inlineStr">
        <is>
          <t>Sofía Prada</t>
        </is>
      </c>
    </row>
    <row r="142" ht="15.75" customHeight="1" s="25">
      <c r="A142" t="inlineStr">
        <is>
          <t>PAG-0140</t>
        </is>
      </c>
      <c r="B142" t="inlineStr">
        <is>
          <t>Paola Gaviria Hernández</t>
        </is>
      </c>
      <c r="C142" t="inlineStr">
        <is>
          <t>PRY-004</t>
        </is>
      </c>
      <c r="D142" t="inlineStr">
        <is>
          <t>Cuota inicial</t>
        </is>
      </c>
      <c r="E142" t="n">
        <v>127000000</v>
      </c>
      <c r="F142" t="n">
        <v>127000000</v>
      </c>
      <c r="G142">
        <f>E142-F142</f>
        <v/>
      </c>
      <c r="H142">
        <f>IF(E142&gt;0,F142/E142,0)</f>
        <v/>
      </c>
      <c r="I142" s="28" t="n">
        <v>45935</v>
      </c>
      <c r="J142" t="inlineStr">
        <is>
          <t>Pagado</t>
        </is>
      </c>
      <c r="K142" t="inlineStr">
        <is>
          <t>Juliana Vélez</t>
        </is>
      </c>
    </row>
    <row r="143" ht="15.75" customHeight="1" s="25">
      <c r="A143" t="inlineStr">
        <is>
          <t>PAG-0141</t>
        </is>
      </c>
      <c r="B143" t="inlineStr">
        <is>
          <t>Paola Gaviria Hernández</t>
        </is>
      </c>
      <c r="C143" t="inlineStr">
        <is>
          <t>PRY-004</t>
        </is>
      </c>
      <c r="D143" t="inlineStr">
        <is>
          <t>Escrituración</t>
        </is>
      </c>
      <c r="E143" t="n">
        <v>295000000</v>
      </c>
      <c r="F143" t="n">
        <v>295000000</v>
      </c>
      <c r="G143">
        <f>E143-F143</f>
        <v/>
      </c>
      <c r="H143">
        <f>IF(E143&gt;0,F143/E143,0)</f>
        <v/>
      </c>
      <c r="I143" s="28" t="n">
        <v>46006</v>
      </c>
      <c r="J143" t="inlineStr">
        <is>
          <t>Pagado</t>
        </is>
      </c>
      <c r="K143" t="inlineStr">
        <is>
          <t>Juliana Vélez</t>
        </is>
      </c>
    </row>
    <row r="144" ht="15.75" customHeight="1" s="25">
      <c r="A144" t="inlineStr">
        <is>
          <t>PAG-0142</t>
        </is>
      </c>
      <c r="B144" t="inlineStr">
        <is>
          <t>Julián Osorio Higuita</t>
        </is>
      </c>
      <c r="C144" t="inlineStr">
        <is>
          <t>PRY-004</t>
        </is>
      </c>
      <c r="D144" t="inlineStr">
        <is>
          <t>Cuota inicial</t>
        </is>
      </c>
      <c r="E144" t="n">
        <v>154000000</v>
      </c>
      <c r="F144" t="n">
        <v>154000000</v>
      </c>
      <c r="G144">
        <f>E144-F144</f>
        <v/>
      </c>
      <c r="H144">
        <f>IF(E144&gt;0,F144/E144,0)</f>
        <v/>
      </c>
      <c r="I144" s="28" t="n">
        <v>45938</v>
      </c>
      <c r="J144" t="inlineStr">
        <is>
          <t>Pagado</t>
        </is>
      </c>
      <c r="K144" t="inlineStr">
        <is>
          <t>Andrés Torres</t>
        </is>
      </c>
    </row>
    <row r="145" ht="15.75" customHeight="1" s="25">
      <c r="A145" t="inlineStr">
        <is>
          <t>PAG-0143</t>
        </is>
      </c>
      <c r="B145" t="inlineStr">
        <is>
          <t>Julián Osorio Higuita</t>
        </is>
      </c>
      <c r="C145" t="inlineStr">
        <is>
          <t>PRY-004</t>
        </is>
      </c>
      <c r="D145" t="inlineStr">
        <is>
          <t>Escrituración</t>
        </is>
      </c>
      <c r="E145" t="n">
        <v>358000000</v>
      </c>
      <c r="F145" t="n">
        <v>358000000</v>
      </c>
      <c r="G145">
        <f>E145-F145</f>
        <v/>
      </c>
      <c r="H145">
        <f>IF(E145&gt;0,F145/E145,0)</f>
        <v/>
      </c>
      <c r="I145" s="28" t="n">
        <v>45992</v>
      </c>
      <c r="J145" t="inlineStr">
        <is>
          <t>Pagado</t>
        </is>
      </c>
      <c r="K145" t="inlineStr">
        <is>
          <t>Andrés Torres</t>
        </is>
      </c>
    </row>
    <row r="146" ht="15.75" customHeight="1" s="25">
      <c r="A146" t="inlineStr">
        <is>
          <t>PAG-0144</t>
        </is>
      </c>
      <c r="B146" t="inlineStr">
        <is>
          <t>Jhon Marín López</t>
        </is>
      </c>
      <c r="C146" t="inlineStr">
        <is>
          <t>PRY-002</t>
        </is>
      </c>
      <c r="D146" t="inlineStr">
        <is>
          <t>Cuota inicial</t>
        </is>
      </c>
      <c r="E146" t="n">
        <v>196000000</v>
      </c>
      <c r="F146" t="n">
        <v>118878049</v>
      </c>
      <c r="G146">
        <f>E146-F146</f>
        <v/>
      </c>
      <c r="H146">
        <f>IF(E146&gt;0,F146/E146,0)</f>
        <v/>
      </c>
      <c r="I146" s="28" t="n">
        <v>46213</v>
      </c>
      <c r="J146" t="inlineStr">
        <is>
          <t>Al día</t>
        </is>
      </c>
      <c r="K146" t="inlineStr">
        <is>
          <t>Andrés Torres</t>
        </is>
      </c>
    </row>
    <row r="147" ht="15.75" customHeight="1" s="25">
      <c r="A147" t="inlineStr">
        <is>
          <t>PAG-0145</t>
        </is>
      </c>
      <c r="B147" t="inlineStr">
        <is>
          <t>Jhon Muñoz Zuluaga</t>
        </is>
      </c>
      <c r="C147" t="inlineStr">
        <is>
          <t>PRY-001</t>
        </is>
      </c>
      <c r="D147" t="inlineStr">
        <is>
          <t>Cuota inicial</t>
        </is>
      </c>
      <c r="E147" t="n">
        <v>182000000</v>
      </c>
      <c r="F147" t="n">
        <v>127942857</v>
      </c>
      <c r="G147">
        <f>E147-F147</f>
        <v/>
      </c>
      <c r="H147">
        <f>IF(E147&gt;0,F147/E147,0)</f>
        <v/>
      </c>
      <c r="I147" s="28" t="n">
        <v>46217</v>
      </c>
      <c r="J147" t="inlineStr">
        <is>
          <t>Al día</t>
        </is>
      </c>
      <c r="K147" t="inlineStr">
        <is>
          <t>Miguel Salazar</t>
        </is>
      </c>
    </row>
    <row r="148" ht="15.75" customHeight="1" s="25">
      <c r="A148" t="inlineStr">
        <is>
          <t>PAG-0146</t>
        </is>
      </c>
      <c r="B148" t="inlineStr">
        <is>
          <t>Nicolás Marín Franco</t>
        </is>
      </c>
      <c r="C148" t="inlineStr">
        <is>
          <t>PRY-008</t>
        </is>
      </c>
      <c r="D148" t="inlineStr">
        <is>
          <t>Cuota inicial</t>
        </is>
      </c>
      <c r="E148" t="n">
        <v>31000000</v>
      </c>
      <c r="F148" t="n">
        <v>31000000</v>
      </c>
      <c r="G148">
        <f>E148-F148</f>
        <v/>
      </c>
      <c r="H148">
        <f>IF(E148&gt;0,F148/E148,0)</f>
        <v/>
      </c>
      <c r="I148" s="28" t="n">
        <v>46067</v>
      </c>
      <c r="J148" t="inlineStr">
        <is>
          <t>Pagado</t>
        </is>
      </c>
      <c r="K148" t="inlineStr">
        <is>
          <t>Santiago Muñoz</t>
        </is>
      </c>
    </row>
    <row r="149" ht="15.75" customHeight="1" s="25">
      <c r="A149" t="inlineStr">
        <is>
          <t>PAG-0147</t>
        </is>
      </c>
      <c r="B149" t="inlineStr">
        <is>
          <t>Nicolás Marín Franco</t>
        </is>
      </c>
      <c r="C149" t="inlineStr">
        <is>
          <t>PRY-008</t>
        </is>
      </c>
      <c r="D149" t="inlineStr">
        <is>
          <t>Escrituración</t>
        </is>
      </c>
      <c r="E149" t="n">
        <v>126000000</v>
      </c>
      <c r="F149" t="n">
        <v>126000000</v>
      </c>
      <c r="G149">
        <f>E149-F149</f>
        <v/>
      </c>
      <c r="H149">
        <f>IF(E149&gt;0,F149/E149,0)</f>
        <v/>
      </c>
      <c r="I149" s="28" t="n">
        <v>46128</v>
      </c>
      <c r="J149" t="inlineStr">
        <is>
          <t>Pagado</t>
        </is>
      </c>
      <c r="K149" t="inlineStr">
        <is>
          <t>Santiago Muñoz</t>
        </is>
      </c>
    </row>
    <row r="150" ht="15.75" customHeight="1" s="25">
      <c r="A150" t="inlineStr">
        <is>
          <t>PAG-0148</t>
        </is>
      </c>
      <c r="B150" t="inlineStr">
        <is>
          <t>Diana Jaramillo Marín</t>
        </is>
      </c>
      <c r="C150" t="inlineStr">
        <is>
          <t>PRY-008</t>
        </is>
      </c>
      <c r="D150" t="inlineStr">
        <is>
          <t>Cuota inicial</t>
        </is>
      </c>
      <c r="E150" t="n">
        <v>27000000</v>
      </c>
      <c r="F150" t="n">
        <v>27000000</v>
      </c>
      <c r="G150">
        <f>E150-F150</f>
        <v/>
      </c>
      <c r="H150">
        <f>IF(E150&gt;0,F150/E150,0)</f>
        <v/>
      </c>
      <c r="I150" s="28" t="n">
        <v>46067</v>
      </c>
      <c r="J150" t="inlineStr">
        <is>
          <t>Pagado</t>
        </is>
      </c>
      <c r="K150" t="inlineStr">
        <is>
          <t>Juliana Vélez</t>
        </is>
      </c>
    </row>
    <row r="151" ht="15.75" customHeight="1" s="25">
      <c r="A151" t="inlineStr">
        <is>
          <t>PAG-0149</t>
        </is>
      </c>
      <c r="B151" t="inlineStr">
        <is>
          <t>Diana Jaramillo Marín</t>
        </is>
      </c>
      <c r="C151" t="inlineStr">
        <is>
          <t>PRY-008</t>
        </is>
      </c>
      <c r="D151" t="inlineStr">
        <is>
          <t>Escrituración</t>
        </is>
      </c>
      <c r="E151" t="n">
        <v>110000000</v>
      </c>
      <c r="F151" t="n">
        <v>110000000</v>
      </c>
      <c r="G151">
        <f>E151-F151</f>
        <v/>
      </c>
      <c r="H151">
        <f>IF(E151&gt;0,F151/E151,0)</f>
        <v/>
      </c>
      <c r="I151" s="28" t="n">
        <v>46125</v>
      </c>
      <c r="J151" t="inlineStr">
        <is>
          <t>Pagado</t>
        </is>
      </c>
      <c r="K151" t="inlineStr">
        <is>
          <t>Juliana Vélez</t>
        </is>
      </c>
    </row>
    <row r="152" ht="15.75" customHeight="1" s="25">
      <c r="A152" t="inlineStr">
        <is>
          <t>PAG-0150</t>
        </is>
      </c>
      <c r="B152" t="inlineStr">
        <is>
          <t>Lorena Betancur Jaramillo</t>
        </is>
      </c>
      <c r="C152" t="inlineStr">
        <is>
          <t>PRY-005</t>
        </is>
      </c>
      <c r="D152" t="inlineStr">
        <is>
          <t>Cuota inicial</t>
        </is>
      </c>
      <c r="E152" t="n">
        <v>128000000</v>
      </c>
      <c r="F152" t="n">
        <v>98500000</v>
      </c>
      <c r="G152">
        <f>E152-F152</f>
        <v/>
      </c>
      <c r="H152">
        <f>IF(E152&gt;0,F152/E152,0)</f>
        <v/>
      </c>
      <c r="I152" s="28" t="n">
        <v>46219</v>
      </c>
      <c r="J152" t="inlineStr">
        <is>
          <t>Al día</t>
        </is>
      </c>
      <c r="K152" t="inlineStr">
        <is>
          <t>Sofía Prada</t>
        </is>
      </c>
    </row>
    <row r="153" ht="15.75" customHeight="1" s="25">
      <c r="A153" t="inlineStr">
        <is>
          <t>PAG-0151</t>
        </is>
      </c>
      <c r="B153" t="inlineStr">
        <is>
          <t>Camila Ramírez Vásquez</t>
        </is>
      </c>
      <c r="C153" t="inlineStr">
        <is>
          <t>PRY-004</t>
        </is>
      </c>
      <c r="D153" t="inlineStr">
        <is>
          <t>Cuota inicial</t>
        </is>
      </c>
      <c r="E153" t="n">
        <v>145000000</v>
      </c>
      <c r="F153" t="n">
        <v>145000000</v>
      </c>
      <c r="G153">
        <f>E153-F153</f>
        <v/>
      </c>
      <c r="H153">
        <f>IF(E153&gt;0,F153/E153,0)</f>
        <v/>
      </c>
      <c r="I153" s="28" t="n">
        <v>45948</v>
      </c>
      <c r="J153" t="inlineStr">
        <is>
          <t>Pagado</t>
        </is>
      </c>
      <c r="K153" t="inlineStr">
        <is>
          <t>Andrés Torres</t>
        </is>
      </c>
    </row>
    <row r="154" ht="15.75" customHeight="1" s="25">
      <c r="A154" t="inlineStr">
        <is>
          <t>PAG-0152</t>
        </is>
      </c>
      <c r="B154" t="inlineStr">
        <is>
          <t>Camila Ramírez Vásquez</t>
        </is>
      </c>
      <c r="C154" t="inlineStr">
        <is>
          <t>PRY-004</t>
        </is>
      </c>
      <c r="D154" t="inlineStr">
        <is>
          <t>Escrituración</t>
        </is>
      </c>
      <c r="E154" t="n">
        <v>337000000</v>
      </c>
      <c r="F154" t="n">
        <v>337000000</v>
      </c>
      <c r="G154">
        <f>E154-F154</f>
        <v/>
      </c>
      <c r="H154">
        <f>IF(E154&gt;0,F154/E154,0)</f>
        <v/>
      </c>
      <c r="I154" s="28" t="n">
        <v>45996</v>
      </c>
      <c r="J154" t="inlineStr">
        <is>
          <t>Pagado</t>
        </is>
      </c>
      <c r="K154" t="inlineStr">
        <is>
          <t>Andrés Torres</t>
        </is>
      </c>
    </row>
    <row r="155" ht="15.75" customHeight="1" s="25">
      <c r="A155" t="inlineStr">
        <is>
          <t>PAG-0153</t>
        </is>
      </c>
      <c r="B155" t="inlineStr">
        <is>
          <t>María Correa Zapata</t>
        </is>
      </c>
      <c r="C155" t="inlineStr">
        <is>
          <t>PRY-003</t>
        </is>
      </c>
      <c r="D155" t="inlineStr">
        <is>
          <t>Cuota inicial</t>
        </is>
      </c>
      <c r="E155" t="n">
        <v>100000000</v>
      </c>
      <c r="F155" t="n">
        <v>84482759</v>
      </c>
      <c r="G155">
        <f>E155-F155</f>
        <v/>
      </c>
      <c r="H155">
        <f>IF(E155&gt;0,F155/E155,0)</f>
        <v/>
      </c>
      <c r="I155" s="28" t="n">
        <v>46223</v>
      </c>
      <c r="J155" t="inlineStr">
        <is>
          <t>Al día</t>
        </is>
      </c>
      <c r="K155" t="inlineStr">
        <is>
          <t>Andrés Torres</t>
        </is>
      </c>
    </row>
    <row r="156" ht="15.75" customHeight="1" s="25">
      <c r="A156" t="inlineStr">
        <is>
          <t>PAG-0154</t>
        </is>
      </c>
      <c r="B156" t="inlineStr">
        <is>
          <t>Tomás Restrepo Ramírez</t>
        </is>
      </c>
      <c r="C156" t="inlineStr">
        <is>
          <t>PRY-005</t>
        </is>
      </c>
      <c r="D156" t="inlineStr">
        <is>
          <t>Cuota inicial</t>
        </is>
      </c>
      <c r="E156" t="n">
        <v>137000000</v>
      </c>
      <c r="F156" t="n">
        <v>105250000</v>
      </c>
      <c r="G156">
        <f>E156-F156</f>
        <v/>
      </c>
      <c r="H156">
        <f>IF(E156&gt;0,F156/E156,0)</f>
        <v/>
      </c>
      <c r="I156" s="28" t="n">
        <v>46225</v>
      </c>
      <c r="J156" t="inlineStr">
        <is>
          <t>Al día</t>
        </is>
      </c>
      <c r="K156" t="inlineStr">
        <is>
          <t>Ana Quintero</t>
        </is>
      </c>
    </row>
    <row r="157" ht="15.75" customHeight="1" s="25">
      <c r="A157" t="inlineStr">
        <is>
          <t>PAG-0155</t>
        </is>
      </c>
      <c r="B157" t="inlineStr">
        <is>
          <t>Laura Álvarez Toro</t>
        </is>
      </c>
      <c r="C157" t="inlineStr">
        <is>
          <t>PRY-004</t>
        </is>
      </c>
      <c r="D157" t="inlineStr">
        <is>
          <t>Cuota inicial</t>
        </is>
      </c>
      <c r="E157" t="n">
        <v>151000000</v>
      </c>
      <c r="F157" t="n">
        <v>151000000</v>
      </c>
      <c r="G157">
        <f>E157-F157</f>
        <v/>
      </c>
      <c r="H157">
        <f>IF(E157&gt;0,F157/E157,0)</f>
        <v/>
      </c>
      <c r="I157" s="28" t="n">
        <v>45953</v>
      </c>
      <c r="J157" t="inlineStr">
        <is>
          <t>Pagado</t>
        </is>
      </c>
      <c r="K157" t="inlineStr">
        <is>
          <t>Miguel Salazar</t>
        </is>
      </c>
    </row>
    <row r="158" ht="15.75" customHeight="1" s="25">
      <c r="A158" t="inlineStr">
        <is>
          <t>PAG-0156</t>
        </is>
      </c>
      <c r="B158" t="inlineStr">
        <is>
          <t>Laura Álvarez Toro</t>
        </is>
      </c>
      <c r="C158" t="inlineStr">
        <is>
          <t>PRY-004</t>
        </is>
      </c>
      <c r="D158" t="inlineStr">
        <is>
          <t>Escrituración</t>
        </is>
      </c>
      <c r="E158" t="n">
        <v>351000000</v>
      </c>
      <c r="F158" t="n">
        <v>351000000</v>
      </c>
      <c r="G158">
        <f>E158-F158</f>
        <v/>
      </c>
      <c r="H158">
        <f>IF(E158&gt;0,F158/E158,0)</f>
        <v/>
      </c>
      <c r="I158" s="28" t="n">
        <v>46047</v>
      </c>
      <c r="J158" t="inlineStr">
        <is>
          <t>Pagado</t>
        </is>
      </c>
      <c r="K158" t="inlineStr">
        <is>
          <t>Miguel Salazar</t>
        </is>
      </c>
    </row>
    <row r="159" ht="15.75" customHeight="1" s="25">
      <c r="A159" t="inlineStr">
        <is>
          <t>PAG-0157</t>
        </is>
      </c>
      <c r="B159" t="inlineStr">
        <is>
          <t>Valeria Bedoya Zapata</t>
        </is>
      </c>
      <c r="C159" t="inlineStr">
        <is>
          <t>PRY-003</t>
        </is>
      </c>
      <c r="D159" t="inlineStr">
        <is>
          <t>Cuota inicial</t>
        </is>
      </c>
      <c r="E159" t="n">
        <v>102000000</v>
      </c>
      <c r="F159" t="n">
        <v>86137931</v>
      </c>
      <c r="G159">
        <f>E159-F159</f>
        <v/>
      </c>
      <c r="H159">
        <f>IF(E159&gt;0,F159/E159,0)</f>
        <v/>
      </c>
      <c r="I159" s="28" t="n">
        <v>46226</v>
      </c>
      <c r="J159" t="inlineStr">
        <is>
          <t>Al día</t>
        </is>
      </c>
      <c r="K159" t="inlineStr">
        <is>
          <t>Juliana Vélez</t>
        </is>
      </c>
    </row>
    <row r="160" ht="15.75" customHeight="1" s="25">
      <c r="A160" t="inlineStr">
        <is>
          <t>PAG-0158</t>
        </is>
      </c>
      <c r="B160" t="inlineStr">
        <is>
          <t>Ricardo Bedoya Peláez</t>
        </is>
      </c>
      <c r="C160" t="inlineStr">
        <is>
          <t>PRY-005</t>
        </is>
      </c>
      <c r="D160" t="inlineStr">
        <is>
          <t>Cuota inicial</t>
        </is>
      </c>
      <c r="E160" t="n">
        <v>121000000</v>
      </c>
      <c r="F160" t="n">
        <v>89781250</v>
      </c>
      <c r="G160">
        <f>E160-F160</f>
        <v/>
      </c>
      <c r="H160">
        <f>IF(E160&gt;0,F160/E160,0)</f>
        <v/>
      </c>
      <c r="I160" s="28" t="n">
        <v>46197</v>
      </c>
      <c r="J160" t="inlineStr">
        <is>
          <t>En mora</t>
        </is>
      </c>
      <c r="K160" t="inlineStr">
        <is>
          <t>Sofía Prada</t>
        </is>
      </c>
    </row>
    <row r="161" ht="15.75" customHeight="1" s="25">
      <c r="A161" t="inlineStr">
        <is>
          <t>PAG-0159</t>
        </is>
      </c>
      <c r="B161" t="inlineStr">
        <is>
          <t>Felipe Ramírez Escobar</t>
        </is>
      </c>
      <c r="C161" t="inlineStr">
        <is>
          <t>PRY-003</t>
        </is>
      </c>
      <c r="D161" t="inlineStr">
        <is>
          <t>Cuota inicial</t>
        </is>
      </c>
      <c r="E161" t="n">
        <v>100000000</v>
      </c>
      <c r="F161" t="n">
        <v>84482759</v>
      </c>
      <c r="G161">
        <f>E161-F161</f>
        <v/>
      </c>
      <c r="H161">
        <f>IF(E161&gt;0,F161/E161,0)</f>
        <v/>
      </c>
      <c r="I161" s="28" t="n">
        <v>46229</v>
      </c>
      <c r="J161" t="inlineStr">
        <is>
          <t>Al día</t>
        </is>
      </c>
      <c r="K161" t="inlineStr">
        <is>
          <t>Santiago Muñoz</t>
        </is>
      </c>
    </row>
    <row r="162" ht="15.75" customHeight="1" s="25">
      <c r="A162" t="inlineStr">
        <is>
          <t>PAG-0160</t>
        </is>
      </c>
      <c r="B162" t="inlineStr">
        <is>
          <t>Juan Pablo Zapata Salazar</t>
        </is>
      </c>
      <c r="C162" t="inlineStr">
        <is>
          <t>PRY-001</t>
        </is>
      </c>
      <c r="D162" t="inlineStr">
        <is>
          <t>Cuota inicial</t>
        </is>
      </c>
      <c r="E162" t="n">
        <v>182000000</v>
      </c>
      <c r="F162" t="n">
        <v>127942857</v>
      </c>
      <c r="G162">
        <f>E162-F162</f>
        <v/>
      </c>
      <c r="H162">
        <f>IF(E162&gt;0,F162/E162,0)</f>
        <v/>
      </c>
      <c r="I162" s="28" t="n">
        <v>46231</v>
      </c>
      <c r="J162" t="inlineStr">
        <is>
          <t>Al día</t>
        </is>
      </c>
      <c r="K162" t="inlineStr">
        <is>
          <t>Sofía Prada</t>
        </is>
      </c>
    </row>
    <row r="163" ht="15.75" customHeight="1" s="25">
      <c r="A163" t="inlineStr">
        <is>
          <t>PAG-0161</t>
        </is>
      </c>
      <c r="B163" t="inlineStr">
        <is>
          <t>Laura Duque Cardona</t>
        </is>
      </c>
      <c r="C163" t="inlineStr">
        <is>
          <t>PRY-008</t>
        </is>
      </c>
      <c r="D163" t="inlineStr">
        <is>
          <t>Cuota inicial</t>
        </is>
      </c>
      <c r="E163" t="n">
        <v>27000000</v>
      </c>
      <c r="F163" t="n">
        <v>27000000</v>
      </c>
      <c r="G163">
        <f>E163-F163</f>
        <v/>
      </c>
      <c r="H163">
        <f>IF(E163&gt;0,F163/E163,0)</f>
        <v/>
      </c>
      <c r="I163" s="28" t="n">
        <v>46081</v>
      </c>
      <c r="J163" t="inlineStr">
        <is>
          <t>Pagado</t>
        </is>
      </c>
      <c r="K163" t="inlineStr">
        <is>
          <t>Santiago Muñoz</t>
        </is>
      </c>
    </row>
    <row r="164" ht="15.75" customHeight="1" s="25">
      <c r="A164" t="inlineStr">
        <is>
          <t>PAG-0162</t>
        </is>
      </c>
      <c r="B164" t="inlineStr">
        <is>
          <t>Laura Duque Cardona</t>
        </is>
      </c>
      <c r="C164" t="inlineStr">
        <is>
          <t>PRY-008</t>
        </is>
      </c>
      <c r="D164" t="inlineStr">
        <is>
          <t>Escrituración</t>
        </is>
      </c>
      <c r="E164" t="n">
        <v>110000000</v>
      </c>
      <c r="F164" t="n">
        <v>0</v>
      </c>
      <c r="G164">
        <f>E164-F164</f>
        <v/>
      </c>
      <c r="H164">
        <f>IF(E164&gt;0,F164/E164,0)</f>
        <v/>
      </c>
      <c r="I164" s="28" t="n">
        <v>46262</v>
      </c>
      <c r="J164" t="inlineStr">
        <is>
          <t>Pendiente</t>
        </is>
      </c>
      <c r="K164" t="inlineStr">
        <is>
          <t>Santiago Muñoz</t>
        </is>
      </c>
    </row>
    <row r="165" ht="15.75" customHeight="1" s="25">
      <c r="A165" t="inlineStr">
        <is>
          <t>PAG-0163</t>
        </is>
      </c>
      <c r="B165" t="inlineStr">
        <is>
          <t>María Ramírez Correa</t>
        </is>
      </c>
      <c r="C165" t="inlineStr">
        <is>
          <t>PRY-001</t>
        </is>
      </c>
      <c r="D165" t="inlineStr">
        <is>
          <t>Cuota inicial</t>
        </is>
      </c>
      <c r="E165" t="n">
        <v>211000000</v>
      </c>
      <c r="F165" t="n">
        <v>124857143</v>
      </c>
      <c r="G165">
        <f>E165-F165</f>
        <v/>
      </c>
      <c r="H165">
        <f>IF(E165&gt;0,F165/E165,0)</f>
        <v/>
      </c>
      <c r="I165" s="28" t="n">
        <v>46110</v>
      </c>
      <c r="J165" t="inlineStr">
        <is>
          <t>En mora</t>
        </is>
      </c>
      <c r="K165" t="inlineStr">
        <is>
          <t>Ana Quintero</t>
        </is>
      </c>
    </row>
    <row r="166" ht="15.75" customHeight="1" s="25">
      <c r="A166" t="inlineStr">
        <is>
          <t>PAG-0164</t>
        </is>
      </c>
      <c r="B166" t="inlineStr">
        <is>
          <t>María Uribe Echeverri</t>
        </is>
      </c>
      <c r="C166" t="inlineStr">
        <is>
          <t>PRY-005</t>
        </is>
      </c>
      <c r="D166" t="inlineStr">
        <is>
          <t>Cuota inicial</t>
        </is>
      </c>
      <c r="E166" t="n">
        <v>124000000</v>
      </c>
      <c r="F166" t="n">
        <v>88375000</v>
      </c>
      <c r="G166">
        <f>E166-F166</f>
        <v/>
      </c>
      <c r="H166">
        <f>IF(E166&gt;0,F166/E166,0)</f>
        <v/>
      </c>
      <c r="I166" s="28" t="n">
        <v>46172</v>
      </c>
      <c r="J166" t="inlineStr">
        <is>
          <t>En mora</t>
        </is>
      </c>
      <c r="K166" t="inlineStr">
        <is>
          <t>Ana Quintero</t>
        </is>
      </c>
    </row>
    <row r="167" ht="15.75" customHeight="1" s="25">
      <c r="A167" t="inlineStr">
        <is>
          <t>PAG-0165</t>
        </is>
      </c>
      <c r="B167" t="inlineStr">
        <is>
          <t>Nicolás Valencia Giraldo</t>
        </is>
      </c>
      <c r="C167" t="inlineStr">
        <is>
          <t>PRY-005</t>
        </is>
      </c>
      <c r="D167" t="inlineStr">
        <is>
          <t>Cuota inicial</t>
        </is>
      </c>
      <c r="E167" t="n">
        <v>115000000</v>
      </c>
      <c r="F167" t="n">
        <v>88750000</v>
      </c>
      <c r="G167">
        <f>E167-F167</f>
        <v/>
      </c>
      <c r="H167">
        <f>IF(E167&gt;0,F167/E167,0)</f>
        <v/>
      </c>
      <c r="I167" s="28" t="n">
        <v>46233</v>
      </c>
      <c r="J167" t="inlineStr">
        <is>
          <t>Al día</t>
        </is>
      </c>
      <c r="K167" t="inlineStr">
        <is>
          <t>Miguel Salazar</t>
        </is>
      </c>
    </row>
    <row r="168" ht="15.75" customHeight="1" s="25">
      <c r="A168" t="inlineStr">
        <is>
          <t>PAG-0166</t>
        </is>
      </c>
      <c r="B168" t="inlineStr">
        <is>
          <t>Ximena Valencia Ramírez</t>
        </is>
      </c>
      <c r="C168" t="inlineStr">
        <is>
          <t>PRY-008</t>
        </is>
      </c>
      <c r="D168" t="inlineStr">
        <is>
          <t>Cuota inicial</t>
        </is>
      </c>
      <c r="E168" t="n">
        <v>27000000</v>
      </c>
      <c r="F168" t="n">
        <v>27000000</v>
      </c>
      <c r="G168">
        <f>E168-F168</f>
        <v/>
      </c>
      <c r="H168">
        <f>IF(E168&gt;0,F168/E168,0)</f>
        <v/>
      </c>
      <c r="I168" s="28" t="n">
        <v>46054</v>
      </c>
      <c r="J168" t="inlineStr">
        <is>
          <t>Pagado</t>
        </is>
      </c>
      <c r="K168" t="inlineStr">
        <is>
          <t>Luis Bedoya</t>
        </is>
      </c>
    </row>
    <row r="169" ht="15.75" customHeight="1" s="25">
      <c r="A169" t="inlineStr">
        <is>
          <t>PAG-0167</t>
        </is>
      </c>
      <c r="B169" t="inlineStr">
        <is>
          <t>Ximena Valencia Ramírez</t>
        </is>
      </c>
      <c r="C169" t="inlineStr">
        <is>
          <t>PRY-008</t>
        </is>
      </c>
      <c r="D169" t="inlineStr">
        <is>
          <t>Escrituración</t>
        </is>
      </c>
      <c r="E169" t="n">
        <v>107000000</v>
      </c>
      <c r="F169" t="n">
        <v>107000000</v>
      </c>
      <c r="G169">
        <f>E169-F169</f>
        <v/>
      </c>
      <c r="H169">
        <f>IF(E169&gt;0,F169/E169,0)</f>
        <v/>
      </c>
      <c r="I169" s="28" t="n">
        <v>46158</v>
      </c>
      <c r="J169" t="inlineStr">
        <is>
          <t>Pagado</t>
        </is>
      </c>
      <c r="K169" t="inlineStr">
        <is>
          <t>Luis Bedoya</t>
        </is>
      </c>
    </row>
    <row r="170" ht="15.75" customHeight="1" s="25">
      <c r="A170" t="inlineStr">
        <is>
          <t>PAG-0168</t>
        </is>
      </c>
      <c r="B170" t="inlineStr">
        <is>
          <t>Carolina Osorio Zuluaga</t>
        </is>
      </c>
      <c r="C170" t="inlineStr">
        <is>
          <t>PRY-001</t>
        </is>
      </c>
      <c r="D170" t="inlineStr">
        <is>
          <t>Cuota inicial</t>
        </is>
      </c>
      <c r="E170" t="n">
        <v>229000000</v>
      </c>
      <c r="F170" t="n">
        <v>158147059</v>
      </c>
      <c r="G170">
        <f>E170-F170</f>
        <v/>
      </c>
      <c r="H170">
        <f>IF(E170&gt;0,F170/E170,0)</f>
        <v/>
      </c>
      <c r="I170" s="28" t="n">
        <v>46206</v>
      </c>
      <c r="J170" t="inlineStr">
        <is>
          <t>Al día</t>
        </is>
      </c>
      <c r="K170" t="inlineStr">
        <is>
          <t>Paula Arenas</t>
        </is>
      </c>
    </row>
    <row r="171" ht="15.75" customHeight="1" s="25">
      <c r="A171" t="inlineStr">
        <is>
          <t>PAG-0169</t>
        </is>
      </c>
      <c r="B171" t="inlineStr">
        <is>
          <t>Verónica Gaviria Pérez</t>
        </is>
      </c>
      <c r="C171" t="inlineStr">
        <is>
          <t>PRY-008</t>
        </is>
      </c>
      <c r="D171" t="inlineStr">
        <is>
          <t>Cuota inicial</t>
        </is>
      </c>
      <c r="E171" t="n">
        <v>27000000</v>
      </c>
      <c r="F171" t="n">
        <v>27000000</v>
      </c>
      <c r="G171">
        <f>E171-F171</f>
        <v/>
      </c>
      <c r="H171">
        <f>IF(E171&gt;0,F171/E171,0)</f>
        <v/>
      </c>
      <c r="I171" s="28" t="n">
        <v>46056</v>
      </c>
      <c r="J171" t="inlineStr">
        <is>
          <t>Pagado</t>
        </is>
      </c>
      <c r="K171" t="inlineStr">
        <is>
          <t>Sofía Prada</t>
        </is>
      </c>
    </row>
    <row r="172" ht="15.75" customHeight="1" s="25">
      <c r="A172" t="inlineStr">
        <is>
          <t>PAG-0170</t>
        </is>
      </c>
      <c r="B172" t="inlineStr">
        <is>
          <t>Verónica Gaviria Pérez</t>
        </is>
      </c>
      <c r="C172" t="inlineStr">
        <is>
          <t>PRY-008</t>
        </is>
      </c>
      <c r="D172" t="inlineStr">
        <is>
          <t>Escrituración</t>
        </is>
      </c>
      <c r="E172" t="n">
        <v>110000000</v>
      </c>
      <c r="F172" t="n">
        <v>110000000</v>
      </c>
      <c r="G172">
        <f>E172-F172</f>
        <v/>
      </c>
      <c r="H172">
        <f>IF(E172&gt;0,F172/E172,0)</f>
        <v/>
      </c>
      <c r="I172" s="28" t="n">
        <v>46121</v>
      </c>
      <c r="J172" t="inlineStr">
        <is>
          <t>Pagado</t>
        </is>
      </c>
      <c r="K172" t="inlineStr">
        <is>
          <t>Sofía Prada</t>
        </is>
      </c>
    </row>
    <row r="173" ht="15.75" customHeight="1" s="25">
      <c r="A173" t="inlineStr">
        <is>
          <t>PAG-0171</t>
        </is>
      </c>
      <c r="B173" t="inlineStr">
        <is>
          <t>José Vásquez Álvarez</t>
        </is>
      </c>
      <c r="C173" t="inlineStr">
        <is>
          <t>PRY-004</t>
        </is>
      </c>
      <c r="D173" t="inlineStr">
        <is>
          <t>Cuota inicial</t>
        </is>
      </c>
      <c r="E173" t="n">
        <v>160000000</v>
      </c>
      <c r="F173" t="n">
        <v>160000000</v>
      </c>
      <c r="G173">
        <f>E173-F173</f>
        <v/>
      </c>
      <c r="H173">
        <f>IF(E173&gt;0,F173/E173,0)</f>
        <v/>
      </c>
      <c r="I173" s="28" t="n">
        <v>45938</v>
      </c>
      <c r="J173" t="inlineStr">
        <is>
          <t>Pagado</t>
        </is>
      </c>
      <c r="K173" t="inlineStr">
        <is>
          <t>Ana Quintero</t>
        </is>
      </c>
    </row>
    <row r="174" ht="15.75" customHeight="1" s="25">
      <c r="A174" t="inlineStr">
        <is>
          <t>PAG-0172</t>
        </is>
      </c>
      <c r="B174" t="inlineStr">
        <is>
          <t>José Vásquez Álvarez</t>
        </is>
      </c>
      <c r="C174" t="inlineStr">
        <is>
          <t>PRY-004</t>
        </is>
      </c>
      <c r="D174" t="inlineStr">
        <is>
          <t>Escrituración</t>
        </is>
      </c>
      <c r="E174" t="n">
        <v>375000000</v>
      </c>
      <c r="F174" t="n">
        <v>375000000</v>
      </c>
      <c r="G174">
        <f>E174-F174</f>
        <v/>
      </c>
      <c r="H174">
        <f>IF(E174&gt;0,F174/E174,0)</f>
        <v/>
      </c>
      <c r="I174" s="28" t="n">
        <v>46064</v>
      </c>
      <c r="J174" t="inlineStr">
        <is>
          <t>Pagado</t>
        </is>
      </c>
      <c r="K174" t="inlineStr">
        <is>
          <t>Ana Quintero</t>
        </is>
      </c>
    </row>
    <row r="175" ht="15.75" customHeight="1" s="25">
      <c r="A175" t="inlineStr">
        <is>
          <t>PAG-0173</t>
        </is>
      </c>
      <c r="B175" t="inlineStr">
        <is>
          <t>Mónica Osorio Arango</t>
        </is>
      </c>
      <c r="C175" t="inlineStr">
        <is>
          <t>PRY-003</t>
        </is>
      </c>
      <c r="D175" t="inlineStr">
        <is>
          <t>Cuota inicial</t>
        </is>
      </c>
      <c r="E175" t="n">
        <v>96000000</v>
      </c>
      <c r="F175" t="n">
        <v>80642857</v>
      </c>
      <c r="G175">
        <f>E175-F175</f>
        <v/>
      </c>
      <c r="H175">
        <f>IF(E175&gt;0,F175/E175,0)</f>
        <v/>
      </c>
      <c r="I175" s="28" t="n">
        <v>46212</v>
      </c>
      <c r="J175" t="inlineStr">
        <is>
          <t>Al día</t>
        </is>
      </c>
      <c r="K175" t="inlineStr">
        <is>
          <t>Luis Bedoya</t>
        </is>
      </c>
    </row>
    <row r="176" ht="15.75" customHeight="1" s="25">
      <c r="A176" t="inlineStr">
        <is>
          <t>PAG-0174</t>
        </is>
      </c>
      <c r="B176" t="inlineStr">
        <is>
          <t>Diego Salcedo Castaño</t>
        </is>
      </c>
      <c r="C176" t="inlineStr">
        <is>
          <t>PRY-005</t>
        </is>
      </c>
      <c r="D176" t="inlineStr">
        <is>
          <t>Cuota inicial</t>
        </is>
      </c>
      <c r="E176" t="n">
        <v>111000000</v>
      </c>
      <c r="F176" t="n">
        <v>84935484</v>
      </c>
      <c r="G176">
        <f>E176-F176</f>
        <v/>
      </c>
      <c r="H176">
        <f>IF(E176&gt;0,F176/E176,0)</f>
        <v/>
      </c>
      <c r="I176" s="28" t="n">
        <v>46213</v>
      </c>
      <c r="J176" t="inlineStr">
        <is>
          <t>Al día</t>
        </is>
      </c>
      <c r="K176" t="inlineStr">
        <is>
          <t>Sofía Prada</t>
        </is>
      </c>
    </row>
    <row r="177" ht="15.75" customHeight="1" s="25">
      <c r="A177" t="inlineStr">
        <is>
          <t>PAG-0175</t>
        </is>
      </c>
      <c r="B177" t="inlineStr">
        <is>
          <t>Carlos Restrepo Toro</t>
        </is>
      </c>
      <c r="C177" t="inlineStr">
        <is>
          <t>PRY-003</t>
        </is>
      </c>
      <c r="D177" t="inlineStr">
        <is>
          <t>Cuota inicial</t>
        </is>
      </c>
      <c r="E177" t="n">
        <v>122000000</v>
      </c>
      <c r="F177" t="n">
        <v>102000000</v>
      </c>
      <c r="G177">
        <f>E177-F177</f>
        <v/>
      </c>
      <c r="H177">
        <f>IF(E177&gt;0,F177/E177,0)</f>
        <v/>
      </c>
      <c r="I177" s="28" t="n">
        <v>46213</v>
      </c>
      <c r="J177" t="inlineStr">
        <is>
          <t>Al día</t>
        </is>
      </c>
      <c r="K177" t="inlineStr">
        <is>
          <t>Luis Bedoya</t>
        </is>
      </c>
    </row>
    <row r="178" ht="15.75" customHeight="1" s="25">
      <c r="A178" t="inlineStr">
        <is>
          <t>PAG-0176</t>
        </is>
      </c>
      <c r="B178" t="inlineStr">
        <is>
          <t>Mateo Valencia Salcedo</t>
        </is>
      </c>
      <c r="C178" t="inlineStr">
        <is>
          <t>PRY-005</t>
        </is>
      </c>
      <c r="D178" t="inlineStr">
        <is>
          <t>Cuota inicial</t>
        </is>
      </c>
      <c r="E178" t="n">
        <v>133000000</v>
      </c>
      <c r="F178" t="n">
        <v>101258065</v>
      </c>
      <c r="G178">
        <f>E178-F178</f>
        <v/>
      </c>
      <c r="H178">
        <f>IF(E178&gt;0,F178/E178,0)</f>
        <v/>
      </c>
      <c r="I178" s="28" t="n">
        <v>46213</v>
      </c>
      <c r="J178" t="inlineStr">
        <is>
          <t>Al día</t>
        </is>
      </c>
      <c r="K178" t="inlineStr">
        <is>
          <t>Ana Quintero</t>
        </is>
      </c>
    </row>
    <row r="179" ht="15.75" customHeight="1" s="25">
      <c r="A179" t="inlineStr">
        <is>
          <t>PAG-0177</t>
        </is>
      </c>
      <c r="B179" t="inlineStr">
        <is>
          <t>Camila Montes Agudelo</t>
        </is>
      </c>
      <c r="C179" t="inlineStr">
        <is>
          <t>PRY-004</t>
        </is>
      </c>
      <c r="D179" t="inlineStr">
        <is>
          <t>Cuota inicial</t>
        </is>
      </c>
      <c r="E179" t="n">
        <v>158000000</v>
      </c>
      <c r="F179" t="n">
        <v>158000000</v>
      </c>
      <c r="G179">
        <f>E179-F179</f>
        <v/>
      </c>
      <c r="H179">
        <f>IF(E179&gt;0,F179/E179,0)</f>
        <v/>
      </c>
      <c r="I179" s="28" t="n">
        <v>45944</v>
      </c>
      <c r="J179" t="inlineStr">
        <is>
          <t>Pagado</t>
        </is>
      </c>
      <c r="K179" t="inlineStr">
        <is>
          <t>Ana Quintero</t>
        </is>
      </c>
    </row>
    <row r="180" ht="15.75" customHeight="1" s="25">
      <c r="A180" t="inlineStr">
        <is>
          <t>PAG-0178</t>
        </is>
      </c>
      <c r="B180" t="inlineStr">
        <is>
          <t>Camila Montes Agudelo</t>
        </is>
      </c>
      <c r="C180" t="inlineStr">
        <is>
          <t>PRY-004</t>
        </is>
      </c>
      <c r="D180" t="inlineStr">
        <is>
          <t>Escrituración</t>
        </is>
      </c>
      <c r="E180" t="n">
        <v>367000000</v>
      </c>
      <c r="F180" t="n">
        <v>367000000</v>
      </c>
      <c r="G180">
        <f>E180-F180</f>
        <v/>
      </c>
      <c r="H180">
        <f>IF(E180&gt;0,F180/E180,0)</f>
        <v/>
      </c>
      <c r="I180" s="28" t="n">
        <v>45991</v>
      </c>
      <c r="J180" t="inlineStr">
        <is>
          <t>Pagado</t>
        </is>
      </c>
      <c r="K180" t="inlineStr">
        <is>
          <t>Ana Quintero</t>
        </is>
      </c>
    </row>
    <row r="181" ht="15.75" customHeight="1" s="25">
      <c r="A181" t="inlineStr">
        <is>
          <t>PAG-0179</t>
        </is>
      </c>
      <c r="B181" t="inlineStr">
        <is>
          <t>José Correa Giraldo</t>
        </is>
      </c>
      <c r="C181" t="inlineStr">
        <is>
          <t>PRY-001</t>
        </is>
      </c>
      <c r="D181" t="inlineStr">
        <is>
          <t>Cuota inicial</t>
        </is>
      </c>
      <c r="E181" t="n">
        <v>172000000</v>
      </c>
      <c r="F181" t="n">
        <v>119588235</v>
      </c>
      <c r="G181">
        <f>E181-F181</f>
        <v/>
      </c>
      <c r="H181">
        <f>IF(E181&gt;0,F181/E181,0)</f>
        <v/>
      </c>
      <c r="I181" s="28" t="n">
        <v>46217</v>
      </c>
      <c r="J181" t="inlineStr">
        <is>
          <t>Al día</t>
        </is>
      </c>
      <c r="K181" t="inlineStr">
        <is>
          <t>Paula Arenas</t>
        </is>
      </c>
    </row>
    <row r="182" ht="15.75" customHeight="1" s="25">
      <c r="A182" t="inlineStr">
        <is>
          <t>PAG-0180</t>
        </is>
      </c>
      <c r="B182" t="inlineStr">
        <is>
          <t>Catalina Pérez Henao</t>
        </is>
      </c>
      <c r="C182" t="inlineStr">
        <is>
          <t>PRY-005</t>
        </is>
      </c>
      <c r="D182" t="inlineStr">
        <is>
          <t>Cuota inicial</t>
        </is>
      </c>
      <c r="E182" t="n">
        <v>130000000</v>
      </c>
      <c r="F182" t="n">
        <v>99032258</v>
      </c>
      <c r="G182">
        <f>E182-F182</f>
        <v/>
      </c>
      <c r="H182">
        <f>IF(E182&gt;0,F182/E182,0)</f>
        <v/>
      </c>
      <c r="I182" s="28" t="n">
        <v>46218</v>
      </c>
      <c r="J182" t="inlineStr">
        <is>
          <t>Al día</t>
        </is>
      </c>
      <c r="K182" t="inlineStr">
        <is>
          <t>Andrés Torres</t>
        </is>
      </c>
    </row>
    <row r="183" ht="15.75" customHeight="1" s="25">
      <c r="A183" t="inlineStr">
        <is>
          <t>PAG-0181</t>
        </is>
      </c>
      <c r="B183" t="inlineStr">
        <is>
          <t>Hernán Ramírez Vásquez</t>
        </is>
      </c>
      <c r="C183" t="inlineStr">
        <is>
          <t>PRY-004</t>
        </is>
      </c>
      <c r="D183" t="inlineStr">
        <is>
          <t>Cuota inicial</t>
        </is>
      </c>
      <c r="E183" t="n">
        <v>150000000</v>
      </c>
      <c r="F183" t="n">
        <v>150000000</v>
      </c>
      <c r="G183">
        <f>E183-F183</f>
        <v/>
      </c>
      <c r="H183">
        <f>IF(E183&gt;0,F183/E183,0)</f>
        <v/>
      </c>
      <c r="I183" s="28" t="n">
        <v>45947</v>
      </c>
      <c r="J183" t="inlineStr">
        <is>
          <t>Pagado</t>
        </is>
      </c>
      <c r="K183" t="inlineStr">
        <is>
          <t>Ana Quintero</t>
        </is>
      </c>
    </row>
    <row r="184" ht="15.75" customHeight="1" s="25">
      <c r="A184" t="inlineStr">
        <is>
          <t>PAG-0182</t>
        </is>
      </c>
      <c r="B184" t="inlineStr">
        <is>
          <t>Hernán Ramírez Vásquez</t>
        </is>
      </c>
      <c r="C184" t="inlineStr">
        <is>
          <t>PRY-004</t>
        </is>
      </c>
      <c r="D184" t="inlineStr">
        <is>
          <t>Escrituración</t>
        </is>
      </c>
      <c r="E184" t="n">
        <v>350000000</v>
      </c>
      <c r="F184" t="n">
        <v>350000000</v>
      </c>
      <c r="G184">
        <f>E184-F184</f>
        <v/>
      </c>
      <c r="H184">
        <f>IF(E184&gt;0,F184/E184,0)</f>
        <v/>
      </c>
      <c r="I184" s="28" t="n">
        <v>46027</v>
      </c>
      <c r="J184" t="inlineStr">
        <is>
          <t>Pagado</t>
        </is>
      </c>
      <c r="K184" t="inlineStr">
        <is>
          <t>Ana Quintero</t>
        </is>
      </c>
    </row>
    <row r="185" ht="15.75" customHeight="1" s="25">
      <c r="A185" t="inlineStr">
        <is>
          <t>PAG-0183</t>
        </is>
      </c>
      <c r="B185" t="inlineStr">
        <is>
          <t>Manuela Arango Montes</t>
        </is>
      </c>
      <c r="C185" t="inlineStr">
        <is>
          <t>PRY-001</t>
        </is>
      </c>
      <c r="D185" t="inlineStr">
        <is>
          <t>Cuota inicial</t>
        </is>
      </c>
      <c r="E185" t="n">
        <v>196000000</v>
      </c>
      <c r="F185" t="n">
        <v>135823529</v>
      </c>
      <c r="G185">
        <f>E185-F185</f>
        <v/>
      </c>
      <c r="H185">
        <f>IF(E185&gt;0,F185/E185,0)</f>
        <v/>
      </c>
      <c r="I185" s="28" t="n">
        <v>46223</v>
      </c>
      <c r="J185" t="inlineStr">
        <is>
          <t>Al día</t>
        </is>
      </c>
      <c r="K185" t="inlineStr">
        <is>
          <t>Luis Bedoya</t>
        </is>
      </c>
    </row>
    <row r="186" ht="15.75" customHeight="1" s="25">
      <c r="A186" t="inlineStr">
        <is>
          <t>PAG-0184</t>
        </is>
      </c>
      <c r="B186" t="inlineStr">
        <is>
          <t>Fernando Echeverri Salazar</t>
        </is>
      </c>
      <c r="C186" t="inlineStr">
        <is>
          <t>PRY-003</t>
        </is>
      </c>
      <c r="D186" t="inlineStr">
        <is>
          <t>Cuota inicial</t>
        </is>
      </c>
      <c r="E186" t="n">
        <v>117000000</v>
      </c>
      <c r="F186" t="n">
        <v>97892857</v>
      </c>
      <c r="G186">
        <f>E186-F186</f>
        <v/>
      </c>
      <c r="H186">
        <f>IF(E186&gt;0,F186/E186,0)</f>
        <v/>
      </c>
      <c r="I186" s="28" t="n">
        <v>46223</v>
      </c>
      <c r="J186" t="inlineStr">
        <is>
          <t>Al día</t>
        </is>
      </c>
      <c r="K186" t="inlineStr">
        <is>
          <t>Santiago Muñoz</t>
        </is>
      </c>
    </row>
    <row r="187" ht="15.75" customHeight="1" s="25">
      <c r="A187" t="inlineStr">
        <is>
          <t>PAG-0185</t>
        </is>
      </c>
      <c r="B187" t="inlineStr">
        <is>
          <t>Marcela Cardona Valencia</t>
        </is>
      </c>
      <c r="C187" t="inlineStr">
        <is>
          <t>PRY-005</t>
        </is>
      </c>
      <c r="D187" t="inlineStr">
        <is>
          <t>Cuota inicial</t>
        </is>
      </c>
      <c r="E187" t="n">
        <v>121000000</v>
      </c>
      <c r="F187" t="n">
        <v>81612903</v>
      </c>
      <c r="G187">
        <f>E187-F187</f>
        <v/>
      </c>
      <c r="H187">
        <f>IF(E187&gt;0,F187/E187,0)</f>
        <v/>
      </c>
      <c r="I187" s="28" t="n">
        <v>46137</v>
      </c>
      <c r="J187" t="inlineStr">
        <is>
          <t>En mora</t>
        </is>
      </c>
      <c r="K187" t="inlineStr">
        <is>
          <t>Luis Bedoya</t>
        </is>
      </c>
    </row>
    <row r="188" ht="15.75" customHeight="1" s="25">
      <c r="A188" t="inlineStr">
        <is>
          <t>PAG-0186</t>
        </is>
      </c>
      <c r="B188" t="inlineStr">
        <is>
          <t>Daniela Henao Palacio</t>
        </is>
      </c>
      <c r="C188" t="inlineStr">
        <is>
          <t>PRY-008</t>
        </is>
      </c>
      <c r="D188" t="inlineStr">
        <is>
          <t>Cuota inicial</t>
        </is>
      </c>
      <c r="E188" t="n">
        <v>30000000</v>
      </c>
      <c r="F188" t="n">
        <v>30000000</v>
      </c>
      <c r="G188">
        <f>E188-F188</f>
        <v/>
      </c>
      <c r="H188">
        <f>IF(E188&gt;0,F188/E188,0)</f>
        <v/>
      </c>
      <c r="I188" s="28" t="n">
        <v>46079</v>
      </c>
      <c r="J188" t="inlineStr">
        <is>
          <t>Pagado</t>
        </is>
      </c>
      <c r="K188" t="inlineStr">
        <is>
          <t>Ana Quintero</t>
        </is>
      </c>
    </row>
    <row r="189" ht="15.75" customHeight="1" s="25">
      <c r="A189" t="inlineStr">
        <is>
          <t>PAG-0187</t>
        </is>
      </c>
      <c r="B189" t="inlineStr">
        <is>
          <t>Daniela Henao Palacio</t>
        </is>
      </c>
      <c r="C189" t="inlineStr">
        <is>
          <t>PRY-008</t>
        </is>
      </c>
      <c r="D189" t="inlineStr">
        <is>
          <t>Escrituración</t>
        </is>
      </c>
      <c r="E189" t="n">
        <v>119000000</v>
      </c>
      <c r="F189" t="n">
        <v>119000000</v>
      </c>
      <c r="G189">
        <f>E189-F189</f>
        <v/>
      </c>
      <c r="H189">
        <f>IF(E189&gt;0,F189/E189,0)</f>
        <v/>
      </c>
      <c r="I189" s="28" t="n">
        <v>46145</v>
      </c>
      <c r="J189" t="inlineStr">
        <is>
          <t>Pagado</t>
        </is>
      </c>
      <c r="K189" t="inlineStr">
        <is>
          <t>Ana Quintero</t>
        </is>
      </c>
    </row>
    <row r="190" ht="15.75" customHeight="1" s="25">
      <c r="A190" t="inlineStr">
        <is>
          <t>PAG-0188</t>
        </is>
      </c>
      <c r="B190" t="inlineStr">
        <is>
          <t>Sofía Londoño Gómez</t>
        </is>
      </c>
      <c r="C190" t="inlineStr">
        <is>
          <t>PRY-004</t>
        </is>
      </c>
      <c r="D190" t="inlineStr">
        <is>
          <t>Cuota inicial</t>
        </is>
      </c>
      <c r="E190" t="n">
        <v>134000000</v>
      </c>
      <c r="F190" t="n">
        <v>134000000</v>
      </c>
      <c r="G190">
        <f>E190-F190</f>
        <v/>
      </c>
      <c r="H190">
        <f>IF(E190&gt;0,F190/E190,0)</f>
        <v/>
      </c>
      <c r="I190" s="28" t="n">
        <v>45958</v>
      </c>
      <c r="J190" t="inlineStr">
        <is>
          <t>Pagado</t>
        </is>
      </c>
      <c r="K190" t="inlineStr">
        <is>
          <t>Sofía Prada</t>
        </is>
      </c>
    </row>
    <row r="191" ht="15.75" customHeight="1" s="25">
      <c r="A191" t="inlineStr">
        <is>
          <t>PAG-0189</t>
        </is>
      </c>
      <c r="B191" t="inlineStr">
        <is>
          <t>Sofía Londoño Gómez</t>
        </is>
      </c>
      <c r="C191" t="inlineStr">
        <is>
          <t>PRY-004</t>
        </is>
      </c>
      <c r="D191" t="inlineStr">
        <is>
          <t>Escrituración</t>
        </is>
      </c>
      <c r="E191" t="n">
        <v>311000000</v>
      </c>
      <c r="F191" t="n">
        <v>311000000</v>
      </c>
      <c r="G191">
        <f>E191-F191</f>
        <v/>
      </c>
      <c r="H191">
        <f>IF(E191&gt;0,F191/E191,0)</f>
        <v/>
      </c>
      <c r="I191" s="28" t="n">
        <v>46049</v>
      </c>
      <c r="J191" t="inlineStr">
        <is>
          <t>Pagado</t>
        </is>
      </c>
      <c r="K191" t="inlineStr">
        <is>
          <t>Sofía Prada</t>
        </is>
      </c>
    </row>
    <row r="192" ht="15.75" customHeight="1" s="25">
      <c r="A192" t="inlineStr">
        <is>
          <t>PAG-0190</t>
        </is>
      </c>
      <c r="B192" t="inlineStr">
        <is>
          <t>Cristian Sánchez Hernández</t>
        </is>
      </c>
      <c r="C192" t="inlineStr">
        <is>
          <t>PRY-003</t>
        </is>
      </c>
      <c r="D192" t="inlineStr">
        <is>
          <t>Cuota inicial</t>
        </is>
      </c>
      <c r="E192" t="n">
        <v>91000000</v>
      </c>
      <c r="F192" t="n">
        <v>67857143</v>
      </c>
      <c r="G192">
        <f>E192-F192</f>
        <v/>
      </c>
      <c r="H192">
        <f>IF(E192&gt;0,F192/E192,0)</f>
        <v/>
      </c>
      <c r="I192" s="28" t="n">
        <v>46141</v>
      </c>
      <c r="J192" t="inlineStr">
        <is>
          <t>En mora</t>
        </is>
      </c>
      <c r="K192" t="inlineStr">
        <is>
          <t>Sofía Prada</t>
        </is>
      </c>
    </row>
    <row r="193" ht="15.75" customHeight="1" s="25">
      <c r="A193" t="inlineStr">
        <is>
          <t>PAG-0191</t>
        </is>
      </c>
      <c r="B193" t="inlineStr">
        <is>
          <t>Andrés Castaño Espinosa</t>
        </is>
      </c>
      <c r="C193" t="inlineStr">
        <is>
          <t>PRY-002</t>
        </is>
      </c>
      <c r="D193" t="inlineStr">
        <is>
          <t>Cuota inicial</t>
        </is>
      </c>
      <c r="E193" t="n">
        <v>214000000</v>
      </c>
      <c r="F193" t="n">
        <v>127300000</v>
      </c>
      <c r="G193">
        <f>E193-F193</f>
        <v/>
      </c>
      <c r="H193">
        <f>IF(E193&gt;0,F193/E193,0)</f>
        <v/>
      </c>
      <c r="I193" s="28" t="n">
        <v>46233</v>
      </c>
      <c r="J193" t="inlineStr">
        <is>
          <t>Al día</t>
        </is>
      </c>
      <c r="K193" t="inlineStr">
        <is>
          <t>Andrés Torres</t>
        </is>
      </c>
    </row>
    <row r="194" ht="15.75" customHeight="1" s="25">
      <c r="A194" t="inlineStr">
        <is>
          <t>PAG-0192</t>
        </is>
      </c>
      <c r="B194" t="inlineStr">
        <is>
          <t>Isabel Zapata Zapata</t>
        </is>
      </c>
      <c r="C194" t="inlineStr">
        <is>
          <t>PRY-005</t>
        </is>
      </c>
      <c r="D194" t="inlineStr">
        <is>
          <t>Cuota inicial</t>
        </is>
      </c>
      <c r="E194" t="n">
        <v>100000000</v>
      </c>
      <c r="F194" t="n">
        <v>76000000</v>
      </c>
      <c r="G194">
        <f>E194-F194</f>
        <v/>
      </c>
      <c r="H194">
        <f>IF(E194&gt;0,F194/E194,0)</f>
        <v/>
      </c>
      <c r="I194" s="28" t="n">
        <v>46205</v>
      </c>
      <c r="J194" t="inlineStr">
        <is>
          <t>Al día</t>
        </is>
      </c>
      <c r="K194" t="inlineStr">
        <is>
          <t>Santiago Muñoz</t>
        </is>
      </c>
    </row>
    <row r="195" ht="15.75" customHeight="1" s="25">
      <c r="A195" t="inlineStr">
        <is>
          <t>PAG-0193</t>
        </is>
      </c>
      <c r="B195" t="inlineStr">
        <is>
          <t>Jhon Gaviria Higuita</t>
        </is>
      </c>
      <c r="C195" t="inlineStr">
        <is>
          <t>PRY-001</t>
        </is>
      </c>
      <c r="D195" t="inlineStr">
        <is>
          <t>Cuota inicial</t>
        </is>
      </c>
      <c r="E195" t="n">
        <v>176000000</v>
      </c>
      <c r="F195" t="n">
        <v>120666667</v>
      </c>
      <c r="G195">
        <f>E195-F195</f>
        <v/>
      </c>
      <c r="H195">
        <f>IF(E195&gt;0,F195/E195,0)</f>
        <v/>
      </c>
      <c r="I195" s="28" t="n">
        <v>46206</v>
      </c>
      <c r="J195" t="inlineStr">
        <is>
          <t>Al día</t>
        </is>
      </c>
      <c r="K195" t="inlineStr">
        <is>
          <t>Luis Bedoya</t>
        </is>
      </c>
    </row>
    <row r="196" ht="15.75" customHeight="1" s="25">
      <c r="A196" t="inlineStr">
        <is>
          <t>PAG-0194</t>
        </is>
      </c>
      <c r="B196" t="inlineStr">
        <is>
          <t>Mauricio Vásquez Escobar</t>
        </is>
      </c>
      <c r="C196" t="inlineStr">
        <is>
          <t>PRY-004</t>
        </is>
      </c>
      <c r="D196" t="inlineStr">
        <is>
          <t>Cuota inicial</t>
        </is>
      </c>
      <c r="E196" t="n">
        <v>148000000</v>
      </c>
      <c r="F196" t="n">
        <v>148000000</v>
      </c>
      <c r="G196">
        <f>E196-F196</f>
        <v/>
      </c>
      <c r="H196">
        <f>IF(E196&gt;0,F196/E196,0)</f>
        <v/>
      </c>
      <c r="I196" s="28" t="n">
        <v>45934</v>
      </c>
      <c r="J196" t="inlineStr">
        <is>
          <t>Pagado</t>
        </is>
      </c>
      <c r="K196" t="inlineStr">
        <is>
          <t>Paula Arenas</t>
        </is>
      </c>
    </row>
    <row r="197" ht="15.75" customHeight="1" s="25">
      <c r="A197" t="inlineStr">
        <is>
          <t>PAG-0195</t>
        </is>
      </c>
      <c r="B197" t="inlineStr">
        <is>
          <t>Mauricio Vásquez Escobar</t>
        </is>
      </c>
      <c r="C197" t="inlineStr">
        <is>
          <t>PRY-004</t>
        </is>
      </c>
      <c r="D197" t="inlineStr">
        <is>
          <t>Escrituración</t>
        </is>
      </c>
      <c r="E197" t="n">
        <v>346000000</v>
      </c>
      <c r="F197" t="n">
        <v>346000000</v>
      </c>
      <c r="G197">
        <f>E197-F197</f>
        <v/>
      </c>
      <c r="H197">
        <f>IF(E197&gt;0,F197/E197,0)</f>
        <v/>
      </c>
      <c r="I197" s="28" t="n">
        <v>46046</v>
      </c>
      <c r="J197" t="inlineStr">
        <is>
          <t>Pagado</t>
        </is>
      </c>
      <c r="K197" t="inlineStr">
        <is>
          <t>Paula Arenas</t>
        </is>
      </c>
    </row>
    <row r="198" ht="15.75" customHeight="1" s="25">
      <c r="A198" t="inlineStr">
        <is>
          <t>PAG-0196</t>
        </is>
      </c>
      <c r="B198" t="inlineStr">
        <is>
          <t>Andrés Jaramillo Echeverri</t>
        </is>
      </c>
      <c r="C198" t="inlineStr">
        <is>
          <t>PRY-004</t>
        </is>
      </c>
      <c r="D198" t="inlineStr">
        <is>
          <t>Cuota inicial</t>
        </is>
      </c>
      <c r="E198" t="n">
        <v>139000000</v>
      </c>
      <c r="F198" t="n">
        <v>139000000</v>
      </c>
      <c r="G198">
        <f>E198-F198</f>
        <v/>
      </c>
      <c r="H198">
        <f>IF(E198&gt;0,F198/E198,0)</f>
        <v/>
      </c>
      <c r="I198" s="28" t="n">
        <v>45936</v>
      </c>
      <c r="J198" t="inlineStr">
        <is>
          <t>Pagado</t>
        </is>
      </c>
      <c r="K198" t="inlineStr">
        <is>
          <t>Miguel Salazar</t>
        </is>
      </c>
    </row>
    <row r="199" ht="15.75" customHeight="1" s="25">
      <c r="A199" t="inlineStr">
        <is>
          <t>PAG-0197</t>
        </is>
      </c>
      <c r="B199" t="inlineStr">
        <is>
          <t>Andrés Jaramillo Echeverri</t>
        </is>
      </c>
      <c r="C199" t="inlineStr">
        <is>
          <t>PRY-004</t>
        </is>
      </c>
      <c r="D199" t="inlineStr">
        <is>
          <t>Escrituración</t>
        </is>
      </c>
      <c r="E199" t="n">
        <v>325000000</v>
      </c>
      <c r="F199" t="n">
        <v>325000000</v>
      </c>
      <c r="G199">
        <f>E199-F199</f>
        <v/>
      </c>
      <c r="H199">
        <f>IF(E199&gt;0,F199/E199,0)</f>
        <v/>
      </c>
      <c r="I199" s="28" t="n">
        <v>46040</v>
      </c>
      <c r="J199" t="inlineStr">
        <is>
          <t>Pagado</t>
        </is>
      </c>
      <c r="K199" t="inlineStr">
        <is>
          <t>Miguel Salazar</t>
        </is>
      </c>
    </row>
    <row r="200" ht="15.75" customHeight="1" s="25">
      <c r="A200" t="inlineStr">
        <is>
          <t>PAG-0198</t>
        </is>
      </c>
      <c r="B200" t="inlineStr">
        <is>
          <t>Daniela Álvarez Rojas</t>
        </is>
      </c>
      <c r="C200" t="inlineStr">
        <is>
          <t>PRY-003</t>
        </is>
      </c>
      <c r="D200" t="inlineStr">
        <is>
          <t>Cuota inicial</t>
        </is>
      </c>
      <c r="E200" t="n">
        <v>100000000</v>
      </c>
      <c r="F200" t="n">
        <v>76666667</v>
      </c>
      <c r="G200">
        <f>E200-F200</f>
        <v/>
      </c>
      <c r="H200">
        <f>IF(E200&gt;0,F200/E200,0)</f>
        <v/>
      </c>
      <c r="I200" s="28" t="n">
        <v>46152</v>
      </c>
      <c r="J200" t="inlineStr">
        <is>
          <t>En mora</t>
        </is>
      </c>
      <c r="K200" t="inlineStr">
        <is>
          <t>Sofía Prada</t>
        </is>
      </c>
    </row>
    <row r="201" ht="15.75" customHeight="1" s="25">
      <c r="A201" t="inlineStr">
        <is>
          <t>PAG-0199</t>
        </is>
      </c>
      <c r="B201" t="inlineStr">
        <is>
          <t>David Valencia Peláez</t>
        </is>
      </c>
      <c r="C201" t="inlineStr">
        <is>
          <t>PRY-001</t>
        </is>
      </c>
      <c r="D201" t="inlineStr">
        <is>
          <t>Cuota inicial</t>
        </is>
      </c>
      <c r="E201" t="n">
        <v>205000000</v>
      </c>
      <c r="F201" t="n">
        <v>140000000</v>
      </c>
      <c r="G201">
        <f>E201-F201</f>
        <v/>
      </c>
      <c r="H201">
        <f>IF(E201&gt;0,F201/E201,0)</f>
        <v/>
      </c>
      <c r="I201" s="28" t="n">
        <v>46214</v>
      </c>
      <c r="J201" t="inlineStr">
        <is>
          <t>Al día</t>
        </is>
      </c>
      <c r="K201" t="inlineStr">
        <is>
          <t>Sofía Prada</t>
        </is>
      </c>
    </row>
    <row r="202" ht="15.75" customHeight="1" s="25">
      <c r="A202" t="inlineStr">
        <is>
          <t>PAG-0200</t>
        </is>
      </c>
      <c r="B202" t="inlineStr">
        <is>
          <t>Diego Zuluaga Montes</t>
        </is>
      </c>
      <c r="C202" t="inlineStr">
        <is>
          <t>PRY-003</t>
        </is>
      </c>
      <c r="D202" t="inlineStr">
        <is>
          <t>Cuota inicial</t>
        </is>
      </c>
      <c r="E202" t="n">
        <v>119000000</v>
      </c>
      <c r="F202" t="n">
        <v>98814815</v>
      </c>
      <c r="G202">
        <f>E202-F202</f>
        <v/>
      </c>
      <c r="H202">
        <f>IF(E202&gt;0,F202/E202,0)</f>
        <v/>
      </c>
      <c r="I202" s="28" t="n">
        <v>46215</v>
      </c>
      <c r="J202" t="inlineStr">
        <is>
          <t>Al día</t>
        </is>
      </c>
      <c r="K202" t="inlineStr">
        <is>
          <t>Sofía Prada</t>
        </is>
      </c>
    </row>
    <row r="203" ht="15.75" customHeight="1" s="25">
      <c r="A203" t="inlineStr">
        <is>
          <t>PAG-0201</t>
        </is>
      </c>
      <c r="B203" t="inlineStr">
        <is>
          <t>Jhon Gómez Higuita</t>
        </is>
      </c>
      <c r="C203" t="inlineStr">
        <is>
          <t>PRY-008</t>
        </is>
      </c>
      <c r="D203" t="inlineStr">
        <is>
          <t>Cuota inicial</t>
        </is>
      </c>
      <c r="E203" t="n">
        <v>35000000</v>
      </c>
      <c r="F203" t="n">
        <v>35000000</v>
      </c>
      <c r="G203">
        <f>E203-F203</f>
        <v/>
      </c>
      <c r="H203">
        <f>IF(E203&gt;0,F203/E203,0)</f>
        <v/>
      </c>
      <c r="I203" s="28" t="n">
        <v>46065</v>
      </c>
      <c r="J203" t="inlineStr">
        <is>
          <t>Pagado</t>
        </is>
      </c>
      <c r="K203" t="inlineStr">
        <is>
          <t>Ana Quintero</t>
        </is>
      </c>
    </row>
    <row r="204" ht="15.75" customHeight="1" s="25">
      <c r="A204" t="inlineStr">
        <is>
          <t>PAG-0202</t>
        </is>
      </c>
      <c r="B204" t="inlineStr">
        <is>
          <t>Jhon Gómez Higuita</t>
        </is>
      </c>
      <c r="C204" t="inlineStr">
        <is>
          <t>PRY-008</t>
        </is>
      </c>
      <c r="D204" t="inlineStr">
        <is>
          <t>Escrituración</t>
        </is>
      </c>
      <c r="E204" t="n">
        <v>138000000</v>
      </c>
      <c r="F204" t="n">
        <v>138000000</v>
      </c>
      <c r="G204">
        <f>E204-F204</f>
        <v/>
      </c>
      <c r="H204">
        <f>IF(E204&gt;0,F204/E204,0)</f>
        <v/>
      </c>
      <c r="I204" s="28" t="n">
        <v>46162</v>
      </c>
      <c r="J204" t="inlineStr">
        <is>
          <t>Pagado</t>
        </is>
      </c>
      <c r="K204" t="inlineStr">
        <is>
          <t>Ana Quintero</t>
        </is>
      </c>
    </row>
    <row r="205" ht="15.75" customHeight="1" s="25">
      <c r="A205" t="inlineStr">
        <is>
          <t>PAG-0203</t>
        </is>
      </c>
      <c r="B205" t="inlineStr">
        <is>
          <t>Mariana Franco Franco</t>
        </is>
      </c>
      <c r="C205" t="inlineStr">
        <is>
          <t>PRY-008</t>
        </is>
      </c>
      <c r="D205" t="inlineStr">
        <is>
          <t>Cuota inicial</t>
        </is>
      </c>
      <c r="E205" t="n">
        <v>35000000</v>
      </c>
      <c r="F205" t="n">
        <v>35000000</v>
      </c>
      <c r="G205">
        <f>E205-F205</f>
        <v/>
      </c>
      <c r="H205">
        <f>IF(E205&gt;0,F205/E205,0)</f>
        <v/>
      </c>
      <c r="I205" s="28" t="n">
        <v>46065</v>
      </c>
      <c r="J205" t="inlineStr">
        <is>
          <t>Pagado</t>
        </is>
      </c>
      <c r="K205" t="inlineStr">
        <is>
          <t>Ana Quintero</t>
        </is>
      </c>
    </row>
    <row r="206" ht="15.75" customHeight="1" s="25">
      <c r="A206" t="inlineStr">
        <is>
          <t>PAG-0204</t>
        </is>
      </c>
      <c r="B206" t="inlineStr">
        <is>
          <t>Mariana Franco Franco</t>
        </is>
      </c>
      <c r="C206" t="inlineStr">
        <is>
          <t>PRY-008</t>
        </is>
      </c>
      <c r="D206" t="inlineStr">
        <is>
          <t>Escrituración</t>
        </is>
      </c>
      <c r="E206" t="n">
        <v>141000000</v>
      </c>
      <c r="F206" t="n">
        <v>141000000</v>
      </c>
      <c r="G206">
        <f>E206-F206</f>
        <v/>
      </c>
      <c r="H206">
        <f>IF(E206&gt;0,F206/E206,0)</f>
        <v/>
      </c>
      <c r="I206" s="28" t="n">
        <v>46122</v>
      </c>
      <c r="J206" t="inlineStr">
        <is>
          <t>Pagado</t>
        </is>
      </c>
      <c r="K206" t="inlineStr">
        <is>
          <t>Ana Quintero</t>
        </is>
      </c>
    </row>
    <row r="207" ht="15.75" customHeight="1" s="25">
      <c r="A207" t="inlineStr">
        <is>
          <t>PAG-0205</t>
        </is>
      </c>
      <c r="B207" t="inlineStr">
        <is>
          <t>Paula Vélez Álvarez</t>
        </is>
      </c>
      <c r="C207" t="inlineStr">
        <is>
          <t>PRY-003</t>
        </is>
      </c>
      <c r="D207" t="inlineStr">
        <is>
          <t>Cuota inicial</t>
        </is>
      </c>
      <c r="E207" t="n">
        <v>112000000</v>
      </c>
      <c r="F207" t="n">
        <v>93111111</v>
      </c>
      <c r="G207">
        <f>E207-F207</f>
        <v/>
      </c>
      <c r="H207">
        <f>IF(E207&gt;0,F207/E207,0)</f>
        <v/>
      </c>
      <c r="I207" s="28" t="n">
        <v>46218</v>
      </c>
      <c r="J207" t="inlineStr">
        <is>
          <t>Al día</t>
        </is>
      </c>
      <c r="K207" t="inlineStr">
        <is>
          <t>Santiago Muñoz</t>
        </is>
      </c>
    </row>
    <row r="208" ht="15.75" customHeight="1" s="25">
      <c r="A208" t="inlineStr">
        <is>
          <t>PAG-0206</t>
        </is>
      </c>
      <c r="B208" t="inlineStr">
        <is>
          <t>Catalina López Mejía</t>
        </is>
      </c>
      <c r="C208" t="inlineStr">
        <is>
          <t>PRY-005</t>
        </is>
      </c>
      <c r="D208" t="inlineStr">
        <is>
          <t>Cuota inicial</t>
        </is>
      </c>
      <c r="E208" t="n">
        <v>112000000</v>
      </c>
      <c r="F208" t="n">
        <v>84800000</v>
      </c>
      <c r="G208">
        <f>E208-F208</f>
        <v/>
      </c>
      <c r="H208">
        <f>IF(E208&gt;0,F208/E208,0)</f>
        <v/>
      </c>
      <c r="I208" s="28" t="n">
        <v>46218</v>
      </c>
      <c r="J208" t="inlineStr">
        <is>
          <t>Al día</t>
        </is>
      </c>
      <c r="K208" t="inlineStr">
        <is>
          <t>Juliana Vélez</t>
        </is>
      </c>
    </row>
    <row r="209" ht="15.75" customHeight="1" s="25">
      <c r="A209" t="inlineStr">
        <is>
          <t>PAG-0207</t>
        </is>
      </c>
      <c r="B209" t="inlineStr">
        <is>
          <t>Óscar Betancur Agudelo</t>
        </is>
      </c>
      <c r="C209" t="inlineStr">
        <is>
          <t>PRY-008</t>
        </is>
      </c>
      <c r="D209" t="inlineStr">
        <is>
          <t>Cuota inicial</t>
        </is>
      </c>
      <c r="E209" t="n">
        <v>26000000</v>
      </c>
      <c r="F209" t="n">
        <v>26000000</v>
      </c>
      <c r="G209">
        <f>E209-F209</f>
        <v/>
      </c>
      <c r="H209">
        <f>IF(E209&gt;0,F209/E209,0)</f>
        <v/>
      </c>
      <c r="I209" s="28" t="n">
        <v>46074</v>
      </c>
      <c r="J209" t="inlineStr">
        <is>
          <t>Pagado</t>
        </is>
      </c>
      <c r="K209" t="inlineStr">
        <is>
          <t>Ana Quintero</t>
        </is>
      </c>
    </row>
    <row r="210" ht="15.75" customHeight="1" s="25">
      <c r="A210" t="inlineStr">
        <is>
          <t>PAG-0208</t>
        </is>
      </c>
      <c r="B210" t="inlineStr">
        <is>
          <t>Óscar Betancur Agudelo</t>
        </is>
      </c>
      <c r="C210" t="inlineStr">
        <is>
          <t>PRY-008</t>
        </is>
      </c>
      <c r="D210" t="inlineStr">
        <is>
          <t>Escrituración</t>
        </is>
      </c>
      <c r="E210" t="n">
        <v>106000000</v>
      </c>
      <c r="F210" t="n">
        <v>106000000</v>
      </c>
      <c r="G210">
        <f>E210-F210</f>
        <v/>
      </c>
      <c r="H210">
        <f>IF(E210&gt;0,F210/E210,0)</f>
        <v/>
      </c>
      <c r="I210" s="28" t="n">
        <v>46180</v>
      </c>
      <c r="J210" t="inlineStr">
        <is>
          <t>Pagado</t>
        </is>
      </c>
      <c r="K210" t="inlineStr">
        <is>
          <t>Ana Quintero</t>
        </is>
      </c>
    </row>
    <row r="211" ht="15.75" customHeight="1" s="25">
      <c r="A211" t="inlineStr">
        <is>
          <t>PAG-0209</t>
        </is>
      </c>
      <c r="B211" t="inlineStr">
        <is>
          <t>Rodrigo Cifuentes Vargas</t>
        </is>
      </c>
      <c r="C211" t="inlineStr">
        <is>
          <t>PRY-001</t>
        </is>
      </c>
      <c r="D211" t="inlineStr">
        <is>
          <t>Cuota inicial</t>
        </is>
      </c>
      <c r="E211" t="n">
        <v>179000000</v>
      </c>
      <c r="F211" t="n">
        <v>122666667</v>
      </c>
      <c r="G211">
        <f>E211-F211</f>
        <v/>
      </c>
      <c r="H211">
        <f>IF(E211&gt;0,F211/E211,0)</f>
        <v/>
      </c>
      <c r="I211" s="28" t="n">
        <v>46225</v>
      </c>
      <c r="J211" t="inlineStr">
        <is>
          <t>Al día</t>
        </is>
      </c>
      <c r="K211" t="inlineStr">
        <is>
          <t>Andrés Torres</t>
        </is>
      </c>
    </row>
    <row r="212" ht="15.75" customHeight="1" s="25">
      <c r="A212" t="inlineStr">
        <is>
          <t>PAG-0210</t>
        </is>
      </c>
      <c r="B212" t="inlineStr">
        <is>
          <t>María Higuita Quintero</t>
        </is>
      </c>
      <c r="C212" t="inlineStr">
        <is>
          <t>PRY-004</t>
        </is>
      </c>
      <c r="D212" t="inlineStr">
        <is>
          <t>Cuota inicial</t>
        </is>
      </c>
      <c r="E212" t="n">
        <v>138000000</v>
      </c>
      <c r="F212" t="n">
        <v>138000000</v>
      </c>
      <c r="G212">
        <f>E212-F212</f>
        <v/>
      </c>
      <c r="H212">
        <f>IF(E212&gt;0,F212/E212,0)</f>
        <v/>
      </c>
      <c r="I212" s="28" t="n">
        <v>45953</v>
      </c>
      <c r="J212" t="inlineStr">
        <is>
          <t>Pagado</t>
        </is>
      </c>
      <c r="K212" t="inlineStr">
        <is>
          <t>Santiago Muñoz</t>
        </is>
      </c>
    </row>
    <row r="213" ht="15.75" customHeight="1" s="25">
      <c r="A213" t="inlineStr">
        <is>
          <t>PAG-0211</t>
        </is>
      </c>
      <c r="B213" t="inlineStr">
        <is>
          <t>María Higuita Quintero</t>
        </is>
      </c>
      <c r="C213" t="inlineStr">
        <is>
          <t>PRY-004</t>
        </is>
      </c>
      <c r="D213" t="inlineStr">
        <is>
          <t>Escrituración</t>
        </is>
      </c>
      <c r="E213" t="n">
        <v>321000000</v>
      </c>
      <c r="F213" t="n">
        <v>321000000</v>
      </c>
      <c r="G213">
        <f>E213-F213</f>
        <v/>
      </c>
      <c r="H213">
        <f>IF(E213&gt;0,F213/E213,0)</f>
        <v/>
      </c>
      <c r="I213" s="28" t="n">
        <v>45999</v>
      </c>
      <c r="J213" t="inlineStr">
        <is>
          <t>Pagado</t>
        </is>
      </c>
      <c r="K213" t="inlineStr">
        <is>
          <t>Santiago Muñoz</t>
        </is>
      </c>
    </row>
    <row r="214" ht="15.75" customHeight="1" s="25">
      <c r="A214" t="inlineStr">
        <is>
          <t>PAG-0212</t>
        </is>
      </c>
      <c r="B214" t="inlineStr">
        <is>
          <t>Óscar Castaño Vargas</t>
        </is>
      </c>
      <c r="C214" t="inlineStr">
        <is>
          <t>PRY-005</t>
        </is>
      </c>
      <c r="D214" t="inlineStr">
        <is>
          <t>Cuota inicial</t>
        </is>
      </c>
      <c r="E214" t="n">
        <v>121000000</v>
      </c>
      <c r="F214" t="n">
        <v>91400000</v>
      </c>
      <c r="G214">
        <f>E214-F214</f>
        <v/>
      </c>
      <c r="H214">
        <f>IF(E214&gt;0,F214/E214,0)</f>
        <v/>
      </c>
      <c r="I214" s="28" t="n">
        <v>46227</v>
      </c>
      <c r="J214" t="inlineStr">
        <is>
          <t>Al día</t>
        </is>
      </c>
      <c r="K214" t="inlineStr">
        <is>
          <t>Ana Quintero</t>
        </is>
      </c>
    </row>
    <row r="215" ht="15.75" customHeight="1" s="25">
      <c r="A215" t="inlineStr">
        <is>
          <t>PAG-0213</t>
        </is>
      </c>
      <c r="B215" t="inlineStr">
        <is>
          <t>Isabel Pérez Echeverri</t>
        </is>
      </c>
      <c r="C215" t="inlineStr">
        <is>
          <t>PRY-004</t>
        </is>
      </c>
      <c r="D215" t="inlineStr">
        <is>
          <t>Cuota inicial</t>
        </is>
      </c>
      <c r="E215" t="n">
        <v>139000000</v>
      </c>
      <c r="F215" t="n">
        <v>139000000</v>
      </c>
      <c r="G215">
        <f>E215-F215</f>
        <v/>
      </c>
      <c r="H215">
        <f>IF(E215&gt;0,F215/E215,0)</f>
        <v/>
      </c>
      <c r="I215" s="28" t="n">
        <v>45957</v>
      </c>
      <c r="J215" t="inlineStr">
        <is>
          <t>Pagado</t>
        </is>
      </c>
      <c r="K215" t="inlineStr">
        <is>
          <t>Santiago Muñoz</t>
        </is>
      </c>
    </row>
    <row r="216" ht="15.75" customHeight="1" s="25">
      <c r="A216" t="inlineStr">
        <is>
          <t>PAG-0214</t>
        </is>
      </c>
      <c r="B216" t="inlineStr">
        <is>
          <t>Isabel Pérez Echeverri</t>
        </is>
      </c>
      <c r="C216" t="inlineStr">
        <is>
          <t>PRY-004</t>
        </is>
      </c>
      <c r="D216" t="inlineStr">
        <is>
          <t>Escrituración</t>
        </is>
      </c>
      <c r="E216" t="n">
        <v>325000000</v>
      </c>
      <c r="F216" t="n">
        <v>325000000</v>
      </c>
      <c r="G216">
        <f>E216-F216</f>
        <v/>
      </c>
      <c r="H216">
        <f>IF(E216&gt;0,F216/E216,0)</f>
        <v/>
      </c>
      <c r="I216" s="28" t="n">
        <v>46046</v>
      </c>
      <c r="J216" t="inlineStr">
        <is>
          <t>Pagado</t>
        </is>
      </c>
      <c r="K216" t="inlineStr">
        <is>
          <t>Santiago Muñoz</t>
        </is>
      </c>
    </row>
    <row r="217" ht="15.75" customHeight="1" s="25">
      <c r="A217" t="inlineStr">
        <is>
          <t>PAG-0215</t>
        </is>
      </c>
      <c r="B217" t="inlineStr">
        <is>
          <t>David Vélez Osorio</t>
        </is>
      </c>
      <c r="C217" t="inlineStr">
        <is>
          <t>PRY-002</t>
        </is>
      </c>
      <c r="D217" t="inlineStr">
        <is>
          <t>Cuota inicial</t>
        </is>
      </c>
      <c r="E217" t="n">
        <v>211000000</v>
      </c>
      <c r="F217" t="n">
        <v>123384615</v>
      </c>
      <c r="G217">
        <f>E217-F217</f>
        <v/>
      </c>
      <c r="H217">
        <f>IF(E217&gt;0,F217/E217,0)</f>
        <v/>
      </c>
      <c r="I217" s="28" t="n">
        <v>46231</v>
      </c>
      <c r="J217" t="inlineStr">
        <is>
          <t>Al día</t>
        </is>
      </c>
      <c r="K217" t="inlineStr">
        <is>
          <t>Andrés Torres</t>
        </is>
      </c>
    </row>
    <row r="218" ht="15.75" customHeight="1" s="25">
      <c r="A218" t="inlineStr">
        <is>
          <t>PAG-0216</t>
        </is>
      </c>
      <c r="B218" t="inlineStr">
        <is>
          <t>Diana Vargas Ochoa</t>
        </is>
      </c>
      <c r="C218" t="inlineStr">
        <is>
          <t>PRY-005</t>
        </is>
      </c>
      <c r="D218" t="inlineStr">
        <is>
          <t>Cuota inicial</t>
        </is>
      </c>
      <c r="E218" t="n">
        <v>102000000</v>
      </c>
      <c r="F218" t="n">
        <v>77466667</v>
      </c>
      <c r="G218">
        <f>E218-F218</f>
        <v/>
      </c>
      <c r="H218">
        <f>IF(E218&gt;0,F218/E218,0)</f>
        <v/>
      </c>
      <c r="I218" s="28" t="n">
        <v>46234</v>
      </c>
      <c r="J218" t="inlineStr">
        <is>
          <t>Al día</t>
        </is>
      </c>
      <c r="K218" t="inlineStr">
        <is>
          <t>Luis Bedoya</t>
        </is>
      </c>
    </row>
    <row r="219" ht="15.75" customHeight="1" s="25">
      <c r="A219" t="inlineStr">
        <is>
          <t>PAG-0217</t>
        </is>
      </c>
      <c r="B219" t="inlineStr">
        <is>
          <t>Laura Correa Duque</t>
        </is>
      </c>
      <c r="C219" t="inlineStr">
        <is>
          <t>PRY-003</t>
        </is>
      </c>
      <c r="D219" t="inlineStr">
        <is>
          <t>Cuota inicial</t>
        </is>
      </c>
      <c r="E219" t="n">
        <v>110000000</v>
      </c>
      <c r="F219" t="n">
        <v>91481481</v>
      </c>
      <c r="G219">
        <f>E219-F219</f>
        <v/>
      </c>
      <c r="H219">
        <f>IF(E219&gt;0,F219/E219,0)</f>
        <v/>
      </c>
      <c r="I219" s="28" t="n">
        <v>46234</v>
      </c>
      <c r="J219" t="inlineStr">
        <is>
          <t>Al día</t>
        </is>
      </c>
      <c r="K219" t="inlineStr">
        <is>
          <t>Sofía Prada</t>
        </is>
      </c>
    </row>
    <row r="220" ht="15.75" customHeight="1" s="25">
      <c r="A220" t="inlineStr">
        <is>
          <t>PAG-0218</t>
        </is>
      </c>
      <c r="B220" t="inlineStr">
        <is>
          <t>Nicolás Duque Bedoya</t>
        </is>
      </c>
      <c r="C220" t="inlineStr">
        <is>
          <t>PRY-005</t>
        </is>
      </c>
      <c r="D220" t="inlineStr">
        <is>
          <t>Cuota inicial</t>
        </is>
      </c>
      <c r="E220" t="n">
        <v>101000000</v>
      </c>
      <c r="F220" t="n">
        <v>75896552</v>
      </c>
      <c r="G220">
        <f>E220-F220</f>
        <v/>
      </c>
      <c r="H220">
        <f>IF(E220&gt;0,F220/E220,0)</f>
        <v/>
      </c>
      <c r="I220" s="28" t="n">
        <v>46204</v>
      </c>
      <c r="J220" t="inlineStr">
        <is>
          <t>Al día</t>
        </is>
      </c>
      <c r="K220" t="inlineStr">
        <is>
          <t>Ana Quintero</t>
        </is>
      </c>
    </row>
    <row r="221" ht="15.75" customHeight="1" s="25">
      <c r="A221" t="inlineStr">
        <is>
          <t>PAG-0219</t>
        </is>
      </c>
      <c r="B221" t="inlineStr">
        <is>
          <t>Cristian Mejía Castaño</t>
        </is>
      </c>
      <c r="C221" t="inlineStr">
        <is>
          <t>PRY-004</t>
        </is>
      </c>
      <c r="D221" t="inlineStr">
        <is>
          <t>Cuota inicial</t>
        </is>
      </c>
      <c r="E221" t="n">
        <v>161000000</v>
      </c>
      <c r="F221" t="n">
        <v>161000000</v>
      </c>
      <c r="G221">
        <f>E221-F221</f>
        <v/>
      </c>
      <c r="H221">
        <f>IF(E221&gt;0,F221/E221,0)</f>
        <v/>
      </c>
      <c r="I221" s="28" t="n">
        <v>45932</v>
      </c>
      <c r="J221" t="inlineStr">
        <is>
          <t>Pagado</t>
        </is>
      </c>
      <c r="K221" t="inlineStr">
        <is>
          <t>Paula Arenas</t>
        </is>
      </c>
    </row>
    <row r="222" ht="15.75" customHeight="1" s="25">
      <c r="A222" t="inlineStr">
        <is>
          <t>PAG-0220</t>
        </is>
      </c>
      <c r="B222" t="inlineStr">
        <is>
          <t>Cristian Mejía Castaño</t>
        </is>
      </c>
      <c r="C222" t="inlineStr">
        <is>
          <t>PRY-004</t>
        </is>
      </c>
      <c r="D222" t="inlineStr">
        <is>
          <t>Escrituración</t>
        </is>
      </c>
      <c r="E222" t="n">
        <v>377000000</v>
      </c>
      <c r="F222" t="n">
        <v>377000000</v>
      </c>
      <c r="G222">
        <f>E222-F222</f>
        <v/>
      </c>
      <c r="H222">
        <f>IF(E222&gt;0,F222/E222,0)</f>
        <v/>
      </c>
      <c r="I222" s="28" t="n">
        <v>46031</v>
      </c>
      <c r="J222" t="inlineStr">
        <is>
          <t>Pagado</t>
        </is>
      </c>
      <c r="K222" t="inlineStr">
        <is>
          <t>Paula Arenas</t>
        </is>
      </c>
    </row>
    <row r="223" ht="15.75" customHeight="1" s="25">
      <c r="A223" t="inlineStr">
        <is>
          <t>PAG-0221</t>
        </is>
      </c>
      <c r="B223" t="inlineStr">
        <is>
          <t>María Restrepo Ramírez</t>
        </is>
      </c>
      <c r="C223" t="inlineStr">
        <is>
          <t>PRY-004</t>
        </is>
      </c>
      <c r="D223" t="inlineStr">
        <is>
          <t>Cuota inicial</t>
        </is>
      </c>
      <c r="E223" t="n">
        <v>157000000</v>
      </c>
      <c r="F223" t="n">
        <v>157000000</v>
      </c>
      <c r="G223">
        <f>E223-F223</f>
        <v/>
      </c>
      <c r="H223">
        <f>IF(E223&gt;0,F223/E223,0)</f>
        <v/>
      </c>
      <c r="I223" s="28" t="n">
        <v>45935</v>
      </c>
      <c r="J223" t="inlineStr">
        <is>
          <t>Pagado</t>
        </is>
      </c>
      <c r="K223" t="inlineStr">
        <is>
          <t>Andrés Torres</t>
        </is>
      </c>
    </row>
    <row r="224" ht="15.75" customHeight="1" s="25">
      <c r="A224" t="inlineStr">
        <is>
          <t>PAG-0222</t>
        </is>
      </c>
      <c r="B224" t="inlineStr">
        <is>
          <t>María Restrepo Ramírez</t>
        </is>
      </c>
      <c r="C224" t="inlineStr">
        <is>
          <t>PRY-004</t>
        </is>
      </c>
      <c r="D224" t="inlineStr">
        <is>
          <t>Escrituración</t>
        </is>
      </c>
      <c r="E224" t="n">
        <v>366000000</v>
      </c>
      <c r="F224" t="n">
        <v>366000000</v>
      </c>
      <c r="G224">
        <f>E224-F224</f>
        <v/>
      </c>
      <c r="H224">
        <f>IF(E224&gt;0,F224/E224,0)</f>
        <v/>
      </c>
      <c r="I224" s="28" t="n">
        <v>46057</v>
      </c>
      <c r="J224" t="inlineStr">
        <is>
          <t>Pagado</t>
        </is>
      </c>
      <c r="K224" t="inlineStr">
        <is>
          <t>Andrés Torres</t>
        </is>
      </c>
    </row>
    <row r="225" ht="15.75" customHeight="1" s="25">
      <c r="A225" t="inlineStr">
        <is>
          <t>PAG-0223</t>
        </is>
      </c>
      <c r="B225" t="inlineStr">
        <is>
          <t>Nicolás Bedoya Higuita</t>
        </is>
      </c>
      <c r="C225" t="inlineStr">
        <is>
          <t>PRY-001</t>
        </is>
      </c>
      <c r="D225" t="inlineStr">
        <is>
          <t>Cuota inicial</t>
        </is>
      </c>
      <c r="E225" t="n">
        <v>251000000</v>
      </c>
      <c r="F225" t="n">
        <v>168156250</v>
      </c>
      <c r="G225">
        <f>E225-F225</f>
        <v/>
      </c>
      <c r="H225">
        <f>IF(E225&gt;0,F225/E225,0)</f>
        <v/>
      </c>
      <c r="I225" s="28" t="n">
        <v>46209</v>
      </c>
      <c r="J225" t="inlineStr">
        <is>
          <t>Al día</t>
        </is>
      </c>
      <c r="K225" t="inlineStr">
        <is>
          <t>Sofía Prada</t>
        </is>
      </c>
    </row>
    <row r="226" ht="15.75" customHeight="1" s="25">
      <c r="A226" t="inlineStr">
        <is>
          <t>PAG-0224</t>
        </is>
      </c>
      <c r="B226" t="inlineStr">
        <is>
          <t>Sandra Uribe Montes</t>
        </is>
      </c>
      <c r="C226" t="inlineStr">
        <is>
          <t>PRY-007</t>
        </is>
      </c>
      <c r="D226" t="inlineStr">
        <is>
          <t>Cuota inicial</t>
        </is>
      </c>
      <c r="E226" t="n">
        <v>194000000</v>
      </c>
      <c r="F226" t="n">
        <v>120400000</v>
      </c>
      <c r="G226">
        <f>E226-F226</f>
        <v/>
      </c>
      <c r="H226">
        <f>IF(E226&gt;0,F226/E226,0)</f>
        <v/>
      </c>
      <c r="I226" s="28" t="n">
        <v>46209</v>
      </c>
      <c r="J226" t="inlineStr">
        <is>
          <t>Al día</t>
        </is>
      </c>
      <c r="K226" t="inlineStr">
        <is>
          <t>Juliana Vélez</t>
        </is>
      </c>
    </row>
    <row r="227" ht="15.75" customHeight="1" s="25">
      <c r="A227" t="inlineStr">
        <is>
          <t>PAG-0225</t>
        </is>
      </c>
      <c r="B227" t="inlineStr">
        <is>
          <t>Sara Muñoz Bedoya</t>
        </is>
      </c>
      <c r="C227" t="inlineStr">
        <is>
          <t>PRY-005</t>
        </is>
      </c>
      <c r="D227" t="inlineStr">
        <is>
          <t>Cuota inicial</t>
        </is>
      </c>
      <c r="E227" t="n">
        <v>130000000</v>
      </c>
      <c r="F227" t="n">
        <v>96896552</v>
      </c>
      <c r="G227">
        <f>E227-F227</f>
        <v/>
      </c>
      <c r="H227">
        <f>IF(E227&gt;0,F227/E227,0)</f>
        <v/>
      </c>
      <c r="I227" s="28" t="n">
        <v>46212</v>
      </c>
      <c r="J227" t="inlineStr">
        <is>
          <t>Al día</t>
        </is>
      </c>
      <c r="K227" t="inlineStr">
        <is>
          <t>Santiago Muñoz</t>
        </is>
      </c>
    </row>
    <row r="228" ht="15.75" customHeight="1" s="25">
      <c r="A228" t="inlineStr">
        <is>
          <t>PAG-0226</t>
        </is>
      </c>
      <c r="B228" t="inlineStr">
        <is>
          <t>Carolina Gaviria Toro</t>
        </is>
      </c>
      <c r="C228" t="inlineStr">
        <is>
          <t>PRY-003</t>
        </is>
      </c>
      <c r="D228" t="inlineStr">
        <is>
          <t>Cuota inicial</t>
        </is>
      </c>
      <c r="E228" t="n">
        <v>123000000</v>
      </c>
      <c r="F228" t="n">
        <v>101269231</v>
      </c>
      <c r="G228">
        <f>E228-F228</f>
        <v/>
      </c>
      <c r="H228">
        <f>IF(E228&gt;0,F228/E228,0)</f>
        <v/>
      </c>
      <c r="I228" s="28" t="n">
        <v>46212</v>
      </c>
      <c r="J228" t="inlineStr">
        <is>
          <t>Al día</t>
        </is>
      </c>
      <c r="K228" t="inlineStr">
        <is>
          <t>Santiago Muñoz</t>
        </is>
      </c>
    </row>
    <row r="229" ht="15.75" customHeight="1" s="25">
      <c r="A229" t="inlineStr">
        <is>
          <t>PAG-0227</t>
        </is>
      </c>
      <c r="B229" t="inlineStr">
        <is>
          <t>Diego Escobar Hernández</t>
        </is>
      </c>
      <c r="C229" t="inlineStr">
        <is>
          <t>PRY-003</t>
        </is>
      </c>
      <c r="D229" t="inlineStr">
        <is>
          <t>Cuota inicial</t>
        </is>
      </c>
      <c r="E229" t="n">
        <v>107000000</v>
      </c>
      <c r="F229" t="n">
        <v>88346154</v>
      </c>
      <c r="G229">
        <f>E229-F229</f>
        <v/>
      </c>
      <c r="H229">
        <f>IF(E229&gt;0,F229/E229,0)</f>
        <v/>
      </c>
      <c r="I229" s="28" t="n">
        <v>46213</v>
      </c>
      <c r="J229" t="inlineStr">
        <is>
          <t>Al día</t>
        </is>
      </c>
      <c r="K229" t="inlineStr">
        <is>
          <t>Luis Bedoya</t>
        </is>
      </c>
    </row>
    <row r="230" ht="15.75" customHeight="1" s="25">
      <c r="A230" t="inlineStr">
        <is>
          <t>PAG-0228</t>
        </is>
      </c>
      <c r="B230" t="inlineStr">
        <is>
          <t>Julián Giraldo Vélez</t>
        </is>
      </c>
      <c r="C230" t="inlineStr">
        <is>
          <t>PRY-005</t>
        </is>
      </c>
      <c r="D230" t="inlineStr">
        <is>
          <t>Cuota inicial</t>
        </is>
      </c>
      <c r="E230" t="n">
        <v>114000000</v>
      </c>
      <c r="F230" t="n">
        <v>74551724</v>
      </c>
      <c r="G230">
        <f>E230-F230</f>
        <v/>
      </c>
      <c r="H230">
        <f>IF(E230&gt;0,F230/E230,0)</f>
        <v/>
      </c>
      <c r="I230" s="28" t="n">
        <v>46122</v>
      </c>
      <c r="J230" t="inlineStr">
        <is>
          <t>En mora</t>
        </is>
      </c>
      <c r="K230" t="inlineStr">
        <is>
          <t>Santiago Muñoz</t>
        </is>
      </c>
    </row>
    <row r="231" ht="15.75" customHeight="1" s="25">
      <c r="A231" t="inlineStr">
        <is>
          <t>PAG-0229</t>
        </is>
      </c>
      <c r="B231" t="inlineStr">
        <is>
          <t>Laura Palacio Arango</t>
        </is>
      </c>
      <c r="C231" t="inlineStr">
        <is>
          <t>PRY-003</t>
        </is>
      </c>
      <c r="D231" t="inlineStr">
        <is>
          <t>Cuota inicial</t>
        </is>
      </c>
      <c r="E231" t="n">
        <v>112000000</v>
      </c>
      <c r="F231" t="n">
        <v>92384615</v>
      </c>
      <c r="G231">
        <f>E231-F231</f>
        <v/>
      </c>
      <c r="H231">
        <f>IF(E231&gt;0,F231/E231,0)</f>
        <v/>
      </c>
      <c r="I231" s="28" t="n">
        <v>46215</v>
      </c>
      <c r="J231" t="inlineStr">
        <is>
          <t>Al día</t>
        </is>
      </c>
      <c r="K231" t="inlineStr">
        <is>
          <t>Ana Quintero</t>
        </is>
      </c>
    </row>
    <row r="232" ht="15.75" customHeight="1" s="25">
      <c r="A232" t="inlineStr">
        <is>
          <t>PAG-0230</t>
        </is>
      </c>
      <c r="B232" t="inlineStr">
        <is>
          <t>David Cardona Cano</t>
        </is>
      </c>
      <c r="C232" t="inlineStr">
        <is>
          <t>PRY-008</t>
        </is>
      </c>
      <c r="D232" t="inlineStr">
        <is>
          <t>Cuota inicial</t>
        </is>
      </c>
      <c r="E232" t="n">
        <v>27000000</v>
      </c>
      <c r="F232" t="n">
        <v>27000000</v>
      </c>
      <c r="G232">
        <f>E232-F232</f>
        <v/>
      </c>
      <c r="H232">
        <f>IF(E232&gt;0,F232/E232,0)</f>
        <v/>
      </c>
      <c r="I232" s="28" t="n">
        <v>46066</v>
      </c>
      <c r="J232" t="inlineStr">
        <is>
          <t>Pagado</t>
        </is>
      </c>
      <c r="K232" t="inlineStr">
        <is>
          <t>Paula Arenas</t>
        </is>
      </c>
    </row>
    <row r="233" ht="15.75" customHeight="1" s="25">
      <c r="A233" t="inlineStr">
        <is>
          <t>PAG-0231</t>
        </is>
      </c>
      <c r="B233" t="inlineStr">
        <is>
          <t>David Cardona Cano</t>
        </is>
      </c>
      <c r="C233" t="inlineStr">
        <is>
          <t>PRY-008</t>
        </is>
      </c>
      <c r="D233" t="inlineStr">
        <is>
          <t>Escrituración</t>
        </is>
      </c>
      <c r="E233" t="n">
        <v>108000000</v>
      </c>
      <c r="F233" t="n">
        <v>108000000</v>
      </c>
      <c r="G233">
        <f>E233-F233</f>
        <v/>
      </c>
      <c r="H233">
        <f>IF(E233&gt;0,F233/E233,0)</f>
        <v/>
      </c>
      <c r="I233" s="28" t="n">
        <v>46146</v>
      </c>
      <c r="J233" t="inlineStr">
        <is>
          <t>Pagado</t>
        </is>
      </c>
      <c r="K233" t="inlineStr">
        <is>
          <t>Paula Arenas</t>
        </is>
      </c>
    </row>
    <row r="234" ht="15.75" customHeight="1" s="25">
      <c r="A234" t="inlineStr">
        <is>
          <t>PAG-0232</t>
        </is>
      </c>
      <c r="B234" t="inlineStr">
        <is>
          <t>Laura Espinosa Vélez</t>
        </is>
      </c>
      <c r="C234" t="inlineStr">
        <is>
          <t>PRY-002</t>
        </is>
      </c>
      <c r="D234" t="inlineStr">
        <is>
          <t>Cuota inicial</t>
        </is>
      </c>
      <c r="E234" t="n">
        <v>207000000</v>
      </c>
      <c r="F234" t="n">
        <v>118868421</v>
      </c>
      <c r="G234">
        <f>E234-F234</f>
        <v/>
      </c>
      <c r="H234">
        <f>IF(E234&gt;0,F234/E234,0)</f>
        <v/>
      </c>
      <c r="I234" s="28" t="n">
        <v>46218</v>
      </c>
      <c r="J234" t="inlineStr">
        <is>
          <t>Al día</t>
        </is>
      </c>
      <c r="K234" t="inlineStr">
        <is>
          <t>Paula Arenas</t>
        </is>
      </c>
    </row>
    <row r="235" ht="15.75" customHeight="1" s="25">
      <c r="A235" t="inlineStr">
        <is>
          <t>PAG-0233</t>
        </is>
      </c>
      <c r="B235" t="inlineStr">
        <is>
          <t>Fernando Ríos Vargas</t>
        </is>
      </c>
      <c r="C235" t="inlineStr">
        <is>
          <t>PRY-001</t>
        </is>
      </c>
      <c r="D235" t="inlineStr">
        <is>
          <t>Cuota inicial</t>
        </is>
      </c>
      <c r="E235" t="n">
        <v>251000000</v>
      </c>
      <c r="F235" t="n">
        <v>168156250</v>
      </c>
      <c r="G235">
        <f>E235-F235</f>
        <v/>
      </c>
      <c r="H235">
        <f>IF(E235&gt;0,F235/E235,0)</f>
        <v/>
      </c>
      <c r="I235" s="28" t="n">
        <v>46219</v>
      </c>
      <c r="J235" t="inlineStr">
        <is>
          <t>Al día</t>
        </is>
      </c>
      <c r="K235" t="inlineStr">
        <is>
          <t>Andrés Torres</t>
        </is>
      </c>
    </row>
    <row r="236" ht="15.75" customHeight="1" s="25">
      <c r="A236" t="inlineStr">
        <is>
          <t>PAG-0234</t>
        </is>
      </c>
      <c r="B236" t="inlineStr">
        <is>
          <t>Diana Peláez Montes</t>
        </is>
      </c>
      <c r="C236" t="inlineStr">
        <is>
          <t>PRY-008</t>
        </is>
      </c>
      <c r="D236" t="inlineStr">
        <is>
          <t>Cuota inicial</t>
        </is>
      </c>
      <c r="E236" t="n">
        <v>31000000</v>
      </c>
      <c r="F236" t="n">
        <v>31000000</v>
      </c>
      <c r="G236">
        <f>E236-F236</f>
        <v/>
      </c>
      <c r="H236">
        <f>IF(E236&gt;0,F236/E236,0)</f>
        <v/>
      </c>
      <c r="I236" s="28" t="n">
        <v>46070</v>
      </c>
      <c r="J236" t="inlineStr">
        <is>
          <t>Pagado</t>
        </is>
      </c>
      <c r="K236" t="inlineStr">
        <is>
          <t>Juliana Vélez</t>
        </is>
      </c>
    </row>
    <row r="237" ht="15.75" customHeight="1" s="25">
      <c r="A237" t="inlineStr">
        <is>
          <t>PAG-0235</t>
        </is>
      </c>
      <c r="B237" t="inlineStr">
        <is>
          <t>Diana Peláez Montes</t>
        </is>
      </c>
      <c r="C237" t="inlineStr">
        <is>
          <t>PRY-008</t>
        </is>
      </c>
      <c r="D237" t="inlineStr">
        <is>
          <t>Escrituración</t>
        </is>
      </c>
      <c r="E237" t="n">
        <v>122000000</v>
      </c>
      <c r="F237" t="n">
        <v>122000000</v>
      </c>
      <c r="G237">
        <f>E237-F237</f>
        <v/>
      </c>
      <c r="H237">
        <f>IF(E237&gt;0,F237/E237,0)</f>
        <v/>
      </c>
      <c r="I237" s="28" t="n">
        <v>46115</v>
      </c>
      <c r="J237" t="inlineStr">
        <is>
          <t>Pagado</t>
        </is>
      </c>
      <c r="K237" t="inlineStr">
        <is>
          <t>Juliana Vélez</t>
        </is>
      </c>
    </row>
    <row r="238" ht="15.75" customHeight="1" s="25">
      <c r="A238" t="inlineStr">
        <is>
          <t>PAG-0236</t>
        </is>
      </c>
      <c r="B238" t="inlineStr">
        <is>
          <t>Gabriel Ramírez Franco</t>
        </is>
      </c>
      <c r="C238" t="inlineStr">
        <is>
          <t>PRY-008</t>
        </is>
      </c>
      <c r="D238" t="inlineStr">
        <is>
          <t>Cuota inicial</t>
        </is>
      </c>
      <c r="E238" t="n">
        <v>26000000</v>
      </c>
      <c r="F238" t="n">
        <v>21941176</v>
      </c>
      <c r="G238">
        <f>E238-F238</f>
        <v/>
      </c>
      <c r="H238">
        <f>IF(E238&gt;0,F238/E238,0)</f>
        <v/>
      </c>
      <c r="I238" s="28" t="n">
        <v>46009</v>
      </c>
      <c r="J238" t="inlineStr">
        <is>
          <t>En mora</t>
        </is>
      </c>
      <c r="K238" t="inlineStr">
        <is>
          <t>Luis Bedoya</t>
        </is>
      </c>
    </row>
    <row r="239" ht="15.75" customHeight="1" s="25">
      <c r="A239" t="inlineStr">
        <is>
          <t>PAG-0237</t>
        </is>
      </c>
      <c r="B239" t="inlineStr">
        <is>
          <t>María Montoya Quintero</t>
        </is>
      </c>
      <c r="C239" t="inlineStr">
        <is>
          <t>PRY-003</t>
        </is>
      </c>
      <c r="D239" t="inlineStr">
        <is>
          <t>Cuota inicial</t>
        </is>
      </c>
      <c r="E239" t="n">
        <v>96000000</v>
      </c>
      <c r="F239" t="n">
        <v>79461538</v>
      </c>
      <c r="G239">
        <f>E239-F239</f>
        <v/>
      </c>
      <c r="H239">
        <f>IF(E239&gt;0,F239/E239,0)</f>
        <v/>
      </c>
      <c r="I239" s="28" t="n">
        <v>46224</v>
      </c>
      <c r="J239" t="inlineStr">
        <is>
          <t>Al día</t>
        </is>
      </c>
      <c r="K239" t="inlineStr">
        <is>
          <t>Paula Arenas</t>
        </is>
      </c>
    </row>
    <row r="240" ht="15.75" customHeight="1" s="25">
      <c r="A240" t="inlineStr">
        <is>
          <t>PAG-0238</t>
        </is>
      </c>
      <c r="B240" t="inlineStr">
        <is>
          <t>Óscar Espinosa Sánchez</t>
        </is>
      </c>
      <c r="C240" t="inlineStr">
        <is>
          <t>PRY-003</t>
        </is>
      </c>
      <c r="D240" t="inlineStr">
        <is>
          <t>Cuota inicial</t>
        </is>
      </c>
      <c r="E240" t="n">
        <v>92000000</v>
      </c>
      <c r="F240" t="n">
        <v>76230769</v>
      </c>
      <c r="G240">
        <f>E240-F240</f>
        <v/>
      </c>
      <c r="H240">
        <f>IF(E240&gt;0,F240/E240,0)</f>
        <v/>
      </c>
      <c r="I240" s="28" t="n">
        <v>46225</v>
      </c>
      <c r="J240" t="inlineStr">
        <is>
          <t>Al día</t>
        </is>
      </c>
      <c r="K240" t="inlineStr">
        <is>
          <t>Andrés Torres</t>
        </is>
      </c>
    </row>
    <row r="241" ht="15.75" customHeight="1" s="25">
      <c r="A241" t="inlineStr">
        <is>
          <t>PAG-0239</t>
        </is>
      </c>
      <c r="B241" t="inlineStr">
        <is>
          <t>Diana Salcedo Jaramillo</t>
        </is>
      </c>
      <c r="C241" t="inlineStr">
        <is>
          <t>PRY-004</t>
        </is>
      </c>
      <c r="D241" t="inlineStr">
        <is>
          <t>Cuota inicial</t>
        </is>
      </c>
      <c r="E241" t="n">
        <v>129000000</v>
      </c>
      <c r="F241" t="n">
        <v>129000000</v>
      </c>
      <c r="G241">
        <f>E241-F241</f>
        <v/>
      </c>
      <c r="H241">
        <f>IF(E241&gt;0,F241/E241,0)</f>
        <v/>
      </c>
      <c r="I241" s="28" t="n">
        <v>45952</v>
      </c>
      <c r="J241" t="inlineStr">
        <is>
          <t>Pagado</t>
        </is>
      </c>
      <c r="K241" t="inlineStr">
        <is>
          <t>Luis Bedoya</t>
        </is>
      </c>
    </row>
    <row r="242" ht="15.75" customHeight="1" s="25">
      <c r="A242" t="inlineStr">
        <is>
          <t>PAG-0240</t>
        </is>
      </c>
      <c r="B242" t="inlineStr">
        <is>
          <t>Diana Salcedo Jaramillo</t>
        </is>
      </c>
      <c r="C242" t="inlineStr">
        <is>
          <t>PRY-004</t>
        </is>
      </c>
      <c r="D242" t="inlineStr">
        <is>
          <t>Escrituración</t>
        </is>
      </c>
      <c r="E242" t="n">
        <v>302000000</v>
      </c>
      <c r="F242" t="n">
        <v>302000000</v>
      </c>
      <c r="G242">
        <f>E242-F242</f>
        <v/>
      </c>
      <c r="H242">
        <f>IF(E242&gt;0,F242/E242,0)</f>
        <v/>
      </c>
      <c r="I242" s="28" t="n">
        <v>46032</v>
      </c>
      <c r="J242" t="inlineStr">
        <is>
          <t>Pagado</t>
        </is>
      </c>
      <c r="K242" t="inlineStr">
        <is>
          <t>Luis Bedoya</t>
        </is>
      </c>
    </row>
    <row r="243" ht="15.75" customHeight="1" s="25">
      <c r="A243" t="inlineStr">
        <is>
          <t>PAG-0241</t>
        </is>
      </c>
      <c r="B243" t="inlineStr">
        <is>
          <t>Wilson López López</t>
        </is>
      </c>
      <c r="C243" t="inlineStr">
        <is>
          <t>PRY-007</t>
        </is>
      </c>
      <c r="D243" t="inlineStr">
        <is>
          <t>Cuota inicial</t>
        </is>
      </c>
      <c r="E243" t="n">
        <v>176000000</v>
      </c>
      <c r="F243" t="n">
        <v>109600000</v>
      </c>
      <c r="G243">
        <f>E243-F243</f>
        <v/>
      </c>
      <c r="H243">
        <f>IF(E243&gt;0,F243/E243,0)</f>
        <v/>
      </c>
      <c r="I243" s="28" t="n">
        <v>46226</v>
      </c>
      <c r="J243" t="inlineStr">
        <is>
          <t>Al día</t>
        </is>
      </c>
      <c r="K243" t="inlineStr">
        <is>
          <t>Luis Bedoya</t>
        </is>
      </c>
    </row>
    <row r="244" ht="15.75" customHeight="1" s="25">
      <c r="A244" t="inlineStr">
        <is>
          <t>PAG-0242</t>
        </is>
      </c>
      <c r="B244" t="inlineStr">
        <is>
          <t>Mónica Gaviria Gaviria</t>
        </is>
      </c>
      <c r="C244" t="inlineStr">
        <is>
          <t>PRY-004</t>
        </is>
      </c>
      <c r="D244" t="inlineStr">
        <is>
          <t>Cuota inicial</t>
        </is>
      </c>
      <c r="E244" t="n">
        <v>142000000</v>
      </c>
      <c r="F244" t="n">
        <v>142000000</v>
      </c>
      <c r="G244">
        <f>E244-F244</f>
        <v/>
      </c>
      <c r="H244">
        <f>IF(E244&gt;0,F244/E244,0)</f>
        <v/>
      </c>
      <c r="I244" s="28" t="n">
        <v>45958</v>
      </c>
      <c r="J244" t="inlineStr">
        <is>
          <t>Pagado</t>
        </is>
      </c>
      <c r="K244" t="inlineStr">
        <is>
          <t>Juliana Vélez</t>
        </is>
      </c>
    </row>
    <row r="245" ht="15.75" customHeight="1" s="25">
      <c r="A245" t="inlineStr">
        <is>
          <t>PAG-0243</t>
        </is>
      </c>
      <c r="B245" t="inlineStr">
        <is>
          <t>Mónica Gaviria Gaviria</t>
        </is>
      </c>
      <c r="C245" t="inlineStr">
        <is>
          <t>PRY-004</t>
        </is>
      </c>
      <c r="D245" t="inlineStr">
        <is>
          <t>Escrituración</t>
        </is>
      </c>
      <c r="E245" t="n">
        <v>330000000</v>
      </c>
      <c r="F245" t="n">
        <v>330000000</v>
      </c>
      <c r="G245">
        <f>E245-F245</f>
        <v/>
      </c>
      <c r="H245">
        <f>IF(E245&gt;0,F245/E245,0)</f>
        <v/>
      </c>
      <c r="I245" s="28" t="n">
        <v>45998</v>
      </c>
      <c r="J245" t="inlineStr">
        <is>
          <t>Pagado</t>
        </is>
      </c>
      <c r="K245" t="inlineStr">
        <is>
          <t>Juliana Vélez</t>
        </is>
      </c>
    </row>
    <row r="246" ht="15.75" customHeight="1" s="25">
      <c r="A246" t="inlineStr">
        <is>
          <t>PAG-0244</t>
        </is>
      </c>
      <c r="B246" t="inlineStr">
        <is>
          <t>Cristian Ochoa Betancur</t>
        </is>
      </c>
      <c r="C246" t="inlineStr">
        <is>
          <t>PRY-004</t>
        </is>
      </c>
      <c r="D246" t="inlineStr">
        <is>
          <t>Cuota inicial</t>
        </is>
      </c>
      <c r="E246" t="n">
        <v>160000000</v>
      </c>
      <c r="F246" t="n">
        <v>160000000</v>
      </c>
      <c r="G246">
        <f>E246-F246</f>
        <v/>
      </c>
      <c r="H246">
        <f>IF(E246&gt;0,F246/E246,0)</f>
        <v/>
      </c>
      <c r="I246" s="28" t="n">
        <v>45959</v>
      </c>
      <c r="J246" t="inlineStr">
        <is>
          <t>Pagado</t>
        </is>
      </c>
      <c r="K246" t="inlineStr">
        <is>
          <t>Andrés Torres</t>
        </is>
      </c>
    </row>
    <row r="247" ht="15.75" customHeight="1" s="25">
      <c r="A247" t="inlineStr">
        <is>
          <t>PAG-0245</t>
        </is>
      </c>
      <c r="B247" t="inlineStr">
        <is>
          <t>Cristian Ochoa Betancur</t>
        </is>
      </c>
      <c r="C247" t="inlineStr">
        <is>
          <t>PRY-004</t>
        </is>
      </c>
      <c r="D247" t="inlineStr">
        <is>
          <t>Escrituración</t>
        </is>
      </c>
      <c r="E247" t="n">
        <v>373000000</v>
      </c>
      <c r="F247" t="n">
        <v>373000000</v>
      </c>
      <c r="G247">
        <f>E247-F247</f>
        <v/>
      </c>
      <c r="H247">
        <f>IF(E247&gt;0,F247/E247,0)</f>
        <v/>
      </c>
      <c r="I247" s="28" t="n">
        <v>46014</v>
      </c>
      <c r="J247" t="inlineStr">
        <is>
          <t>Pagado</t>
        </is>
      </c>
      <c r="K247" t="inlineStr">
        <is>
          <t>Andrés Torres</t>
        </is>
      </c>
    </row>
    <row r="248" ht="15.75" customHeight="1" s="25">
      <c r="A248" t="inlineStr">
        <is>
          <t>PAG-0246</t>
        </is>
      </c>
      <c r="B248" t="inlineStr">
        <is>
          <t>Nicolás Cardona Cardona</t>
        </is>
      </c>
      <c r="C248" t="inlineStr">
        <is>
          <t>PRY-007</t>
        </is>
      </c>
      <c r="D248" t="inlineStr">
        <is>
          <t>Cuota inicial</t>
        </is>
      </c>
      <c r="E248" t="n">
        <v>194000000</v>
      </c>
      <c r="F248" t="n">
        <v>120400000</v>
      </c>
      <c r="G248">
        <f>E248-F248</f>
        <v/>
      </c>
      <c r="H248">
        <f>IF(E248&gt;0,F248/E248,0)</f>
        <v/>
      </c>
      <c r="I248" s="28" t="n">
        <v>46233</v>
      </c>
      <c r="J248" t="inlineStr">
        <is>
          <t>Al día</t>
        </is>
      </c>
      <c r="K248" t="inlineStr">
        <is>
          <t>Miguel Salazar</t>
        </is>
      </c>
    </row>
    <row r="249" ht="15.75" customHeight="1" s="25">
      <c r="A249" t="inlineStr">
        <is>
          <t>PAG-0247</t>
        </is>
      </c>
      <c r="B249" t="inlineStr">
        <is>
          <t>Carlos Rojas Cardona</t>
        </is>
      </c>
      <c r="C249" t="inlineStr">
        <is>
          <t>PRY-001</t>
        </is>
      </c>
      <c r="D249" t="inlineStr">
        <is>
          <t>Cuota inicial</t>
        </is>
      </c>
      <c r="E249" t="n">
        <v>202000000</v>
      </c>
      <c r="F249" t="n">
        <v>136000000</v>
      </c>
      <c r="G249">
        <f>E249-F249</f>
        <v/>
      </c>
      <c r="H249">
        <f>IF(E249&gt;0,F249/E249,0)</f>
        <v/>
      </c>
      <c r="I249" s="28" t="n">
        <v>46233</v>
      </c>
      <c r="J249" t="inlineStr">
        <is>
          <t>Al día</t>
        </is>
      </c>
      <c r="K249" t="inlineStr">
        <is>
          <t>Sofía Prada</t>
        </is>
      </c>
    </row>
    <row r="250" ht="15.75" customHeight="1" s="25">
      <c r="A250" t="inlineStr">
        <is>
          <t>PAG-0248</t>
        </is>
      </c>
      <c r="B250" t="inlineStr">
        <is>
          <t>Paola Echeverri Osorio</t>
        </is>
      </c>
      <c r="C250" t="inlineStr">
        <is>
          <t>PRY-007</t>
        </is>
      </c>
      <c r="D250" t="inlineStr">
        <is>
          <t>Cuota inicial</t>
        </is>
      </c>
      <c r="E250" t="n">
        <v>181000000</v>
      </c>
      <c r="F250" t="n">
        <v>110588235</v>
      </c>
      <c r="G250">
        <f>E250-F250</f>
        <v/>
      </c>
      <c r="H250">
        <f>IF(E250&gt;0,F250/E250,0)</f>
        <v/>
      </c>
      <c r="I250" s="28" t="n">
        <v>46204</v>
      </c>
      <c r="J250" t="inlineStr">
        <is>
          <t>Al día</t>
        </is>
      </c>
      <c r="K250" t="inlineStr">
        <is>
          <t>Paula Arenas</t>
        </is>
      </c>
    </row>
    <row r="251" ht="15.75" customHeight="1" s="25">
      <c r="A251" t="inlineStr">
        <is>
          <t>PAG-0249</t>
        </is>
      </c>
      <c r="B251" t="inlineStr">
        <is>
          <t>Iván Arango Gaviria</t>
        </is>
      </c>
      <c r="C251" t="inlineStr">
        <is>
          <t>PRY-004</t>
        </is>
      </c>
      <c r="D251" t="inlineStr">
        <is>
          <t>Cuota inicial</t>
        </is>
      </c>
      <c r="E251" t="n">
        <v>166000000</v>
      </c>
      <c r="F251" t="n">
        <v>166000000</v>
      </c>
      <c r="G251">
        <f>E251-F251</f>
        <v/>
      </c>
      <c r="H251">
        <f>IF(E251&gt;0,F251/E251,0)</f>
        <v/>
      </c>
      <c r="I251" s="28" t="n">
        <v>45931</v>
      </c>
      <c r="J251" t="inlineStr">
        <is>
          <t>Pagado</t>
        </is>
      </c>
      <c r="K251" t="inlineStr">
        <is>
          <t>Sofía Prada</t>
        </is>
      </c>
    </row>
    <row r="252" ht="15.75" customHeight="1" s="25">
      <c r="A252" t="inlineStr">
        <is>
          <t>PAG-0250</t>
        </is>
      </c>
      <c r="B252" t="inlineStr">
        <is>
          <t>Iván Arango Gaviria</t>
        </is>
      </c>
      <c r="C252" t="inlineStr">
        <is>
          <t>PRY-004</t>
        </is>
      </c>
      <c r="D252" t="inlineStr">
        <is>
          <t>Escrituración</t>
        </is>
      </c>
      <c r="E252" t="n">
        <v>386000000</v>
      </c>
      <c r="F252" t="n">
        <v>386000000</v>
      </c>
      <c r="G252">
        <f>E252-F252</f>
        <v/>
      </c>
      <c r="H252">
        <f>IF(E252&gt;0,F252/E252,0)</f>
        <v/>
      </c>
      <c r="I252" s="28" t="n">
        <v>45998</v>
      </c>
      <c r="J252" t="inlineStr">
        <is>
          <t>Pagado</t>
        </is>
      </c>
      <c r="K252" t="inlineStr">
        <is>
          <t>Sofía Prada</t>
        </is>
      </c>
    </row>
    <row r="253" ht="15.75" customHeight="1" s="25">
      <c r="A253" t="inlineStr">
        <is>
          <t>PAG-0251</t>
        </is>
      </c>
      <c r="B253" t="inlineStr">
        <is>
          <t>Ricardo Gaviria Cifuentes</t>
        </is>
      </c>
      <c r="C253" t="inlineStr">
        <is>
          <t>PRY-001</t>
        </is>
      </c>
      <c r="D253" t="inlineStr">
        <is>
          <t>Cuota inicial</t>
        </is>
      </c>
      <c r="E253" t="n">
        <v>213000000</v>
      </c>
      <c r="F253" t="n">
        <v>140967742</v>
      </c>
      <c r="G253">
        <f>E253-F253</f>
        <v/>
      </c>
      <c r="H253">
        <f>IF(E253&gt;0,F253/E253,0)</f>
        <v/>
      </c>
      <c r="I253" s="28" t="n">
        <v>46205</v>
      </c>
      <c r="J253" t="inlineStr">
        <is>
          <t>Al día</t>
        </is>
      </c>
      <c r="K253" t="inlineStr">
        <is>
          <t>Sofía Prada</t>
        </is>
      </c>
    </row>
    <row r="254" ht="15.75" customHeight="1" s="25">
      <c r="A254" t="inlineStr">
        <is>
          <t>PAG-0252</t>
        </is>
      </c>
      <c r="B254" t="inlineStr">
        <is>
          <t>Andrés Jaramillo Montoya</t>
        </is>
      </c>
      <c r="C254" t="inlineStr">
        <is>
          <t>PRY-008</t>
        </is>
      </c>
      <c r="D254" t="inlineStr">
        <is>
          <t>Cuota inicial</t>
        </is>
      </c>
      <c r="E254" t="n">
        <v>35000000</v>
      </c>
      <c r="F254" t="n">
        <v>35000000</v>
      </c>
      <c r="G254">
        <f>E254-F254</f>
        <v/>
      </c>
      <c r="H254">
        <f>IF(E254&gt;0,F254/E254,0)</f>
        <v/>
      </c>
      <c r="I254" s="28" t="n">
        <v>46055</v>
      </c>
      <c r="J254" t="inlineStr">
        <is>
          <t>Pagado</t>
        </is>
      </c>
      <c r="K254" t="inlineStr">
        <is>
          <t>Andrés Torres</t>
        </is>
      </c>
    </row>
    <row r="255" ht="15.75" customHeight="1" s="25">
      <c r="A255" t="inlineStr">
        <is>
          <t>PAG-0253</t>
        </is>
      </c>
      <c r="B255" t="inlineStr">
        <is>
          <t>Andrés Jaramillo Montoya</t>
        </is>
      </c>
      <c r="C255" t="inlineStr">
        <is>
          <t>PRY-008</t>
        </is>
      </c>
      <c r="D255" t="inlineStr">
        <is>
          <t>Escrituración</t>
        </is>
      </c>
      <c r="E255" t="n">
        <v>139000000</v>
      </c>
      <c r="F255" t="n">
        <v>139000000</v>
      </c>
      <c r="G255">
        <f>E255-F255</f>
        <v/>
      </c>
      <c r="H255">
        <f>IF(E255&gt;0,F255/E255,0)</f>
        <v/>
      </c>
      <c r="I255" s="28" t="n">
        <v>46153</v>
      </c>
      <c r="J255" t="inlineStr">
        <is>
          <t>Pagado</t>
        </is>
      </c>
      <c r="K255" t="inlineStr">
        <is>
          <t>Andrés Torres</t>
        </is>
      </c>
    </row>
    <row r="256" ht="15.75" customHeight="1" s="25">
      <c r="A256" t="inlineStr">
        <is>
          <t>PAG-0254</t>
        </is>
      </c>
      <c r="B256" t="inlineStr">
        <is>
          <t>Isabel Agudelo Peláez</t>
        </is>
      </c>
      <c r="C256" t="inlineStr">
        <is>
          <t>PRY-001</t>
        </is>
      </c>
      <c r="D256" t="inlineStr">
        <is>
          <t>Cuota inicial</t>
        </is>
      </c>
      <c r="E256" t="n">
        <v>182000000</v>
      </c>
      <c r="F256" t="n">
        <v>120967742</v>
      </c>
      <c r="G256">
        <f>E256-F256</f>
        <v/>
      </c>
      <c r="H256">
        <f>IF(E256&gt;0,F256/E256,0)</f>
        <v/>
      </c>
      <c r="I256" s="28" t="n">
        <v>46207</v>
      </c>
      <c r="J256" t="inlineStr">
        <is>
          <t>Al día</t>
        </is>
      </c>
      <c r="K256" t="inlineStr">
        <is>
          <t>Santiago Muñoz</t>
        </is>
      </c>
    </row>
    <row r="257" ht="15.75" customHeight="1" s="25">
      <c r="A257" t="inlineStr">
        <is>
          <t>PAG-0255</t>
        </is>
      </c>
      <c r="B257" t="inlineStr">
        <is>
          <t>Valeria Salazar Vásquez</t>
        </is>
      </c>
      <c r="C257" t="inlineStr">
        <is>
          <t>PRY-004</t>
        </is>
      </c>
      <c r="D257" t="inlineStr">
        <is>
          <t>Cuota inicial</t>
        </is>
      </c>
      <c r="E257" t="n">
        <v>147000000</v>
      </c>
      <c r="F257" t="n">
        <v>147000000</v>
      </c>
      <c r="G257">
        <f>E257-F257</f>
        <v/>
      </c>
      <c r="H257">
        <f>IF(E257&gt;0,F257/E257,0)</f>
        <v/>
      </c>
      <c r="I257" s="28" t="n">
        <v>45934</v>
      </c>
      <c r="J257" t="inlineStr">
        <is>
          <t>Pagado</t>
        </is>
      </c>
      <c r="K257" t="inlineStr">
        <is>
          <t>Miguel Salazar</t>
        </is>
      </c>
    </row>
    <row r="258" ht="15.75" customHeight="1" s="25">
      <c r="A258" t="inlineStr">
        <is>
          <t>PAG-0256</t>
        </is>
      </c>
      <c r="B258" t="inlineStr">
        <is>
          <t>Valeria Salazar Vásquez</t>
        </is>
      </c>
      <c r="C258" t="inlineStr">
        <is>
          <t>PRY-004</t>
        </is>
      </c>
      <c r="D258" t="inlineStr">
        <is>
          <t>Escrituración</t>
        </is>
      </c>
      <c r="E258" t="n">
        <v>344000000</v>
      </c>
      <c r="F258" t="n">
        <v>344000000</v>
      </c>
      <c r="G258">
        <f>E258-F258</f>
        <v/>
      </c>
      <c r="H258">
        <f>IF(E258&gt;0,F258/E258,0)</f>
        <v/>
      </c>
      <c r="I258" s="28" t="n">
        <v>46035</v>
      </c>
      <c r="J258" t="inlineStr">
        <is>
          <t>Pagado</t>
        </is>
      </c>
      <c r="K258" t="inlineStr">
        <is>
          <t>Miguel Salazar</t>
        </is>
      </c>
    </row>
    <row r="259" ht="15.75" customHeight="1" s="25">
      <c r="A259" t="inlineStr">
        <is>
          <t>PAG-0257</t>
        </is>
      </c>
      <c r="B259" t="inlineStr">
        <is>
          <t>Sofía Henao Vélez</t>
        </is>
      </c>
      <c r="C259" t="inlineStr">
        <is>
          <t>PRY-004</t>
        </is>
      </c>
      <c r="D259" t="inlineStr">
        <is>
          <t>Cuota inicial</t>
        </is>
      </c>
      <c r="E259" t="n">
        <v>140000000</v>
      </c>
      <c r="F259" t="n">
        <v>140000000</v>
      </c>
      <c r="G259">
        <f>E259-F259</f>
        <v/>
      </c>
      <c r="H259">
        <f>IF(E259&gt;0,F259/E259,0)</f>
        <v/>
      </c>
      <c r="I259" s="28" t="n">
        <v>45935</v>
      </c>
      <c r="J259" t="inlineStr">
        <is>
          <t>Pagado</t>
        </is>
      </c>
      <c r="K259" t="inlineStr">
        <is>
          <t>Ana Quintero</t>
        </is>
      </c>
    </row>
    <row r="260" ht="15.75" customHeight="1" s="25">
      <c r="A260" t="inlineStr">
        <is>
          <t>PAG-0258</t>
        </is>
      </c>
      <c r="B260" t="inlineStr">
        <is>
          <t>Sofía Henao Vélez</t>
        </is>
      </c>
      <c r="C260" t="inlineStr">
        <is>
          <t>PRY-004</t>
        </is>
      </c>
      <c r="D260" t="inlineStr">
        <is>
          <t>Escrituración</t>
        </is>
      </c>
      <c r="E260" t="n">
        <v>325000000</v>
      </c>
      <c r="F260" t="n">
        <v>325000000</v>
      </c>
      <c r="G260">
        <f>E260-F260</f>
        <v/>
      </c>
      <c r="H260">
        <f>IF(E260&gt;0,F260/E260,0)</f>
        <v/>
      </c>
      <c r="I260" s="28" t="n">
        <v>46054</v>
      </c>
      <c r="J260" t="inlineStr">
        <is>
          <t>Pagado</t>
        </is>
      </c>
      <c r="K260" t="inlineStr">
        <is>
          <t>Ana Quintero</t>
        </is>
      </c>
    </row>
    <row r="261" ht="15.75" customHeight="1" s="25">
      <c r="A261" t="inlineStr">
        <is>
          <t>PAG-0259</t>
        </is>
      </c>
      <c r="B261" t="inlineStr">
        <is>
          <t>Fernando Restrepo Ochoa</t>
        </is>
      </c>
      <c r="C261" t="inlineStr">
        <is>
          <t>PRY-003</t>
        </is>
      </c>
      <c r="D261" t="inlineStr">
        <is>
          <t>Cuota inicial</t>
        </is>
      </c>
      <c r="E261" t="n">
        <v>93000000</v>
      </c>
      <c r="F261" t="n">
        <v>76400000</v>
      </c>
      <c r="G261">
        <f>E261-F261</f>
        <v/>
      </c>
      <c r="H261">
        <f>IF(E261&gt;0,F261/E261,0)</f>
        <v/>
      </c>
      <c r="I261" s="28" t="n">
        <v>46208</v>
      </c>
      <c r="J261" t="inlineStr">
        <is>
          <t>Al día</t>
        </is>
      </c>
      <c r="K261" t="inlineStr">
        <is>
          <t>Andrés Torres</t>
        </is>
      </c>
    </row>
    <row r="262" ht="15.75" customHeight="1" s="25">
      <c r="A262" t="inlineStr">
        <is>
          <t>PAG-0260</t>
        </is>
      </c>
      <c r="B262" t="inlineStr">
        <is>
          <t>Jhon Muñoz Gómez</t>
        </is>
      </c>
      <c r="C262" t="inlineStr">
        <is>
          <t>PRY-003</t>
        </is>
      </c>
      <c r="D262" t="inlineStr">
        <is>
          <t>Cuota inicial</t>
        </is>
      </c>
      <c r="E262" t="n">
        <v>101000000</v>
      </c>
      <c r="F262" t="n">
        <v>82800000</v>
      </c>
      <c r="G262">
        <f>E262-F262</f>
        <v/>
      </c>
      <c r="H262">
        <f>IF(E262&gt;0,F262/E262,0)</f>
        <v/>
      </c>
      <c r="I262" s="28" t="n">
        <v>46209</v>
      </c>
      <c r="J262" t="inlineStr">
        <is>
          <t>Al día</t>
        </is>
      </c>
      <c r="K262" t="inlineStr">
        <is>
          <t>Miguel Salazar</t>
        </is>
      </c>
    </row>
    <row r="263" ht="15.75" customHeight="1" s="25">
      <c r="A263" t="inlineStr">
        <is>
          <t>PAG-0261</t>
        </is>
      </c>
      <c r="B263" t="inlineStr">
        <is>
          <t>Wilson Restrepo Rojas</t>
        </is>
      </c>
      <c r="C263" t="inlineStr">
        <is>
          <t>PRY-008</t>
        </is>
      </c>
      <c r="D263" t="inlineStr">
        <is>
          <t>Cuota inicial</t>
        </is>
      </c>
      <c r="E263" t="n">
        <v>30000000</v>
      </c>
      <c r="F263" t="n">
        <v>30000000</v>
      </c>
      <c r="G263">
        <f>E263-F263</f>
        <v/>
      </c>
      <c r="H263">
        <f>IF(E263&gt;0,F263/E263,0)</f>
        <v/>
      </c>
      <c r="I263" s="28" t="n">
        <v>46059</v>
      </c>
      <c r="J263" t="inlineStr">
        <is>
          <t>Pagado</t>
        </is>
      </c>
      <c r="K263" t="inlineStr">
        <is>
          <t>Miguel Salazar</t>
        </is>
      </c>
    </row>
    <row r="264" ht="15.75" customHeight="1" s="25">
      <c r="A264" t="inlineStr">
        <is>
          <t>PAG-0262</t>
        </is>
      </c>
      <c r="B264" t="inlineStr">
        <is>
          <t>Wilson Restrepo Rojas</t>
        </is>
      </c>
      <c r="C264" t="inlineStr">
        <is>
          <t>PRY-008</t>
        </is>
      </c>
      <c r="D264" t="inlineStr">
        <is>
          <t>Escrituración</t>
        </is>
      </c>
      <c r="E264" t="n">
        <v>121000000</v>
      </c>
      <c r="F264" t="n">
        <v>0</v>
      </c>
      <c r="G264">
        <f>E264-F264</f>
        <v/>
      </c>
      <c r="H264">
        <f>IF(E264&gt;0,F264/E264,0)</f>
        <v/>
      </c>
      <c r="I264" s="28" t="n">
        <v>46236</v>
      </c>
      <c r="J264" t="inlineStr">
        <is>
          <t>Pendiente</t>
        </is>
      </c>
      <c r="K264" t="inlineStr">
        <is>
          <t>Miguel Salazar</t>
        </is>
      </c>
    </row>
    <row r="265" ht="15.75" customHeight="1" s="25">
      <c r="A265" t="inlineStr">
        <is>
          <t>PAG-0263</t>
        </is>
      </c>
      <c r="B265" t="inlineStr">
        <is>
          <t>Julián Pérez Agudelo</t>
        </is>
      </c>
      <c r="C265" t="inlineStr">
        <is>
          <t>PRY-004</t>
        </is>
      </c>
      <c r="D265" t="inlineStr">
        <is>
          <t>Cuota inicial</t>
        </is>
      </c>
      <c r="E265" t="n">
        <v>155000000</v>
      </c>
      <c r="F265" t="n">
        <v>155000000</v>
      </c>
      <c r="G265">
        <f>E265-F265</f>
        <v/>
      </c>
      <c r="H265">
        <f>IF(E265&gt;0,F265/E265,0)</f>
        <v/>
      </c>
      <c r="I265" s="28" t="n">
        <v>45937</v>
      </c>
      <c r="J265" t="inlineStr">
        <is>
          <t>Pagado</t>
        </is>
      </c>
      <c r="K265" t="inlineStr">
        <is>
          <t>Ana Quintero</t>
        </is>
      </c>
    </row>
    <row r="266" ht="15.75" customHeight="1" s="25">
      <c r="A266" t="inlineStr">
        <is>
          <t>PAG-0264</t>
        </is>
      </c>
      <c r="B266" t="inlineStr">
        <is>
          <t>Julián Pérez Agudelo</t>
        </is>
      </c>
      <c r="C266" t="inlineStr">
        <is>
          <t>PRY-004</t>
        </is>
      </c>
      <c r="D266" t="inlineStr">
        <is>
          <t>Escrituración</t>
        </is>
      </c>
      <c r="E266" t="n">
        <v>361000000</v>
      </c>
      <c r="F266" t="n">
        <v>361000000</v>
      </c>
      <c r="G266">
        <f>E266-F266</f>
        <v/>
      </c>
      <c r="H266">
        <f>IF(E266&gt;0,F266/E266,0)</f>
        <v/>
      </c>
      <c r="I266" s="28" t="n">
        <v>46065</v>
      </c>
      <c r="J266" t="inlineStr">
        <is>
          <t>Pagado</t>
        </is>
      </c>
      <c r="K266" t="inlineStr">
        <is>
          <t>Ana Quintero</t>
        </is>
      </c>
    </row>
    <row r="267" ht="15.75" customHeight="1" s="25">
      <c r="A267" t="inlineStr">
        <is>
          <t>PAG-0265</t>
        </is>
      </c>
      <c r="B267" t="inlineStr">
        <is>
          <t>Wilson Vargas Mejía</t>
        </is>
      </c>
      <c r="C267" t="inlineStr">
        <is>
          <t>PRY-003</t>
        </is>
      </c>
      <c r="D267" t="inlineStr">
        <is>
          <t>Cuota inicial</t>
        </is>
      </c>
      <c r="E267" t="n">
        <v>116000000</v>
      </c>
      <c r="F267" t="n">
        <v>94800000</v>
      </c>
      <c r="G267">
        <f>E267-F267</f>
        <v/>
      </c>
      <c r="H267">
        <f>IF(E267&gt;0,F267/E267,0)</f>
        <v/>
      </c>
      <c r="I267" s="28" t="n">
        <v>46210</v>
      </c>
      <c r="J267" t="inlineStr">
        <is>
          <t>Al día</t>
        </is>
      </c>
      <c r="K267" t="inlineStr">
        <is>
          <t>Andrés Torres</t>
        </is>
      </c>
    </row>
    <row r="268" ht="15.75" customHeight="1" s="25">
      <c r="A268" t="inlineStr">
        <is>
          <t>PAG-0266</t>
        </is>
      </c>
      <c r="B268" t="inlineStr">
        <is>
          <t>Santiago Higuita Duque</t>
        </is>
      </c>
      <c r="C268" t="inlineStr">
        <is>
          <t>PRY-008</t>
        </is>
      </c>
      <c r="D268" t="inlineStr">
        <is>
          <t>Cuota inicial</t>
        </is>
      </c>
      <c r="E268" t="n">
        <v>34000000</v>
      </c>
      <c r="F268" t="n">
        <v>34000000</v>
      </c>
      <c r="G268">
        <f>E268-F268</f>
        <v/>
      </c>
      <c r="H268">
        <f>IF(E268&gt;0,F268/E268,0)</f>
        <v/>
      </c>
      <c r="I268" s="28" t="n">
        <v>46063</v>
      </c>
      <c r="J268" t="inlineStr">
        <is>
          <t>Pagado</t>
        </is>
      </c>
      <c r="K268" t="inlineStr">
        <is>
          <t>Sofía Prada</t>
        </is>
      </c>
    </row>
    <row r="269" ht="15.75" customHeight="1" s="25">
      <c r="A269" t="inlineStr">
        <is>
          <t>PAG-0267</t>
        </is>
      </c>
      <c r="B269" t="inlineStr">
        <is>
          <t>Santiago Higuita Duque</t>
        </is>
      </c>
      <c r="C269" t="inlineStr">
        <is>
          <t>PRY-008</t>
        </is>
      </c>
      <c r="D269" t="inlineStr">
        <is>
          <t>Escrituración</t>
        </is>
      </c>
      <c r="E269" t="n">
        <v>137000000</v>
      </c>
      <c r="F269" t="n">
        <v>137000000</v>
      </c>
      <c r="G269">
        <f>E269-F269</f>
        <v/>
      </c>
      <c r="H269">
        <f>IF(E269&gt;0,F269/E269,0)</f>
        <v/>
      </c>
      <c r="I269" s="28" t="n">
        <v>46154</v>
      </c>
      <c r="J269" t="inlineStr">
        <is>
          <t>Pagado</t>
        </is>
      </c>
      <c r="K269" t="inlineStr">
        <is>
          <t>Sofía Prada</t>
        </is>
      </c>
    </row>
    <row r="270" ht="15.75" customHeight="1" s="25">
      <c r="A270" t="inlineStr">
        <is>
          <t>PAG-0268</t>
        </is>
      </c>
      <c r="B270" t="inlineStr">
        <is>
          <t>Iván Cardona Correa</t>
        </is>
      </c>
      <c r="C270" t="inlineStr">
        <is>
          <t>PRY-007</t>
        </is>
      </c>
      <c r="D270" t="inlineStr">
        <is>
          <t>Cuota inicial</t>
        </is>
      </c>
      <c r="E270" t="n">
        <v>163000000</v>
      </c>
      <c r="F270" t="n">
        <v>100000000</v>
      </c>
      <c r="G270">
        <f>E270-F270</f>
        <v/>
      </c>
      <c r="H270">
        <f>IF(E270&gt;0,F270/E270,0)</f>
        <v/>
      </c>
      <c r="I270" s="28" t="n">
        <v>46216</v>
      </c>
      <c r="J270" t="inlineStr">
        <is>
          <t>Al día</t>
        </is>
      </c>
      <c r="K270" t="inlineStr">
        <is>
          <t>Andrés Torres</t>
        </is>
      </c>
    </row>
    <row r="271" ht="15.75" customHeight="1" s="25">
      <c r="A271" t="inlineStr">
        <is>
          <t>PAG-0269</t>
        </is>
      </c>
      <c r="B271" t="inlineStr">
        <is>
          <t>Mauricio Valencia Ramírez</t>
        </is>
      </c>
      <c r="C271" t="inlineStr">
        <is>
          <t>PRY-004</t>
        </is>
      </c>
      <c r="D271" t="inlineStr">
        <is>
          <t>Cuota inicial</t>
        </is>
      </c>
      <c r="E271" t="n">
        <v>158000000</v>
      </c>
      <c r="F271" t="n">
        <v>158000000</v>
      </c>
      <c r="G271">
        <f>E271-F271</f>
        <v/>
      </c>
      <c r="H271">
        <f>IF(E271&gt;0,F271/E271,0)</f>
        <v/>
      </c>
      <c r="I271" s="28" t="n">
        <v>45943</v>
      </c>
      <c r="J271" t="inlineStr">
        <is>
          <t>Pagado</t>
        </is>
      </c>
      <c r="K271" t="inlineStr">
        <is>
          <t>Santiago Muñoz</t>
        </is>
      </c>
    </row>
    <row r="272" ht="15.75" customHeight="1" s="25">
      <c r="A272" t="inlineStr">
        <is>
          <t>PAG-0270</t>
        </is>
      </c>
      <c r="B272" t="inlineStr">
        <is>
          <t>Mauricio Valencia Ramírez</t>
        </is>
      </c>
      <c r="C272" t="inlineStr">
        <is>
          <t>PRY-004</t>
        </is>
      </c>
      <c r="D272" t="inlineStr">
        <is>
          <t>Escrituración</t>
        </is>
      </c>
      <c r="E272" t="n">
        <v>368000000</v>
      </c>
      <c r="F272" t="n">
        <v>368000000</v>
      </c>
      <c r="G272">
        <f>E272-F272</f>
        <v/>
      </c>
      <c r="H272">
        <f>IF(E272&gt;0,F272/E272,0)</f>
        <v/>
      </c>
      <c r="I272" s="28" t="n">
        <v>45992</v>
      </c>
      <c r="J272" t="inlineStr">
        <is>
          <t>Pagado</t>
        </is>
      </c>
      <c r="K272" t="inlineStr">
        <is>
          <t>Santiago Muñoz</t>
        </is>
      </c>
    </row>
    <row r="273" ht="15.75" customHeight="1" s="25">
      <c r="A273" t="inlineStr">
        <is>
          <t>PAG-0271</t>
        </is>
      </c>
      <c r="B273" t="inlineStr">
        <is>
          <t>Mariana Ramírez Vargas</t>
        </is>
      </c>
      <c r="C273" t="inlineStr">
        <is>
          <t>PRY-005</t>
        </is>
      </c>
      <c r="D273" t="inlineStr">
        <is>
          <t>Cuota inicial</t>
        </is>
      </c>
      <c r="E273" t="n">
        <v>132000000</v>
      </c>
      <c r="F273" t="n">
        <v>97142857</v>
      </c>
      <c r="G273">
        <f>E273-F273</f>
        <v/>
      </c>
      <c r="H273">
        <f>IF(E273&gt;0,F273/E273,0)</f>
        <v/>
      </c>
      <c r="I273" s="28" t="n">
        <v>46218</v>
      </c>
      <c r="J273" t="inlineStr">
        <is>
          <t>Al día</t>
        </is>
      </c>
      <c r="K273" t="inlineStr">
        <is>
          <t>Paula Arenas</t>
        </is>
      </c>
    </row>
    <row r="274" ht="15.75" customHeight="1" s="25">
      <c r="A274" t="inlineStr">
        <is>
          <t>PAG-0272</t>
        </is>
      </c>
      <c r="B274" t="inlineStr">
        <is>
          <t>Alejandro Arango Quintero</t>
        </is>
      </c>
      <c r="C274" t="inlineStr">
        <is>
          <t>PRY-003</t>
        </is>
      </c>
      <c r="D274" t="inlineStr">
        <is>
          <t>Cuota inicial</t>
        </is>
      </c>
      <c r="E274" t="n">
        <v>90000000</v>
      </c>
      <c r="F274" t="n">
        <v>74000000</v>
      </c>
      <c r="G274">
        <f>E274-F274</f>
        <v/>
      </c>
      <c r="H274">
        <f>IF(E274&gt;0,F274/E274,0)</f>
        <v/>
      </c>
      <c r="I274" s="28" t="n">
        <v>46219</v>
      </c>
      <c r="J274" t="inlineStr">
        <is>
          <t>Al día</t>
        </is>
      </c>
      <c r="K274" t="inlineStr">
        <is>
          <t>Sofía Prada</t>
        </is>
      </c>
    </row>
    <row r="275" ht="15.75" customHeight="1" s="25">
      <c r="A275" t="inlineStr">
        <is>
          <t>PAG-0273</t>
        </is>
      </c>
      <c r="B275" t="inlineStr">
        <is>
          <t>Wilson Zapata Giraldo</t>
        </is>
      </c>
      <c r="C275" t="inlineStr">
        <is>
          <t>PRY-003</t>
        </is>
      </c>
      <c r="D275" t="inlineStr">
        <is>
          <t>Cuota inicial</t>
        </is>
      </c>
      <c r="E275" t="n">
        <v>106000000</v>
      </c>
      <c r="F275" t="n">
        <v>86800000</v>
      </c>
      <c r="G275">
        <f>E275-F275</f>
        <v/>
      </c>
      <c r="H275">
        <f>IF(E275&gt;0,F275/E275,0)</f>
        <v/>
      </c>
      <c r="I275" s="28" t="n">
        <v>46219</v>
      </c>
      <c r="J275" t="inlineStr">
        <is>
          <t>Al día</t>
        </is>
      </c>
      <c r="K275" t="inlineStr">
        <is>
          <t>Sofía Prada</t>
        </is>
      </c>
    </row>
    <row r="276" ht="15.75" customHeight="1" s="25">
      <c r="A276" t="inlineStr">
        <is>
          <t>PAG-0274</t>
        </is>
      </c>
      <c r="B276" t="inlineStr">
        <is>
          <t>Luisa Giraldo López</t>
        </is>
      </c>
      <c r="C276" t="inlineStr">
        <is>
          <t>PRY-001</t>
        </is>
      </c>
      <c r="D276" t="inlineStr">
        <is>
          <t>Cuota inicial</t>
        </is>
      </c>
      <c r="E276" t="n">
        <v>176000000</v>
      </c>
      <c r="F276" t="n">
        <v>117096774</v>
      </c>
      <c r="G276">
        <f>E276-F276</f>
        <v/>
      </c>
      <c r="H276">
        <f>IF(E276&gt;0,F276/E276,0)</f>
        <v/>
      </c>
      <c r="I276" s="28" t="n">
        <v>46222</v>
      </c>
      <c r="J276" t="inlineStr">
        <is>
          <t>Al día</t>
        </is>
      </c>
      <c r="K276" t="inlineStr">
        <is>
          <t>Santiago Muñoz</t>
        </is>
      </c>
    </row>
    <row r="277" ht="15.75" customHeight="1" s="25">
      <c r="A277" t="inlineStr">
        <is>
          <t>PAG-0275</t>
        </is>
      </c>
      <c r="B277" t="inlineStr">
        <is>
          <t>Camila Vásquez Salazar</t>
        </is>
      </c>
      <c r="C277" t="inlineStr">
        <is>
          <t>PRY-005</t>
        </is>
      </c>
      <c r="D277" t="inlineStr">
        <is>
          <t>Cuota inicial</t>
        </is>
      </c>
      <c r="E277" t="n">
        <v>118000000</v>
      </c>
      <c r="F277" t="n">
        <v>87142857</v>
      </c>
      <c r="G277">
        <f>E277-F277</f>
        <v/>
      </c>
      <c r="H277">
        <f>IF(E277&gt;0,F277/E277,0)</f>
        <v/>
      </c>
      <c r="I277" s="28" t="n">
        <v>46223</v>
      </c>
      <c r="J277" t="inlineStr">
        <is>
          <t>Al día</t>
        </is>
      </c>
      <c r="K277" t="inlineStr">
        <is>
          <t>Santiago Muñoz</t>
        </is>
      </c>
    </row>
    <row r="278" ht="15.75" customHeight="1" s="25">
      <c r="A278" t="inlineStr">
        <is>
          <t>PAG-0276</t>
        </is>
      </c>
      <c r="B278" t="inlineStr">
        <is>
          <t>Simón Gómez Jaramillo</t>
        </is>
      </c>
      <c r="C278" t="inlineStr">
        <is>
          <t>PRY-007</t>
        </is>
      </c>
      <c r="D278" t="inlineStr">
        <is>
          <t>Cuota inicial</t>
        </is>
      </c>
      <c r="E278" t="n">
        <v>204000000</v>
      </c>
      <c r="F278" t="n">
        <v>124117647</v>
      </c>
      <c r="G278">
        <f>E278-F278</f>
        <v/>
      </c>
      <c r="H278">
        <f>IF(E278&gt;0,F278/E278,0)</f>
        <v/>
      </c>
      <c r="I278" s="28" t="n">
        <v>46223</v>
      </c>
      <c r="J278" t="inlineStr">
        <is>
          <t>Al día</t>
        </is>
      </c>
      <c r="K278" t="inlineStr">
        <is>
          <t>Miguel Salazar</t>
        </is>
      </c>
    </row>
    <row r="279" ht="15.75" customHeight="1" s="25">
      <c r="A279" t="inlineStr">
        <is>
          <t>PAG-0277</t>
        </is>
      </c>
      <c r="B279" t="inlineStr">
        <is>
          <t>Sofía Cifuentes Londoño</t>
        </is>
      </c>
      <c r="C279" t="inlineStr">
        <is>
          <t>PRY-002</t>
        </is>
      </c>
      <c r="D279" t="inlineStr">
        <is>
          <t>Cuota inicial</t>
        </is>
      </c>
      <c r="E279" t="n">
        <v>214000000</v>
      </c>
      <c r="F279" t="n">
        <v>120270270</v>
      </c>
      <c r="G279">
        <f>E279-F279</f>
        <v/>
      </c>
      <c r="H279">
        <f>IF(E279&gt;0,F279/E279,0)</f>
        <v/>
      </c>
      <c r="I279" s="28" t="n">
        <v>46225</v>
      </c>
      <c r="J279" t="inlineStr">
        <is>
          <t>Al día</t>
        </is>
      </c>
      <c r="K279" t="inlineStr">
        <is>
          <t>Luis Bedoya</t>
        </is>
      </c>
    </row>
    <row r="280" ht="15.75" customHeight="1" s="25">
      <c r="A280" t="inlineStr">
        <is>
          <t>PAG-0278</t>
        </is>
      </c>
      <c r="B280" t="inlineStr">
        <is>
          <t>Laura Agudelo Mejía</t>
        </is>
      </c>
      <c r="C280" t="inlineStr">
        <is>
          <t>PRY-007</t>
        </is>
      </c>
      <c r="D280" t="inlineStr">
        <is>
          <t>Cuota inicial</t>
        </is>
      </c>
      <c r="E280" t="n">
        <v>213000000</v>
      </c>
      <c r="F280" t="n">
        <v>129411765</v>
      </c>
      <c r="G280">
        <f>E280-F280</f>
        <v/>
      </c>
      <c r="H280">
        <f>IF(E280&gt;0,F280/E280,0)</f>
        <v/>
      </c>
      <c r="I280" s="28" t="n">
        <v>46228</v>
      </c>
      <c r="J280" t="inlineStr">
        <is>
          <t>Al día</t>
        </is>
      </c>
      <c r="K280" t="inlineStr">
        <is>
          <t>Juliana Vélez</t>
        </is>
      </c>
    </row>
    <row r="281" ht="15.75" customHeight="1" s="25">
      <c r="A281" t="inlineStr">
        <is>
          <t>PAG-0279</t>
        </is>
      </c>
      <c r="B281" t="inlineStr">
        <is>
          <t>Luisa Duque Peláez</t>
        </is>
      </c>
      <c r="C281" t="inlineStr">
        <is>
          <t>PRY-008</t>
        </is>
      </c>
      <c r="D281" t="inlineStr">
        <is>
          <t>Cuota inicial</t>
        </is>
      </c>
      <c r="E281" t="n">
        <v>33000000</v>
      </c>
      <c r="F281" t="n">
        <v>33000000</v>
      </c>
      <c r="G281">
        <f>E281-F281</f>
        <v/>
      </c>
      <c r="H281">
        <f>IF(E281&gt;0,F281/E281,0)</f>
        <v/>
      </c>
      <c r="I281" s="28" t="n">
        <v>46080</v>
      </c>
      <c r="J281" t="inlineStr">
        <is>
          <t>Pagado</t>
        </is>
      </c>
      <c r="K281" t="inlineStr">
        <is>
          <t>Santiago Muñoz</t>
        </is>
      </c>
    </row>
    <row r="282" ht="15.75" customHeight="1" s="25">
      <c r="A282" t="inlineStr">
        <is>
          <t>PAG-0280</t>
        </is>
      </c>
      <c r="B282" t="inlineStr">
        <is>
          <t>Luisa Duque Peláez</t>
        </is>
      </c>
      <c r="C282" t="inlineStr">
        <is>
          <t>PRY-008</t>
        </is>
      </c>
      <c r="D282" t="inlineStr">
        <is>
          <t>Escrituración</t>
        </is>
      </c>
      <c r="E282" t="n">
        <v>132000000</v>
      </c>
      <c r="F282" t="n">
        <v>132000000</v>
      </c>
      <c r="G282">
        <f>E282-F282</f>
        <v/>
      </c>
      <c r="H282">
        <f>IF(E282&gt;0,F282/E282,0)</f>
        <v/>
      </c>
      <c r="I282" s="28" t="n">
        <v>46111</v>
      </c>
      <c r="J282" t="inlineStr">
        <is>
          <t>Pagado</t>
        </is>
      </c>
      <c r="K282" t="inlineStr">
        <is>
          <t>Santiago Muñoz</t>
        </is>
      </c>
    </row>
    <row r="283" ht="15.75" customHeight="1" s="25">
      <c r="A283" t="inlineStr">
        <is>
          <t>PAG-0281</t>
        </is>
      </c>
      <c r="B283" t="inlineStr">
        <is>
          <t>Nicolás Restrepo Marín</t>
        </is>
      </c>
      <c r="C283" t="inlineStr">
        <is>
          <t>PRY-003</t>
        </is>
      </c>
      <c r="D283" t="inlineStr">
        <is>
          <t>Cuota inicial</t>
        </is>
      </c>
      <c r="E283" t="n">
        <v>99000000</v>
      </c>
      <c r="F283" t="n">
        <v>81200000</v>
      </c>
      <c r="G283">
        <f>E283-F283</f>
        <v/>
      </c>
      <c r="H283">
        <f>IF(E283&gt;0,F283/E283,0)</f>
        <v/>
      </c>
      <c r="I283" s="28" t="n">
        <v>46230</v>
      </c>
      <c r="J283" t="inlineStr">
        <is>
          <t>Al día</t>
        </is>
      </c>
      <c r="K283" t="inlineStr">
        <is>
          <t>Andrés Torres</t>
        </is>
      </c>
    </row>
    <row r="284" ht="15.75" customHeight="1" s="25">
      <c r="A284" t="inlineStr">
        <is>
          <t>PAG-0282</t>
        </is>
      </c>
      <c r="B284" t="inlineStr">
        <is>
          <t>María Castaño López</t>
        </is>
      </c>
      <c r="C284" t="inlineStr">
        <is>
          <t>PRY-002</t>
        </is>
      </c>
      <c r="D284" t="inlineStr">
        <is>
          <t>Cuota inicial</t>
        </is>
      </c>
      <c r="E284" t="n">
        <v>216000000</v>
      </c>
      <c r="F284" t="n">
        <v>121351351</v>
      </c>
      <c r="G284">
        <f>E284-F284</f>
        <v/>
      </c>
      <c r="H284">
        <f>IF(E284&gt;0,F284/E284,0)</f>
        <v/>
      </c>
      <c r="I284" s="28" t="n">
        <v>46232</v>
      </c>
      <c r="J284" t="inlineStr">
        <is>
          <t>Al día</t>
        </is>
      </c>
      <c r="K284" t="inlineStr">
        <is>
          <t>Sofía Prada</t>
        </is>
      </c>
    </row>
    <row r="285" ht="15.75" customHeight="1" s="25">
      <c r="A285" t="inlineStr">
        <is>
          <t>PAG-0283</t>
        </is>
      </c>
      <c r="B285" t="inlineStr">
        <is>
          <t>Mariana Vásquez Betancur</t>
        </is>
      </c>
      <c r="C285" t="inlineStr">
        <is>
          <t>PRY-005</t>
        </is>
      </c>
      <c r="D285" t="inlineStr">
        <is>
          <t>Cuota inicial</t>
        </is>
      </c>
      <c r="E285" t="n">
        <v>123000000</v>
      </c>
      <c r="F285" t="n">
        <v>90714286</v>
      </c>
      <c r="G285">
        <f>E285-F285</f>
        <v/>
      </c>
      <c r="H285">
        <f>IF(E285&gt;0,F285/E285,0)</f>
        <v/>
      </c>
      <c r="I285" s="28" t="n">
        <v>46232</v>
      </c>
      <c r="J285" t="inlineStr">
        <is>
          <t>Al día</t>
        </is>
      </c>
      <c r="K285" t="inlineStr">
        <is>
          <t>Juliana Vélez</t>
        </is>
      </c>
    </row>
    <row r="286" ht="15.75" customHeight="1" s="25">
      <c r="A286" t="inlineStr">
        <is>
          <t>PAG-0284</t>
        </is>
      </c>
      <c r="B286" t="inlineStr">
        <is>
          <t>María Álvarez Pérez</t>
        </is>
      </c>
      <c r="C286" t="inlineStr">
        <is>
          <t>PRY-005</t>
        </is>
      </c>
      <c r="D286" t="inlineStr">
        <is>
          <t>Cuota inicial</t>
        </is>
      </c>
      <c r="E286" t="n">
        <v>121000000</v>
      </c>
      <c r="F286" t="n">
        <v>89285714</v>
      </c>
      <c r="G286">
        <f>E286-F286</f>
        <v/>
      </c>
      <c r="H286">
        <f>IF(E286&gt;0,F286/E286,0)</f>
        <v/>
      </c>
      <c r="I286" s="28" t="n">
        <v>46234</v>
      </c>
      <c r="J286" t="inlineStr">
        <is>
          <t>Al día</t>
        </is>
      </c>
      <c r="K286" t="inlineStr">
        <is>
          <t>Luis Bedoya</t>
        </is>
      </c>
    </row>
    <row r="287" ht="15.75" customHeight="1" s="25">
      <c r="A287" t="inlineStr">
        <is>
          <t>PAG-0285</t>
        </is>
      </c>
      <c r="B287" t="inlineStr">
        <is>
          <t>Tomás Vásquez Hernández</t>
        </is>
      </c>
      <c r="C287" t="inlineStr">
        <is>
          <t>PRY-005</t>
        </is>
      </c>
      <c r="D287" t="inlineStr">
        <is>
          <t>Cuota inicial</t>
        </is>
      </c>
      <c r="E287" t="n">
        <v>128000000</v>
      </c>
      <c r="F287" t="n">
        <v>93037037</v>
      </c>
      <c r="G287">
        <f>E287-F287</f>
        <v/>
      </c>
      <c r="H287">
        <f>IF(E287&gt;0,F287/E287,0)</f>
        <v/>
      </c>
      <c r="I287" s="28" t="n">
        <v>46206</v>
      </c>
      <c r="J287" t="inlineStr">
        <is>
          <t>Al día</t>
        </is>
      </c>
      <c r="K287" t="inlineStr">
        <is>
          <t>Juliana Vélez</t>
        </is>
      </c>
    </row>
    <row r="288" ht="15.75" customHeight="1" s="25">
      <c r="A288" t="inlineStr">
        <is>
          <t>PAG-0286</t>
        </is>
      </c>
      <c r="B288" t="inlineStr">
        <is>
          <t>Simón Ramírez Zapata</t>
        </is>
      </c>
      <c r="C288" t="inlineStr">
        <is>
          <t>PRY-003</t>
        </is>
      </c>
      <c r="D288" t="inlineStr">
        <is>
          <t>Cuota inicial</t>
        </is>
      </c>
      <c r="E288" t="n">
        <v>103000000</v>
      </c>
      <c r="F288" t="n">
        <v>83625000</v>
      </c>
      <c r="G288">
        <f>E288-F288</f>
        <v/>
      </c>
      <c r="H288">
        <f>IF(E288&gt;0,F288/E288,0)</f>
        <v/>
      </c>
      <c r="I288" s="28" t="n">
        <v>46206</v>
      </c>
      <c r="J288" t="inlineStr">
        <is>
          <t>Al día</t>
        </is>
      </c>
      <c r="K288" t="inlineStr">
        <is>
          <t>Miguel Salazar</t>
        </is>
      </c>
    </row>
    <row r="289" ht="15.75" customHeight="1" s="25">
      <c r="A289" t="inlineStr">
        <is>
          <t>PAG-0287</t>
        </is>
      </c>
      <c r="B289" t="inlineStr">
        <is>
          <t>José Londoño Ochoa</t>
        </is>
      </c>
      <c r="C289" t="inlineStr">
        <is>
          <t>PRY-007</t>
        </is>
      </c>
      <c r="D289" t="inlineStr">
        <is>
          <t>Cuota inicial</t>
        </is>
      </c>
      <c r="E289" t="n">
        <v>210000000</v>
      </c>
      <c r="F289" t="n">
        <v>125151515</v>
      </c>
      <c r="G289">
        <f>E289-F289</f>
        <v/>
      </c>
      <c r="H289">
        <f>IF(E289&gt;0,F289/E289,0)</f>
        <v/>
      </c>
      <c r="I289" s="28" t="n">
        <v>46206</v>
      </c>
      <c r="J289" t="inlineStr">
        <is>
          <t>Al día</t>
        </is>
      </c>
      <c r="K289" t="inlineStr">
        <is>
          <t>Andrés Torres</t>
        </is>
      </c>
    </row>
    <row r="290" ht="15.75" customHeight="1" s="25">
      <c r="A290" t="inlineStr">
        <is>
          <t>PAG-0288</t>
        </is>
      </c>
      <c r="B290" t="inlineStr">
        <is>
          <t>Natalia Ríos Escobar</t>
        </is>
      </c>
      <c r="C290" t="inlineStr">
        <is>
          <t>PRY-004</t>
        </is>
      </c>
      <c r="D290" t="inlineStr">
        <is>
          <t>Cuota inicial</t>
        </is>
      </c>
      <c r="E290" t="n">
        <v>147000000</v>
      </c>
      <c r="F290" t="n">
        <v>147000000</v>
      </c>
      <c r="G290">
        <f>E290-F290</f>
        <v/>
      </c>
      <c r="H290">
        <f>IF(E290&gt;0,F290/E290,0)</f>
        <v/>
      </c>
      <c r="I290" s="28" t="n">
        <v>45935</v>
      </c>
      <c r="J290" t="inlineStr">
        <is>
          <t>Pagado</t>
        </is>
      </c>
      <c r="K290" t="inlineStr">
        <is>
          <t>Sofía Prada</t>
        </is>
      </c>
    </row>
    <row r="291" ht="15.75" customHeight="1" s="25">
      <c r="A291" t="inlineStr">
        <is>
          <t>PAG-0289</t>
        </is>
      </c>
      <c r="B291" t="inlineStr">
        <is>
          <t>Natalia Ríos Escobar</t>
        </is>
      </c>
      <c r="C291" t="inlineStr">
        <is>
          <t>PRY-004</t>
        </is>
      </c>
      <c r="D291" t="inlineStr">
        <is>
          <t>Escrituración</t>
        </is>
      </c>
      <c r="E291" t="n">
        <v>342000000</v>
      </c>
      <c r="F291" t="n">
        <v>342000000</v>
      </c>
      <c r="G291">
        <f>E291-F291</f>
        <v/>
      </c>
      <c r="H291">
        <f>IF(E291&gt;0,F291/E291,0)</f>
        <v/>
      </c>
      <c r="I291" s="28" t="n">
        <v>46032</v>
      </c>
      <c r="J291" t="inlineStr">
        <is>
          <t>Pagado</t>
        </is>
      </c>
      <c r="K291" t="inlineStr">
        <is>
          <t>Sofía Prada</t>
        </is>
      </c>
    </row>
    <row r="292" ht="15.75" customHeight="1" s="25">
      <c r="A292" t="inlineStr">
        <is>
          <t>PAG-0290</t>
        </is>
      </c>
      <c r="B292" t="inlineStr">
        <is>
          <t>Isabel Peláez Franco</t>
        </is>
      </c>
      <c r="C292" t="inlineStr">
        <is>
          <t>PRY-007</t>
        </is>
      </c>
      <c r="D292" t="inlineStr">
        <is>
          <t>Cuota inicial</t>
        </is>
      </c>
      <c r="E292" t="n">
        <v>195000000</v>
      </c>
      <c r="F292" t="n">
        <v>105303030</v>
      </c>
      <c r="G292">
        <f>E292-F292</f>
        <v/>
      </c>
      <c r="H292">
        <f>IF(E292&gt;0,F292/E292,0)</f>
        <v/>
      </c>
      <c r="I292" s="28" t="n">
        <v>46148</v>
      </c>
      <c r="J292" t="inlineStr">
        <is>
          <t>En mora</t>
        </is>
      </c>
      <c r="K292" t="inlineStr">
        <is>
          <t>Ana Quintero</t>
        </is>
      </c>
    </row>
    <row r="293" ht="15.75" customHeight="1" s="25">
      <c r="A293" t="inlineStr">
        <is>
          <t>PAG-0291</t>
        </is>
      </c>
      <c r="B293" t="inlineStr">
        <is>
          <t>Fernando Espinosa Cano</t>
        </is>
      </c>
      <c r="C293" t="inlineStr">
        <is>
          <t>PRY-002</t>
        </is>
      </c>
      <c r="D293" t="inlineStr">
        <is>
          <t>Cuota inicial</t>
        </is>
      </c>
      <c r="E293" t="n">
        <v>196000000</v>
      </c>
      <c r="F293" t="n">
        <v>108166667</v>
      </c>
      <c r="G293">
        <f>E293-F293</f>
        <v/>
      </c>
      <c r="H293">
        <f>IF(E293&gt;0,F293/E293,0)</f>
        <v/>
      </c>
      <c r="I293" s="28" t="n">
        <v>46210</v>
      </c>
      <c r="J293" t="inlineStr">
        <is>
          <t>Al día</t>
        </is>
      </c>
      <c r="K293" t="inlineStr">
        <is>
          <t>Santiago Muñoz</t>
        </is>
      </c>
    </row>
    <row r="294" ht="15.75" customHeight="1" s="25">
      <c r="A294" t="inlineStr">
        <is>
          <t>PAG-0292</t>
        </is>
      </c>
      <c r="B294" t="inlineStr">
        <is>
          <t>Mónica Cifuentes Vargas</t>
        </is>
      </c>
      <c r="C294" t="inlineStr">
        <is>
          <t>PRY-004</t>
        </is>
      </c>
      <c r="D294" t="inlineStr">
        <is>
          <t>Cuota inicial</t>
        </is>
      </c>
      <c r="E294" t="n">
        <v>168000000</v>
      </c>
      <c r="F294" t="n">
        <v>168000000</v>
      </c>
      <c r="G294">
        <f>E294-F294</f>
        <v/>
      </c>
      <c r="H294">
        <f>IF(E294&gt;0,F294/E294,0)</f>
        <v/>
      </c>
      <c r="I294" s="28" t="n">
        <v>45937</v>
      </c>
      <c r="J294" t="inlineStr">
        <is>
          <t>Pagado</t>
        </is>
      </c>
      <c r="K294" t="inlineStr">
        <is>
          <t>Sofía Prada</t>
        </is>
      </c>
    </row>
    <row r="295" ht="15.75" customHeight="1" s="25">
      <c r="A295" t="inlineStr">
        <is>
          <t>PAG-0293</t>
        </is>
      </c>
      <c r="B295" t="inlineStr">
        <is>
          <t>Mónica Cifuentes Vargas</t>
        </is>
      </c>
      <c r="C295" t="inlineStr">
        <is>
          <t>PRY-004</t>
        </is>
      </c>
      <c r="D295" t="inlineStr">
        <is>
          <t>Escrituración</t>
        </is>
      </c>
      <c r="E295" t="n">
        <v>393000000</v>
      </c>
      <c r="F295" t="n">
        <v>393000000</v>
      </c>
      <c r="G295">
        <f>E295-F295</f>
        <v/>
      </c>
      <c r="H295">
        <f>IF(E295&gt;0,F295/E295,0)</f>
        <v/>
      </c>
      <c r="I295" s="28" t="n">
        <v>46049</v>
      </c>
      <c r="J295" t="inlineStr">
        <is>
          <t>Pagado</t>
        </is>
      </c>
      <c r="K295" t="inlineStr">
        <is>
          <t>Sofía Prada</t>
        </is>
      </c>
    </row>
    <row r="296" ht="15.75" customHeight="1" s="25">
      <c r="A296" t="inlineStr">
        <is>
          <t>PAG-0294</t>
        </is>
      </c>
      <c r="B296" t="inlineStr">
        <is>
          <t>Santiago Marín Cano</t>
        </is>
      </c>
      <c r="C296" t="inlineStr">
        <is>
          <t>PRY-004</t>
        </is>
      </c>
      <c r="D296" t="inlineStr">
        <is>
          <t>Cuota inicial</t>
        </is>
      </c>
      <c r="E296" t="n">
        <v>136000000</v>
      </c>
      <c r="F296" t="n">
        <v>136000000</v>
      </c>
      <c r="G296">
        <f>E296-F296</f>
        <v/>
      </c>
      <c r="H296">
        <f>IF(E296&gt;0,F296/E296,0)</f>
        <v/>
      </c>
      <c r="I296" s="28" t="n">
        <v>45937</v>
      </c>
      <c r="J296" t="inlineStr">
        <is>
          <t>Pagado</t>
        </is>
      </c>
      <c r="K296" t="inlineStr">
        <is>
          <t>Miguel Salazar</t>
        </is>
      </c>
    </row>
    <row r="297" ht="15.75" customHeight="1" s="25">
      <c r="A297" t="inlineStr">
        <is>
          <t>PAG-0295</t>
        </is>
      </c>
      <c r="B297" t="inlineStr">
        <is>
          <t>Santiago Marín Cano</t>
        </is>
      </c>
      <c r="C297" t="inlineStr">
        <is>
          <t>PRY-004</t>
        </is>
      </c>
      <c r="D297" t="inlineStr">
        <is>
          <t>Escrituración</t>
        </is>
      </c>
      <c r="E297" t="n">
        <v>317000000</v>
      </c>
      <c r="F297" t="n">
        <v>317000000</v>
      </c>
      <c r="G297">
        <f>E297-F297</f>
        <v/>
      </c>
      <c r="H297">
        <f>IF(E297&gt;0,F297/E297,0)</f>
        <v/>
      </c>
      <c r="I297" s="28" t="n">
        <v>46058</v>
      </c>
      <c r="J297" t="inlineStr">
        <is>
          <t>Pagado</t>
        </is>
      </c>
      <c r="K297" t="inlineStr">
        <is>
          <t>Miguel Salazar</t>
        </is>
      </c>
    </row>
    <row r="298" ht="15.75" customHeight="1" s="25">
      <c r="A298" t="inlineStr">
        <is>
          <t>PAG-0296</t>
        </is>
      </c>
      <c r="B298" t="inlineStr">
        <is>
          <t>María Bedoya Zuluaga</t>
        </is>
      </c>
      <c r="C298" t="inlineStr">
        <is>
          <t>PRY-008</t>
        </is>
      </c>
      <c r="D298" t="inlineStr">
        <is>
          <t>Cuota inicial</t>
        </is>
      </c>
      <c r="E298" t="n">
        <v>34000000</v>
      </c>
      <c r="F298" t="n">
        <v>34000000</v>
      </c>
      <c r="G298">
        <f>E298-F298</f>
        <v/>
      </c>
      <c r="H298">
        <f>IF(E298&gt;0,F298/E298,0)</f>
        <v/>
      </c>
      <c r="I298" s="28" t="n">
        <v>46060</v>
      </c>
      <c r="J298" t="inlineStr">
        <is>
          <t>Pagado</t>
        </is>
      </c>
      <c r="K298" t="inlineStr">
        <is>
          <t>Paula Arenas</t>
        </is>
      </c>
    </row>
    <row r="299" ht="15.75" customHeight="1" s="25">
      <c r="A299" t="inlineStr">
        <is>
          <t>PAG-0297</t>
        </is>
      </c>
      <c r="B299" t="inlineStr">
        <is>
          <t>María Bedoya Zuluaga</t>
        </is>
      </c>
      <c r="C299" t="inlineStr">
        <is>
          <t>PRY-008</t>
        </is>
      </c>
      <c r="D299" t="inlineStr">
        <is>
          <t>Escrituración</t>
        </is>
      </c>
      <c r="E299" t="n">
        <v>135000000</v>
      </c>
      <c r="F299" t="n">
        <v>0</v>
      </c>
      <c r="G299">
        <f>E299-F299</f>
        <v/>
      </c>
      <c r="H299">
        <f>IF(E299&gt;0,F299/E299,0)</f>
        <v/>
      </c>
      <c r="I299" s="28" t="n">
        <v>46230</v>
      </c>
      <c r="J299" t="inlineStr">
        <is>
          <t>En mora</t>
        </is>
      </c>
      <c r="K299" t="inlineStr">
        <is>
          <t>Paula Arenas</t>
        </is>
      </c>
    </row>
    <row r="300" ht="15.75" customHeight="1" s="25">
      <c r="A300" t="inlineStr">
        <is>
          <t>PAG-0298</t>
        </is>
      </c>
      <c r="B300" t="inlineStr">
        <is>
          <t>Felipe Duque Cardona</t>
        </is>
      </c>
      <c r="C300" t="inlineStr">
        <is>
          <t>PRY-001</t>
        </is>
      </c>
      <c r="D300" t="inlineStr">
        <is>
          <t>Cuota inicial</t>
        </is>
      </c>
      <c r="E300" t="n">
        <v>241000000</v>
      </c>
      <c r="F300" t="n">
        <v>156300000</v>
      </c>
      <c r="G300">
        <f>E300-F300</f>
        <v/>
      </c>
      <c r="H300">
        <f>IF(E300&gt;0,F300/E300,0)</f>
        <v/>
      </c>
      <c r="I300" s="28" t="n">
        <v>46211</v>
      </c>
      <c r="J300" t="inlineStr">
        <is>
          <t>Al día</t>
        </is>
      </c>
      <c r="K300" t="inlineStr">
        <is>
          <t>Miguel Salazar</t>
        </is>
      </c>
    </row>
    <row r="301" ht="15.75" customHeight="1" s="25">
      <c r="A301" t="inlineStr">
        <is>
          <t>PAG-0299</t>
        </is>
      </c>
      <c r="B301" t="inlineStr">
        <is>
          <t>Esteban Franco Álvarez</t>
        </is>
      </c>
      <c r="C301" t="inlineStr">
        <is>
          <t>PRY-003</t>
        </is>
      </c>
      <c r="D301" t="inlineStr">
        <is>
          <t>Cuota inicial</t>
        </is>
      </c>
      <c r="E301" t="n">
        <v>83000000</v>
      </c>
      <c r="F301" t="n">
        <v>67791667</v>
      </c>
      <c r="G301">
        <f>E301-F301</f>
        <v/>
      </c>
      <c r="H301">
        <f>IF(E301&gt;0,F301/E301,0)</f>
        <v/>
      </c>
      <c r="I301" s="28" t="n">
        <v>46213</v>
      </c>
      <c r="J301" t="inlineStr">
        <is>
          <t>Al día</t>
        </is>
      </c>
      <c r="K301" t="inlineStr">
        <is>
          <t>Paula Arenas</t>
        </is>
      </c>
    </row>
    <row r="302" ht="15.75" customHeight="1" s="25">
      <c r="A302" t="inlineStr">
        <is>
          <t>PAG-0300</t>
        </is>
      </c>
      <c r="B302" t="inlineStr">
        <is>
          <t>María Correa Londoño</t>
        </is>
      </c>
      <c r="C302" t="inlineStr">
        <is>
          <t>PRY-003</t>
        </is>
      </c>
      <c r="D302" t="inlineStr">
        <is>
          <t>Cuota inicial</t>
        </is>
      </c>
      <c r="E302" t="n">
        <v>101000000</v>
      </c>
      <c r="F302" t="n">
        <v>82041667</v>
      </c>
      <c r="G302">
        <f>E302-F302</f>
        <v/>
      </c>
      <c r="H302">
        <f>IF(E302&gt;0,F302/E302,0)</f>
        <v/>
      </c>
      <c r="I302" s="28" t="n">
        <v>46213</v>
      </c>
      <c r="J302" t="inlineStr">
        <is>
          <t>Al día</t>
        </is>
      </c>
      <c r="K302" t="inlineStr">
        <is>
          <t>Ana Quintero</t>
        </is>
      </c>
    </row>
    <row r="303" ht="15.75" customHeight="1" s="25">
      <c r="A303" t="inlineStr">
        <is>
          <t>PAG-0301</t>
        </is>
      </c>
      <c r="B303" t="inlineStr">
        <is>
          <t>Cristian Vargas Ramírez</t>
        </is>
      </c>
      <c r="C303" t="inlineStr">
        <is>
          <t>PRY-003</t>
        </is>
      </c>
      <c r="D303" t="inlineStr">
        <is>
          <t>Cuota inicial</t>
        </is>
      </c>
      <c r="E303" t="n">
        <v>121000000</v>
      </c>
      <c r="F303" t="n">
        <v>97875000</v>
      </c>
      <c r="G303">
        <f>E303-F303</f>
        <v/>
      </c>
      <c r="H303">
        <f>IF(E303&gt;0,F303/E303,0)</f>
        <v/>
      </c>
      <c r="I303" s="28" t="n">
        <v>46213</v>
      </c>
      <c r="J303" t="inlineStr">
        <is>
          <t>Al día</t>
        </is>
      </c>
      <c r="K303" t="inlineStr">
        <is>
          <t>Andrés Torres</t>
        </is>
      </c>
    </row>
    <row r="304" ht="15.75" customHeight="1" s="25">
      <c r="A304" t="inlineStr">
        <is>
          <t>PAG-0302</t>
        </is>
      </c>
      <c r="B304" t="inlineStr">
        <is>
          <t>Katherine Montoya Gaviria</t>
        </is>
      </c>
      <c r="C304" t="inlineStr">
        <is>
          <t>PRY-007</t>
        </is>
      </c>
      <c r="D304" t="inlineStr">
        <is>
          <t>Cuota inicial</t>
        </is>
      </c>
      <c r="E304" t="n">
        <v>206000000</v>
      </c>
      <c r="F304" t="n">
        <v>122848485</v>
      </c>
      <c r="G304">
        <f>E304-F304</f>
        <v/>
      </c>
      <c r="H304">
        <f>IF(E304&gt;0,F304/E304,0)</f>
        <v/>
      </c>
      <c r="I304" s="28" t="n">
        <v>46213</v>
      </c>
      <c r="J304" t="inlineStr">
        <is>
          <t>Al día</t>
        </is>
      </c>
      <c r="K304" t="inlineStr">
        <is>
          <t>Andrés Torres</t>
        </is>
      </c>
    </row>
    <row r="305" ht="15.75" customHeight="1" s="25">
      <c r="A305" t="inlineStr">
        <is>
          <t>PAG-0303</t>
        </is>
      </c>
      <c r="B305" t="inlineStr">
        <is>
          <t>David Toro Ríos</t>
        </is>
      </c>
      <c r="C305" t="inlineStr">
        <is>
          <t>PRY-004</t>
        </is>
      </c>
      <c r="D305" t="inlineStr">
        <is>
          <t>Cuota inicial</t>
        </is>
      </c>
      <c r="E305" t="n">
        <v>170000000</v>
      </c>
      <c r="F305" t="n">
        <v>170000000</v>
      </c>
      <c r="G305">
        <f>E305-F305</f>
        <v/>
      </c>
      <c r="H305">
        <f>IF(E305&gt;0,F305/E305,0)</f>
        <v/>
      </c>
      <c r="I305" s="28" t="n">
        <v>45941</v>
      </c>
      <c r="J305" t="inlineStr">
        <is>
          <t>Pagado</t>
        </is>
      </c>
      <c r="K305" t="inlineStr">
        <is>
          <t>Juliana Vélez</t>
        </is>
      </c>
    </row>
    <row r="306" ht="15.75" customHeight="1" s="25">
      <c r="A306" t="inlineStr">
        <is>
          <t>PAG-0304</t>
        </is>
      </c>
      <c r="B306" t="inlineStr">
        <is>
          <t>David Toro Ríos</t>
        </is>
      </c>
      <c r="C306" t="inlineStr">
        <is>
          <t>PRY-004</t>
        </is>
      </c>
      <c r="D306" t="inlineStr">
        <is>
          <t>Escrituración</t>
        </is>
      </c>
      <c r="E306" t="n">
        <v>396000000</v>
      </c>
      <c r="F306" t="n">
        <v>396000000</v>
      </c>
      <c r="G306">
        <f>E306-F306</f>
        <v/>
      </c>
      <c r="H306">
        <f>IF(E306&gt;0,F306/E306,0)</f>
        <v/>
      </c>
      <c r="I306" s="28" t="n">
        <v>45998</v>
      </c>
      <c r="J306" t="inlineStr">
        <is>
          <t>Pagado</t>
        </is>
      </c>
      <c r="K306" t="inlineStr">
        <is>
          <t>Juliana Vélez</t>
        </is>
      </c>
    </row>
    <row r="307" ht="15.75" customHeight="1" s="25">
      <c r="A307" t="inlineStr">
        <is>
          <t>PAG-0305</t>
        </is>
      </c>
      <c r="B307" t="inlineStr">
        <is>
          <t>Natalia Montes Vélez</t>
        </is>
      </c>
      <c r="C307" t="inlineStr">
        <is>
          <t>PRY-008</t>
        </is>
      </c>
      <c r="D307" t="inlineStr">
        <is>
          <t>Cuota inicial</t>
        </is>
      </c>
      <c r="E307" t="n">
        <v>34000000</v>
      </c>
      <c r="F307" t="n">
        <v>34000000</v>
      </c>
      <c r="G307">
        <f>E307-F307</f>
        <v/>
      </c>
      <c r="H307">
        <f>IF(E307&gt;0,F307/E307,0)</f>
        <v/>
      </c>
      <c r="I307" s="28" t="n">
        <v>46065</v>
      </c>
      <c r="J307" t="inlineStr">
        <is>
          <t>Pagado</t>
        </is>
      </c>
      <c r="K307" t="inlineStr">
        <is>
          <t>Luis Bedoya</t>
        </is>
      </c>
    </row>
    <row r="308" ht="15.75" customHeight="1" s="25">
      <c r="A308" t="inlineStr">
        <is>
          <t>PAG-0306</t>
        </is>
      </c>
      <c r="B308" t="inlineStr">
        <is>
          <t>Natalia Montes Vélez</t>
        </is>
      </c>
      <c r="C308" t="inlineStr">
        <is>
          <t>PRY-008</t>
        </is>
      </c>
      <c r="D308" t="inlineStr">
        <is>
          <t>Escrituración</t>
        </is>
      </c>
      <c r="E308" t="n">
        <v>135000000</v>
      </c>
      <c r="F308" t="n">
        <v>0</v>
      </c>
      <c r="G308">
        <f>E308-F308</f>
        <v/>
      </c>
      <c r="H308">
        <f>IF(E308&gt;0,F308/E308,0)</f>
        <v/>
      </c>
      <c r="I308" s="28" t="n">
        <v>46230</v>
      </c>
      <c r="J308" t="inlineStr">
        <is>
          <t>Pendiente</t>
        </is>
      </c>
      <c r="K308" t="inlineStr">
        <is>
          <t>Luis Bedoya</t>
        </is>
      </c>
    </row>
    <row r="309" ht="15.75" customHeight="1" s="25">
      <c r="A309" t="inlineStr">
        <is>
          <t>PAG-0307</t>
        </is>
      </c>
      <c r="B309" t="inlineStr">
        <is>
          <t>Laura Franco Arango</t>
        </is>
      </c>
      <c r="C309" t="inlineStr">
        <is>
          <t>PRY-001</t>
        </is>
      </c>
      <c r="D309" t="inlineStr">
        <is>
          <t>Cuota inicial</t>
        </is>
      </c>
      <c r="E309" t="n">
        <v>168000000</v>
      </c>
      <c r="F309" t="n">
        <v>110066667</v>
      </c>
      <c r="G309">
        <f>E309-F309</f>
        <v/>
      </c>
      <c r="H309">
        <f>IF(E309&gt;0,F309/E309,0)</f>
        <v/>
      </c>
      <c r="I309" s="28" t="n">
        <v>46216</v>
      </c>
      <c r="J309" t="inlineStr">
        <is>
          <t>Al día</t>
        </is>
      </c>
      <c r="K309" t="inlineStr">
        <is>
          <t>Juliana Vélez</t>
        </is>
      </c>
    </row>
    <row r="310" ht="15.75" customHeight="1" s="25">
      <c r="A310" t="inlineStr">
        <is>
          <t>PAG-0308</t>
        </is>
      </c>
      <c r="B310" t="inlineStr">
        <is>
          <t>Rodrigo Salazar Vargas</t>
        </is>
      </c>
      <c r="C310" t="inlineStr">
        <is>
          <t>PRY-002</t>
        </is>
      </c>
      <c r="D310" t="inlineStr">
        <is>
          <t>Cuota inicial</t>
        </is>
      </c>
      <c r="E310" t="n">
        <v>231000000</v>
      </c>
      <c r="F310" t="n">
        <v>126638889</v>
      </c>
      <c r="G310">
        <f>E310-F310</f>
        <v/>
      </c>
      <c r="H310">
        <f>IF(E310&gt;0,F310/E310,0)</f>
        <v/>
      </c>
      <c r="I310" s="28" t="n">
        <v>46218</v>
      </c>
      <c r="J310" t="inlineStr">
        <is>
          <t>Al día</t>
        </is>
      </c>
      <c r="K310" t="inlineStr">
        <is>
          <t>Juliana Vélez</t>
        </is>
      </c>
    </row>
    <row r="311" ht="15.75" customHeight="1" s="25">
      <c r="A311" t="inlineStr">
        <is>
          <t>PAG-0309</t>
        </is>
      </c>
      <c r="B311" t="inlineStr">
        <is>
          <t>María Agudelo Valencia</t>
        </is>
      </c>
      <c r="C311" t="inlineStr">
        <is>
          <t>PRY-003</t>
        </is>
      </c>
      <c r="D311" t="inlineStr">
        <is>
          <t>Cuota inicial</t>
        </is>
      </c>
      <c r="E311" t="n">
        <v>116000000</v>
      </c>
      <c r="F311" t="n">
        <v>89500000</v>
      </c>
      <c r="G311">
        <f>E311-F311</f>
        <v/>
      </c>
      <c r="H311">
        <f>IF(E311&gt;0,F311/E311,0)</f>
        <v/>
      </c>
      <c r="I311" s="28" t="n">
        <v>46188</v>
      </c>
      <c r="J311" t="inlineStr">
        <is>
          <t>En mora</t>
        </is>
      </c>
      <c r="K311" t="inlineStr">
        <is>
          <t>Andrés Torres</t>
        </is>
      </c>
    </row>
    <row r="312" ht="15.75" customHeight="1" s="25">
      <c r="A312" t="inlineStr">
        <is>
          <t>PAG-0310</t>
        </is>
      </c>
      <c r="B312" t="inlineStr">
        <is>
          <t>Alejandra Cano Cifuentes</t>
        </is>
      </c>
      <c r="C312" t="inlineStr">
        <is>
          <t>PRY-004</t>
        </is>
      </c>
      <c r="D312" t="inlineStr">
        <is>
          <t>Cuota inicial</t>
        </is>
      </c>
      <c r="E312" t="n">
        <v>167000000</v>
      </c>
      <c r="F312" t="n">
        <v>167000000</v>
      </c>
      <c r="G312">
        <f>E312-F312</f>
        <v/>
      </c>
      <c r="H312">
        <f>IF(E312&gt;0,F312/E312,0)</f>
        <v/>
      </c>
      <c r="I312" s="28" t="n">
        <v>45948</v>
      </c>
      <c r="J312" t="inlineStr">
        <is>
          <t>Pagado</t>
        </is>
      </c>
      <c r="K312" t="inlineStr">
        <is>
          <t>Andrés Torres</t>
        </is>
      </c>
    </row>
    <row r="313" ht="15.75" customHeight="1" s="25">
      <c r="A313" t="inlineStr">
        <is>
          <t>PAG-0311</t>
        </is>
      </c>
      <c r="B313" t="inlineStr">
        <is>
          <t>Alejandra Cano Cifuentes</t>
        </is>
      </c>
      <c r="C313" t="inlineStr">
        <is>
          <t>PRY-004</t>
        </is>
      </c>
      <c r="D313" t="inlineStr">
        <is>
          <t>Escrituración</t>
        </is>
      </c>
      <c r="E313" t="n">
        <v>389000000</v>
      </c>
      <c r="F313" t="n">
        <v>389000000</v>
      </c>
      <c r="G313">
        <f>E313-F313</f>
        <v/>
      </c>
      <c r="H313">
        <f>IF(E313&gt;0,F313/E313,0)</f>
        <v/>
      </c>
      <c r="I313" s="28" t="n">
        <v>46036</v>
      </c>
      <c r="J313" t="inlineStr">
        <is>
          <t>Pagado</t>
        </is>
      </c>
      <c r="K313" t="inlineStr">
        <is>
          <t>Andrés Torres</t>
        </is>
      </c>
    </row>
    <row r="314" ht="15.75" customHeight="1" s="25">
      <c r="A314" t="inlineStr">
        <is>
          <t>PAG-0312</t>
        </is>
      </c>
      <c r="B314" t="inlineStr">
        <is>
          <t>Julián Restrepo Toro</t>
        </is>
      </c>
      <c r="C314" t="inlineStr">
        <is>
          <t>PRY-005</t>
        </is>
      </c>
      <c r="D314" t="inlineStr">
        <is>
          <t>Cuota inicial</t>
        </is>
      </c>
      <c r="E314" t="n">
        <v>123000000</v>
      </c>
      <c r="F314" t="n">
        <v>89518519</v>
      </c>
      <c r="G314">
        <f>E314-F314</f>
        <v/>
      </c>
      <c r="H314">
        <f>IF(E314&gt;0,F314/E314,0)</f>
        <v/>
      </c>
      <c r="I314" s="28" t="n">
        <v>46226</v>
      </c>
      <c r="J314" t="inlineStr">
        <is>
          <t>Al día</t>
        </is>
      </c>
      <c r="K314" t="inlineStr">
        <is>
          <t>Andrés Torres</t>
        </is>
      </c>
    </row>
    <row r="315" ht="15.75" customHeight="1" s="25">
      <c r="A315" t="inlineStr">
        <is>
          <t>PAG-0313</t>
        </is>
      </c>
      <c r="B315" t="inlineStr">
        <is>
          <t>Tomás Pérez Quintero</t>
        </is>
      </c>
      <c r="C315" t="inlineStr">
        <is>
          <t>PRY-005</t>
        </is>
      </c>
      <c r="D315" t="inlineStr">
        <is>
          <t>Cuota inicial</t>
        </is>
      </c>
      <c r="E315" t="n">
        <v>109000000</v>
      </c>
      <c r="F315" t="n">
        <v>79666667</v>
      </c>
      <c r="G315">
        <f>E315-F315</f>
        <v/>
      </c>
      <c r="H315">
        <f>IF(E315&gt;0,F315/E315,0)</f>
        <v/>
      </c>
      <c r="I315" s="28" t="n">
        <v>46227</v>
      </c>
      <c r="J315" t="inlineStr">
        <is>
          <t>Al día</t>
        </is>
      </c>
      <c r="K315" t="inlineStr">
        <is>
          <t>Andrés Torres</t>
        </is>
      </c>
    </row>
    <row r="316" ht="15.75" customHeight="1" s="25">
      <c r="A316" t="inlineStr">
        <is>
          <t>PAG-0314</t>
        </is>
      </c>
      <c r="B316" t="inlineStr">
        <is>
          <t>Alejandra Pérez Valencia</t>
        </is>
      </c>
      <c r="C316" t="inlineStr">
        <is>
          <t>PRY-008</t>
        </is>
      </c>
      <c r="D316" t="inlineStr">
        <is>
          <t>Cuota inicial</t>
        </is>
      </c>
      <c r="E316" t="n">
        <v>31000000</v>
      </c>
      <c r="F316" t="n">
        <v>31000000</v>
      </c>
      <c r="G316">
        <f>E316-F316</f>
        <v/>
      </c>
      <c r="H316">
        <f>IF(E316&gt;0,F316/E316,0)</f>
        <v/>
      </c>
      <c r="I316" s="28" t="n">
        <v>46078</v>
      </c>
      <c r="J316" t="inlineStr">
        <is>
          <t>Pagado</t>
        </is>
      </c>
      <c r="K316" t="inlineStr">
        <is>
          <t>Sofía Prada</t>
        </is>
      </c>
    </row>
    <row r="317" ht="15.75" customHeight="1" s="25">
      <c r="A317" t="inlineStr">
        <is>
          <t>PAG-0315</t>
        </is>
      </c>
      <c r="B317" t="inlineStr">
        <is>
          <t>Alejandra Pérez Valencia</t>
        </is>
      </c>
      <c r="C317" t="inlineStr">
        <is>
          <t>PRY-008</t>
        </is>
      </c>
      <c r="D317" t="inlineStr">
        <is>
          <t>Escrituración</t>
        </is>
      </c>
      <c r="E317" t="n">
        <v>126000000</v>
      </c>
      <c r="F317" t="n">
        <v>126000000</v>
      </c>
      <c r="G317">
        <f>E317-F317</f>
        <v/>
      </c>
      <c r="H317">
        <f>IF(E317&gt;0,F317/E317,0)</f>
        <v/>
      </c>
      <c r="I317" s="28" t="n">
        <v>46177</v>
      </c>
      <c r="J317" t="inlineStr">
        <is>
          <t>Pagado</t>
        </is>
      </c>
      <c r="K317" t="inlineStr">
        <is>
          <t>Sofía Prada</t>
        </is>
      </c>
    </row>
    <row r="318" ht="15.75" customHeight="1" s="25">
      <c r="A318" t="inlineStr">
        <is>
          <t>PAG-0316</t>
        </is>
      </c>
      <c r="B318" t="inlineStr">
        <is>
          <t>Liliana Montes Mejía</t>
        </is>
      </c>
      <c r="C318" t="inlineStr">
        <is>
          <t>PRY-008</t>
        </is>
      </c>
      <c r="D318" t="inlineStr">
        <is>
          <t>Cuota inicial</t>
        </is>
      </c>
      <c r="E318" t="n">
        <v>30000000</v>
      </c>
      <c r="F318" t="n">
        <v>30000000</v>
      </c>
      <c r="G318">
        <f>E318-F318</f>
        <v/>
      </c>
      <c r="H318">
        <f>IF(E318&gt;0,F318/E318,0)</f>
        <v/>
      </c>
      <c r="I318" s="28" t="n">
        <v>46078</v>
      </c>
      <c r="J318" t="inlineStr">
        <is>
          <t>Pagado</t>
        </is>
      </c>
      <c r="K318" t="inlineStr">
        <is>
          <t>Sofía Prada</t>
        </is>
      </c>
    </row>
    <row r="319" ht="15.75" customHeight="1" s="25">
      <c r="A319" t="inlineStr">
        <is>
          <t>PAG-0317</t>
        </is>
      </c>
      <c r="B319" t="inlineStr">
        <is>
          <t>Liliana Montes Mejía</t>
        </is>
      </c>
      <c r="C319" t="inlineStr">
        <is>
          <t>PRY-008</t>
        </is>
      </c>
      <c r="D319" t="inlineStr">
        <is>
          <t>Escrituración</t>
        </is>
      </c>
      <c r="E319" t="n">
        <v>118000000</v>
      </c>
      <c r="F319" t="n">
        <v>0</v>
      </c>
      <c r="G319">
        <f>E319-F319</f>
        <v/>
      </c>
      <c r="H319">
        <f>IF(E319&gt;0,F319/E319,0)</f>
        <v/>
      </c>
      <c r="I319" s="28" t="n">
        <v>46246</v>
      </c>
      <c r="J319" t="inlineStr">
        <is>
          <t>Pendiente</t>
        </is>
      </c>
      <c r="K319" t="inlineStr">
        <is>
          <t>Sofía Prada</t>
        </is>
      </c>
    </row>
    <row r="320" ht="15.75" customHeight="1" s="25">
      <c r="A320" t="inlineStr">
        <is>
          <t>PAG-0318</t>
        </is>
      </c>
      <c r="B320" t="inlineStr">
        <is>
          <t>Wilson Pérez Londoño</t>
        </is>
      </c>
      <c r="C320" t="inlineStr">
        <is>
          <t>PRY-001</t>
        </is>
      </c>
      <c r="D320" t="inlineStr">
        <is>
          <t>Cuota inicial</t>
        </is>
      </c>
      <c r="E320" t="n">
        <v>223000000</v>
      </c>
      <c r="F320" t="n">
        <v>144900000</v>
      </c>
      <c r="G320">
        <f>E320-F320</f>
        <v/>
      </c>
      <c r="H320">
        <f>IF(E320&gt;0,F320/E320,0)</f>
        <v/>
      </c>
      <c r="I320" s="28" t="n">
        <v>46229</v>
      </c>
      <c r="J320" t="inlineStr">
        <is>
          <t>Al día</t>
        </is>
      </c>
      <c r="K320" t="inlineStr">
        <is>
          <t>Luis Bedoya</t>
        </is>
      </c>
    </row>
    <row r="321" ht="15.75" customHeight="1" s="25">
      <c r="A321" t="inlineStr">
        <is>
          <t>PAG-0319</t>
        </is>
      </c>
      <c r="B321" t="inlineStr">
        <is>
          <t>Simón Montes Sánchez</t>
        </is>
      </c>
      <c r="C321" t="inlineStr">
        <is>
          <t>PRY-004</t>
        </is>
      </c>
      <c r="D321" t="inlineStr">
        <is>
          <t>Cuota inicial</t>
        </is>
      </c>
      <c r="E321" t="n">
        <v>137000000</v>
      </c>
      <c r="F321" t="n">
        <v>113909091</v>
      </c>
      <c r="G321">
        <f>E321-F321</f>
        <v/>
      </c>
      <c r="H321">
        <f>IF(E321&gt;0,F321/E321,0)</f>
        <v/>
      </c>
      <c r="I321" s="28" t="n">
        <v>45926</v>
      </c>
      <c r="J321" t="inlineStr">
        <is>
          <t>En mora</t>
        </is>
      </c>
      <c r="K321" t="inlineStr">
        <is>
          <t>Paula Arenas</t>
        </is>
      </c>
    </row>
    <row r="322" ht="15.75" customHeight="1" s="25">
      <c r="A322" t="inlineStr">
        <is>
          <t>PAG-0320</t>
        </is>
      </c>
      <c r="B322" t="inlineStr">
        <is>
          <t>Paola Arango Espinosa</t>
        </is>
      </c>
      <c r="C322" t="inlineStr">
        <is>
          <t>PRY-005</t>
        </is>
      </c>
      <c r="D322" t="inlineStr">
        <is>
          <t>Cuota inicial</t>
        </is>
      </c>
      <c r="E322" t="n">
        <v>124000000</v>
      </c>
      <c r="F322" t="n">
        <v>90222222</v>
      </c>
      <c r="G322">
        <f>E322-F322</f>
        <v/>
      </c>
      <c r="H322">
        <f>IF(E322&gt;0,F322/E322,0)</f>
        <v/>
      </c>
      <c r="I322" s="28" t="n">
        <v>46230</v>
      </c>
      <c r="J322" t="inlineStr">
        <is>
          <t>Al día</t>
        </is>
      </c>
      <c r="K322" t="inlineStr">
        <is>
          <t>Paula Arenas</t>
        </is>
      </c>
    </row>
    <row r="323" ht="15.75" customHeight="1" s="25">
      <c r="A323" t="inlineStr">
        <is>
          <t>PAG-0321</t>
        </is>
      </c>
      <c r="B323" t="inlineStr">
        <is>
          <t>Isabel Higuita Álvarez</t>
        </is>
      </c>
      <c r="C323" t="inlineStr">
        <is>
          <t>PRY-007</t>
        </is>
      </c>
      <c r="D323" t="inlineStr">
        <is>
          <t>Cuota inicial</t>
        </is>
      </c>
      <c r="E323" t="n">
        <v>165000000</v>
      </c>
      <c r="F323" t="n">
        <v>99242424</v>
      </c>
      <c r="G323">
        <f>E323-F323</f>
        <v/>
      </c>
      <c r="H323">
        <f>IF(E323&gt;0,F323/E323,0)</f>
        <v/>
      </c>
      <c r="I323" s="28" t="n">
        <v>46233</v>
      </c>
      <c r="J323" t="inlineStr">
        <is>
          <t>Al día</t>
        </is>
      </c>
      <c r="K323" t="inlineStr">
        <is>
          <t>Andrés Torres</t>
        </is>
      </c>
    </row>
    <row r="324" ht="15.75" customHeight="1" s="25">
      <c r="A324" t="inlineStr">
        <is>
          <t>PAG-0322</t>
        </is>
      </c>
      <c r="B324" t="inlineStr">
        <is>
          <t>Alejandra Uribe Espinosa</t>
        </is>
      </c>
      <c r="C324" t="inlineStr">
        <is>
          <t>PRY-007</t>
        </is>
      </c>
      <c r="D324" t="inlineStr">
        <is>
          <t>Cuota inicial</t>
        </is>
      </c>
      <c r="E324" t="n">
        <v>190000000</v>
      </c>
      <c r="F324" t="n">
        <v>111250000</v>
      </c>
      <c r="G324">
        <f>E324-F324</f>
        <v/>
      </c>
      <c r="H324">
        <f>IF(E324&gt;0,F324/E324,0)</f>
        <v/>
      </c>
      <c r="I324" s="28" t="n">
        <v>46205</v>
      </c>
      <c r="J324" t="inlineStr">
        <is>
          <t>Al día</t>
        </is>
      </c>
      <c r="K324" t="inlineStr">
        <is>
          <t>Andrés Torres</t>
        </is>
      </c>
    </row>
    <row r="325" ht="15.75" customHeight="1" s="25">
      <c r="A325" t="inlineStr">
        <is>
          <t>PAG-0323</t>
        </is>
      </c>
      <c r="B325" t="inlineStr">
        <is>
          <t>Laura Zapata Muñoz</t>
        </is>
      </c>
      <c r="C325" t="inlineStr">
        <is>
          <t>PRY-003</t>
        </is>
      </c>
      <c r="D325" t="inlineStr">
        <is>
          <t>Cuota inicial</t>
        </is>
      </c>
      <c r="E325" t="n">
        <v>115000000</v>
      </c>
      <c r="F325" t="n">
        <v>92173913</v>
      </c>
      <c r="G325">
        <f>E325-F325</f>
        <v/>
      </c>
      <c r="H325">
        <f>IF(E325&gt;0,F325/E325,0)</f>
        <v/>
      </c>
      <c r="I325" s="28" t="n">
        <v>46209</v>
      </c>
      <c r="J325" t="inlineStr">
        <is>
          <t>Al día</t>
        </is>
      </c>
      <c r="K325" t="inlineStr">
        <is>
          <t>Ana Quintero</t>
        </is>
      </c>
    </row>
    <row r="326" ht="15.75" customHeight="1" s="25">
      <c r="A326" t="inlineStr">
        <is>
          <t>PAG-0324</t>
        </is>
      </c>
      <c r="B326" t="inlineStr">
        <is>
          <t>Diana Agudelo Restrepo</t>
        </is>
      </c>
      <c r="C326" t="inlineStr">
        <is>
          <t>PRY-008</t>
        </is>
      </c>
      <c r="D326" t="inlineStr">
        <is>
          <t>Cuota inicial</t>
        </is>
      </c>
      <c r="E326" t="n">
        <v>32000000</v>
      </c>
      <c r="F326" t="n">
        <v>32000000</v>
      </c>
      <c r="G326">
        <f>E326-F326</f>
        <v/>
      </c>
      <c r="H326">
        <f>IF(E326&gt;0,F326/E326,0)</f>
        <v/>
      </c>
      <c r="I326" s="28" t="n">
        <v>46061</v>
      </c>
      <c r="J326" t="inlineStr">
        <is>
          <t>Pagado</t>
        </is>
      </c>
      <c r="K326" t="inlineStr">
        <is>
          <t>Paula Arenas</t>
        </is>
      </c>
    </row>
    <row r="327" ht="15.75" customHeight="1" s="25">
      <c r="A327" t="inlineStr">
        <is>
          <t>PAG-0325</t>
        </is>
      </c>
      <c r="B327" t="inlineStr">
        <is>
          <t>Diana Agudelo Restrepo</t>
        </is>
      </c>
      <c r="C327" t="inlineStr">
        <is>
          <t>PRY-008</t>
        </is>
      </c>
      <c r="D327" t="inlineStr">
        <is>
          <t>Escrituración</t>
        </is>
      </c>
      <c r="E327" t="n">
        <v>129000000</v>
      </c>
      <c r="F327" t="n">
        <v>129000000</v>
      </c>
      <c r="G327">
        <f>E327-F327</f>
        <v/>
      </c>
      <c r="H327">
        <f>IF(E327&gt;0,F327/E327,0)</f>
        <v/>
      </c>
      <c r="I327" s="28" t="n">
        <v>46136</v>
      </c>
      <c r="J327" t="inlineStr">
        <is>
          <t>Pagado</t>
        </is>
      </c>
      <c r="K327" t="inlineStr">
        <is>
          <t>Paula Arenas</t>
        </is>
      </c>
    </row>
    <row r="328" ht="15.75" customHeight="1" s="25">
      <c r="A328" t="inlineStr">
        <is>
          <t>PAG-0326</t>
        </is>
      </c>
      <c r="B328" t="inlineStr">
        <is>
          <t>Gloria Arango Pérez</t>
        </is>
      </c>
      <c r="C328" t="inlineStr">
        <is>
          <t>PRY-005</t>
        </is>
      </c>
      <c r="D328" t="inlineStr">
        <is>
          <t>Cuota inicial</t>
        </is>
      </c>
      <c r="E328" t="n">
        <v>129000000</v>
      </c>
      <c r="F328" t="n">
        <v>92384615</v>
      </c>
      <c r="G328">
        <f>E328-F328</f>
        <v/>
      </c>
      <c r="H328">
        <f>IF(E328&gt;0,F328/E328,0)</f>
        <v/>
      </c>
      <c r="I328" s="28" t="n">
        <v>46213</v>
      </c>
      <c r="J328" t="inlineStr">
        <is>
          <t>Al día</t>
        </is>
      </c>
      <c r="K328" t="inlineStr">
        <is>
          <t>Ana Quintero</t>
        </is>
      </c>
    </row>
    <row r="329" ht="15.75" customHeight="1" s="25">
      <c r="A329" t="inlineStr">
        <is>
          <t>PAG-0327</t>
        </is>
      </c>
      <c r="B329" t="inlineStr">
        <is>
          <t>Gloria Cifuentes Quintero</t>
        </is>
      </c>
      <c r="C329" t="inlineStr">
        <is>
          <t>PRY-005</t>
        </is>
      </c>
      <c r="D329" t="inlineStr">
        <is>
          <t>Cuota inicial</t>
        </is>
      </c>
      <c r="E329" t="n">
        <v>109000000</v>
      </c>
      <c r="F329" t="n">
        <v>78538462</v>
      </c>
      <c r="G329">
        <f>E329-F329</f>
        <v/>
      </c>
      <c r="H329">
        <f>IF(E329&gt;0,F329/E329,0)</f>
        <v/>
      </c>
      <c r="I329" s="28" t="n">
        <v>46214</v>
      </c>
      <c r="J329" t="inlineStr">
        <is>
          <t>Al día</t>
        </is>
      </c>
      <c r="K329" t="inlineStr">
        <is>
          <t>Paula Arenas</t>
        </is>
      </c>
    </row>
    <row r="330" ht="15.75" customHeight="1" s="25">
      <c r="A330" t="inlineStr">
        <is>
          <t>PAG-0328</t>
        </is>
      </c>
      <c r="B330" t="inlineStr">
        <is>
          <t>Camila Valencia Arango</t>
        </is>
      </c>
      <c r="C330" t="inlineStr">
        <is>
          <t>PRY-004</t>
        </is>
      </c>
      <c r="D330" t="inlineStr">
        <is>
          <t>Cuota inicial</t>
        </is>
      </c>
      <c r="E330" t="n">
        <v>166000000</v>
      </c>
      <c r="F330" t="n">
        <v>166000000</v>
      </c>
      <c r="G330">
        <f>E330-F330</f>
        <v/>
      </c>
      <c r="H330">
        <f>IF(E330&gt;0,F330/E330,0)</f>
        <v/>
      </c>
      <c r="I330" s="28" t="n">
        <v>45942</v>
      </c>
      <c r="J330" t="inlineStr">
        <is>
          <t>Pagado</t>
        </is>
      </c>
      <c r="K330" t="inlineStr">
        <is>
          <t>Juliana Vélez</t>
        </is>
      </c>
    </row>
    <row r="331" ht="15.75" customHeight="1" s="25">
      <c r="A331" t="inlineStr">
        <is>
          <t>PAG-0329</t>
        </is>
      </c>
      <c r="B331" t="inlineStr">
        <is>
          <t>Camila Valencia Arango</t>
        </is>
      </c>
      <c r="C331" t="inlineStr">
        <is>
          <t>PRY-004</t>
        </is>
      </c>
      <c r="D331" t="inlineStr">
        <is>
          <t>Escrituración</t>
        </is>
      </c>
      <c r="E331" t="n">
        <v>389000000</v>
      </c>
      <c r="F331" t="n">
        <v>389000000</v>
      </c>
      <c r="G331">
        <f>E331-F331</f>
        <v/>
      </c>
      <c r="H331">
        <f>IF(E331&gt;0,F331/E331,0)</f>
        <v/>
      </c>
      <c r="I331" s="28" t="n">
        <v>46010</v>
      </c>
      <c r="J331" t="inlineStr">
        <is>
          <t>Pagado</t>
        </is>
      </c>
      <c r="K331" t="inlineStr">
        <is>
          <t>Juliana Vélez</t>
        </is>
      </c>
    </row>
    <row r="332" ht="15.75" customHeight="1" s="25">
      <c r="A332" t="inlineStr">
        <is>
          <t>PAG-0330</t>
        </is>
      </c>
      <c r="B332" t="inlineStr">
        <is>
          <t>Marcela Rojas Cano</t>
        </is>
      </c>
      <c r="C332" t="inlineStr">
        <is>
          <t>PRY-002</t>
        </is>
      </c>
      <c r="D332" t="inlineStr">
        <is>
          <t>Cuota inicial</t>
        </is>
      </c>
      <c r="E332" t="n">
        <v>202000000</v>
      </c>
      <c r="F332" t="n">
        <v>86800000</v>
      </c>
      <c r="G332">
        <f>E332-F332</f>
        <v/>
      </c>
      <c r="H332">
        <f>IF(E332&gt;0,F332/E332,0)</f>
        <v/>
      </c>
      <c r="I332" s="28" t="n">
        <v>46095</v>
      </c>
      <c r="J332" t="inlineStr">
        <is>
          <t>En mora</t>
        </is>
      </c>
      <c r="K332" t="inlineStr">
        <is>
          <t>Luis Bedoya</t>
        </is>
      </c>
    </row>
    <row r="333" ht="15.75" customHeight="1" s="25">
      <c r="A333" t="inlineStr">
        <is>
          <t>PAG-0331</t>
        </is>
      </c>
      <c r="B333" t="inlineStr">
        <is>
          <t>Tomás Montoya Agudelo</t>
        </is>
      </c>
      <c r="C333" t="inlineStr">
        <is>
          <t>PRY-001</t>
        </is>
      </c>
      <c r="D333" t="inlineStr">
        <is>
          <t>Cuota inicial</t>
        </is>
      </c>
      <c r="E333" t="n">
        <v>215000000</v>
      </c>
      <c r="F333" t="n">
        <v>137241379</v>
      </c>
      <c r="G333">
        <f>E333-F333</f>
        <v/>
      </c>
      <c r="H333">
        <f>IF(E333&gt;0,F333/E333,0)</f>
        <v/>
      </c>
      <c r="I333" s="28" t="n">
        <v>46218</v>
      </c>
      <c r="J333" t="inlineStr">
        <is>
          <t>Al día</t>
        </is>
      </c>
      <c r="K333" t="inlineStr">
        <is>
          <t>Ana Quintero</t>
        </is>
      </c>
    </row>
    <row r="334" ht="15.75" customHeight="1" s="25">
      <c r="A334" t="inlineStr">
        <is>
          <t>PAG-0332</t>
        </is>
      </c>
      <c r="B334" t="inlineStr">
        <is>
          <t>Jorge Palacio Cardona</t>
        </is>
      </c>
      <c r="C334" t="inlineStr">
        <is>
          <t>PRY-005</t>
        </is>
      </c>
      <c r="D334" t="inlineStr">
        <is>
          <t>Cuota inicial</t>
        </is>
      </c>
      <c r="E334" t="n">
        <v>119000000</v>
      </c>
      <c r="F334" t="n">
        <v>85461538</v>
      </c>
      <c r="G334">
        <f>E334-F334</f>
        <v/>
      </c>
      <c r="H334">
        <f>IF(E334&gt;0,F334/E334,0)</f>
        <v/>
      </c>
      <c r="I334" s="28" t="n">
        <v>46219</v>
      </c>
      <c r="J334" t="inlineStr">
        <is>
          <t>Al día</t>
        </is>
      </c>
      <c r="K334" t="inlineStr">
        <is>
          <t>Luis Bedoya</t>
        </is>
      </c>
    </row>
    <row r="335" ht="15.75" customHeight="1" s="25">
      <c r="A335" t="inlineStr">
        <is>
          <t>PAG-0333</t>
        </is>
      </c>
      <c r="B335" t="inlineStr">
        <is>
          <t>Liliana Valencia Pérez</t>
        </is>
      </c>
      <c r="C335" t="inlineStr">
        <is>
          <t>PRY-007</t>
        </is>
      </c>
      <c r="D335" t="inlineStr">
        <is>
          <t>Cuota inicial</t>
        </is>
      </c>
      <c r="E335" t="n">
        <v>206000000</v>
      </c>
      <c r="F335" t="n">
        <v>120250000</v>
      </c>
      <c r="G335">
        <f>E335-F335</f>
        <v/>
      </c>
      <c r="H335">
        <f>IF(E335&gt;0,F335/E335,0)</f>
        <v/>
      </c>
      <c r="I335" s="28" t="n">
        <v>46219</v>
      </c>
      <c r="J335" t="inlineStr">
        <is>
          <t>Al día</t>
        </is>
      </c>
      <c r="K335" t="inlineStr">
        <is>
          <t>Andrés Torres</t>
        </is>
      </c>
    </row>
    <row r="336" ht="15.75" customHeight="1" s="25">
      <c r="A336" t="inlineStr">
        <is>
          <t>PAG-0334</t>
        </is>
      </c>
      <c r="B336" t="inlineStr">
        <is>
          <t>Paola Londoño Duque</t>
        </is>
      </c>
      <c r="C336" t="inlineStr">
        <is>
          <t>PRY-003</t>
        </is>
      </c>
      <c r="D336" t="inlineStr">
        <is>
          <t>Cuota inicial</t>
        </is>
      </c>
      <c r="E336" t="n">
        <v>112000000</v>
      </c>
      <c r="F336" t="n">
        <v>89826087</v>
      </c>
      <c r="G336">
        <f>E336-F336</f>
        <v/>
      </c>
      <c r="H336">
        <f>IF(E336&gt;0,F336/E336,0)</f>
        <v/>
      </c>
      <c r="I336" s="28" t="n">
        <v>46219</v>
      </c>
      <c r="J336" t="inlineStr">
        <is>
          <t>Al día</t>
        </is>
      </c>
      <c r="K336" t="inlineStr">
        <is>
          <t>Sofía Prada</t>
        </is>
      </c>
    </row>
    <row r="337" ht="15.75" customHeight="1" s="25">
      <c r="A337" t="inlineStr">
        <is>
          <t>PAG-0335</t>
        </is>
      </c>
      <c r="B337" t="inlineStr">
        <is>
          <t>Juliana Espinosa Giraldo</t>
        </is>
      </c>
      <c r="C337" t="inlineStr">
        <is>
          <t>PRY-001</t>
        </is>
      </c>
      <c r="D337" t="inlineStr">
        <is>
          <t>Cuota inicial</t>
        </is>
      </c>
      <c r="E337" t="n">
        <v>216000000</v>
      </c>
      <c r="F337" t="n">
        <v>137862069</v>
      </c>
      <c r="G337">
        <f>E337-F337</f>
        <v/>
      </c>
      <c r="H337">
        <f>IF(E337&gt;0,F337/E337,0)</f>
        <v/>
      </c>
      <c r="I337" s="28" t="n">
        <v>46220</v>
      </c>
      <c r="J337" t="inlineStr">
        <is>
          <t>Al día</t>
        </is>
      </c>
      <c r="K337" t="inlineStr">
        <is>
          <t>Ana Quintero</t>
        </is>
      </c>
    </row>
    <row r="338" ht="15.75" customHeight="1" s="25">
      <c r="A338" t="inlineStr">
        <is>
          <t>PAG-0336</t>
        </is>
      </c>
      <c r="B338" t="inlineStr">
        <is>
          <t>Carolina Betancur Betancur</t>
        </is>
      </c>
      <c r="C338" t="inlineStr">
        <is>
          <t>PRY-004</t>
        </is>
      </c>
      <c r="D338" t="inlineStr">
        <is>
          <t>Cuota inicial</t>
        </is>
      </c>
      <c r="E338" t="n">
        <v>157000000</v>
      </c>
      <c r="F338" t="n">
        <v>157000000</v>
      </c>
      <c r="G338">
        <f>E338-F338</f>
        <v/>
      </c>
      <c r="H338">
        <f>IF(E338&gt;0,F338/E338,0)</f>
        <v/>
      </c>
      <c r="I338" s="28" t="n">
        <v>45947</v>
      </c>
      <c r="J338" t="inlineStr">
        <is>
          <t>Pagado</t>
        </is>
      </c>
      <c r="K338" t="inlineStr">
        <is>
          <t>Juliana Vélez</t>
        </is>
      </c>
    </row>
    <row r="339" ht="15.75" customHeight="1" s="25">
      <c r="A339" t="inlineStr">
        <is>
          <t>PAG-0337</t>
        </is>
      </c>
      <c r="B339" t="inlineStr">
        <is>
          <t>Carolina Betancur Betancur</t>
        </is>
      </c>
      <c r="C339" t="inlineStr">
        <is>
          <t>PRY-004</t>
        </is>
      </c>
      <c r="D339" t="inlineStr">
        <is>
          <t>Escrituración</t>
        </is>
      </c>
      <c r="E339" t="n">
        <v>367000000</v>
      </c>
      <c r="F339" t="n">
        <v>367000000</v>
      </c>
      <c r="G339">
        <f>E339-F339</f>
        <v/>
      </c>
      <c r="H339">
        <f>IF(E339&gt;0,F339/E339,0)</f>
        <v/>
      </c>
      <c r="I339" s="28" t="n">
        <v>46034</v>
      </c>
      <c r="J339" t="inlineStr">
        <is>
          <t>Pagado</t>
        </is>
      </c>
      <c r="K339" t="inlineStr">
        <is>
          <t>Juliana Vélez</t>
        </is>
      </c>
    </row>
    <row r="340" ht="15.75" customHeight="1" s="25">
      <c r="A340" t="inlineStr">
        <is>
          <t>PAG-0338</t>
        </is>
      </c>
      <c r="B340" t="inlineStr">
        <is>
          <t>Jorge Gómez Escobar</t>
        </is>
      </c>
      <c r="C340" t="inlineStr">
        <is>
          <t>PRY-008</t>
        </is>
      </c>
      <c r="D340" t="inlineStr">
        <is>
          <t>Cuota inicial</t>
        </is>
      </c>
      <c r="E340" t="n">
        <v>27000000</v>
      </c>
      <c r="F340" t="n">
        <v>27000000</v>
      </c>
      <c r="G340">
        <f>E340-F340</f>
        <v/>
      </c>
      <c r="H340">
        <f>IF(E340&gt;0,F340/E340,0)</f>
        <v/>
      </c>
      <c r="I340" s="28" t="n">
        <v>46072</v>
      </c>
      <c r="J340" t="inlineStr">
        <is>
          <t>Pagado</t>
        </is>
      </c>
      <c r="K340" t="inlineStr">
        <is>
          <t>Miguel Salazar</t>
        </is>
      </c>
    </row>
    <row r="341" ht="15.75" customHeight="1" s="25">
      <c r="A341" t="inlineStr">
        <is>
          <t>PAG-0339</t>
        </is>
      </c>
      <c r="B341" t="inlineStr">
        <is>
          <t>Jorge Gómez Escobar</t>
        </is>
      </c>
      <c r="C341" t="inlineStr">
        <is>
          <t>PRY-008</t>
        </is>
      </c>
      <c r="D341" t="inlineStr">
        <is>
          <t>Escrituración</t>
        </is>
      </c>
      <c r="E341" t="n">
        <v>107000000</v>
      </c>
      <c r="F341" t="n">
        <v>107000000</v>
      </c>
      <c r="G341">
        <f>E341-F341</f>
        <v/>
      </c>
      <c r="H341">
        <f>IF(E341&gt;0,F341/E341,0)</f>
        <v/>
      </c>
      <c r="I341" s="28" t="n">
        <v>46149</v>
      </c>
      <c r="J341" t="inlineStr">
        <is>
          <t>Pagado</t>
        </is>
      </c>
      <c r="K341" t="inlineStr">
        <is>
          <t>Miguel Salazar</t>
        </is>
      </c>
    </row>
    <row r="342" ht="15.75" customHeight="1" s="25">
      <c r="A342" t="inlineStr">
        <is>
          <t>PAG-0340</t>
        </is>
      </c>
      <c r="B342" t="inlineStr">
        <is>
          <t>Mauricio Montoya Vásquez</t>
        </is>
      </c>
      <c r="C342" t="inlineStr">
        <is>
          <t>PRY-001</t>
        </is>
      </c>
      <c r="D342" t="inlineStr">
        <is>
          <t>Cuota inicial</t>
        </is>
      </c>
      <c r="E342" t="n">
        <v>214000000</v>
      </c>
      <c r="F342" t="n">
        <v>136620690</v>
      </c>
      <c r="G342">
        <f>E342-F342</f>
        <v/>
      </c>
      <c r="H342">
        <f>IF(E342&gt;0,F342/E342,0)</f>
        <v/>
      </c>
      <c r="I342" s="28" t="n">
        <v>46224</v>
      </c>
      <c r="J342" t="inlineStr">
        <is>
          <t>Al día</t>
        </is>
      </c>
      <c r="K342" t="inlineStr">
        <is>
          <t>Luis Bedoya</t>
        </is>
      </c>
    </row>
    <row r="343" ht="15.75" customHeight="1" s="25">
      <c r="A343" t="inlineStr">
        <is>
          <t>PAG-0341</t>
        </is>
      </c>
      <c r="B343" t="inlineStr">
        <is>
          <t>Carolina Gaviria Duque</t>
        </is>
      </c>
      <c r="C343" t="inlineStr">
        <is>
          <t>PRY-008</t>
        </is>
      </c>
      <c r="D343" t="inlineStr">
        <is>
          <t>Cuota inicial</t>
        </is>
      </c>
      <c r="E343" t="n">
        <v>33000000</v>
      </c>
      <c r="F343" t="n">
        <v>33000000</v>
      </c>
      <c r="G343">
        <f>E343-F343</f>
        <v/>
      </c>
      <c r="H343">
        <f>IF(E343&gt;0,F343/E343,0)</f>
        <v/>
      </c>
      <c r="I343" s="28" t="n">
        <v>46076</v>
      </c>
      <c r="J343" t="inlineStr">
        <is>
          <t>Pagado</t>
        </is>
      </c>
      <c r="K343" t="inlineStr">
        <is>
          <t>Luis Bedoya</t>
        </is>
      </c>
    </row>
    <row r="344" ht="15.75" customHeight="1" s="25">
      <c r="A344" t="inlineStr">
        <is>
          <t>PAG-0342</t>
        </is>
      </c>
      <c r="B344" t="inlineStr">
        <is>
          <t>Carolina Gaviria Duque</t>
        </is>
      </c>
      <c r="C344" t="inlineStr">
        <is>
          <t>PRY-008</t>
        </is>
      </c>
      <c r="D344" t="inlineStr">
        <is>
          <t>Escrituración</t>
        </is>
      </c>
      <c r="E344" t="n">
        <v>134000000</v>
      </c>
      <c r="F344" t="n">
        <v>134000000</v>
      </c>
      <c r="G344">
        <f>E344-F344</f>
        <v/>
      </c>
      <c r="H344">
        <f>IF(E344&gt;0,F344/E344,0)</f>
        <v/>
      </c>
      <c r="I344" s="28" t="n">
        <v>46186</v>
      </c>
      <c r="J344" t="inlineStr">
        <is>
          <t>Pagado</t>
        </is>
      </c>
      <c r="K344" t="inlineStr">
        <is>
          <t>Luis Bedoya</t>
        </is>
      </c>
    </row>
    <row r="345" ht="15.75" customHeight="1" s="25">
      <c r="A345" t="inlineStr">
        <is>
          <t>PAG-0343</t>
        </is>
      </c>
      <c r="B345" t="inlineStr">
        <is>
          <t>Mateo Vélez Pérez</t>
        </is>
      </c>
      <c r="C345" t="inlineStr">
        <is>
          <t>PRY-003</t>
        </is>
      </c>
      <c r="D345" t="inlineStr">
        <is>
          <t>Cuota inicial</t>
        </is>
      </c>
      <c r="E345" t="n">
        <v>93000000</v>
      </c>
      <c r="F345" t="n">
        <v>74956522</v>
      </c>
      <c r="G345">
        <f>E345-F345</f>
        <v/>
      </c>
      <c r="H345">
        <f>IF(E345&gt;0,F345/E345,0)</f>
        <v/>
      </c>
      <c r="I345" s="28" t="n">
        <v>46228</v>
      </c>
      <c r="J345" t="inlineStr">
        <is>
          <t>Al día</t>
        </is>
      </c>
      <c r="K345" t="inlineStr">
        <is>
          <t>Sofía Prada</t>
        </is>
      </c>
    </row>
    <row r="346" ht="15.75" customHeight="1" s="25">
      <c r="A346" t="inlineStr">
        <is>
          <t>PAG-0344</t>
        </is>
      </c>
      <c r="B346" t="inlineStr">
        <is>
          <t>Esteban Sánchez Valencia</t>
        </is>
      </c>
      <c r="C346" t="inlineStr">
        <is>
          <t>PRY-004</t>
        </is>
      </c>
      <c r="D346" t="inlineStr">
        <is>
          <t>Cuota inicial</t>
        </is>
      </c>
      <c r="E346" t="n">
        <v>149000000</v>
      </c>
      <c r="F346" t="n">
        <v>149000000</v>
      </c>
      <c r="G346">
        <f>E346-F346</f>
        <v/>
      </c>
      <c r="H346">
        <f>IF(E346&gt;0,F346/E346,0)</f>
        <v/>
      </c>
      <c r="I346" s="28" t="n">
        <v>45955</v>
      </c>
      <c r="J346" t="inlineStr">
        <is>
          <t>Pagado</t>
        </is>
      </c>
      <c r="K346" t="inlineStr">
        <is>
          <t>Miguel Salazar</t>
        </is>
      </c>
    </row>
    <row r="347" ht="15.75" customHeight="1" s="25">
      <c r="A347" t="inlineStr">
        <is>
          <t>PAG-0345</t>
        </is>
      </c>
      <c r="B347" t="inlineStr">
        <is>
          <t>Esteban Sánchez Valencia</t>
        </is>
      </c>
      <c r="C347" t="inlineStr">
        <is>
          <t>PRY-004</t>
        </is>
      </c>
      <c r="D347" t="inlineStr">
        <is>
          <t>Escrituración</t>
        </is>
      </c>
      <c r="E347" t="n">
        <v>349000000</v>
      </c>
      <c r="F347" t="n">
        <v>349000000</v>
      </c>
      <c r="G347">
        <f>E347-F347</f>
        <v/>
      </c>
      <c r="H347">
        <f>IF(E347&gt;0,F347/E347,0)</f>
        <v/>
      </c>
      <c r="I347" s="28" t="n">
        <v>46023</v>
      </c>
      <c r="J347" t="inlineStr">
        <is>
          <t>Pagado</t>
        </is>
      </c>
      <c r="K347" t="inlineStr">
        <is>
          <t>Miguel Salazar</t>
        </is>
      </c>
    </row>
    <row r="348" ht="15.75" customHeight="1" s="25">
      <c r="A348" t="inlineStr">
        <is>
          <t>PAG-0346</t>
        </is>
      </c>
      <c r="B348" t="inlineStr">
        <is>
          <t>Carlos Gaviria Agudelo</t>
        </is>
      </c>
      <c r="C348" t="inlineStr">
        <is>
          <t>PRY-004</t>
        </is>
      </c>
      <c r="D348" t="inlineStr">
        <is>
          <t>Cuota inicial</t>
        </is>
      </c>
      <c r="E348" t="n">
        <v>165000000</v>
      </c>
      <c r="F348" t="n">
        <v>165000000</v>
      </c>
      <c r="G348">
        <f>E348-F348</f>
        <v/>
      </c>
      <c r="H348">
        <f>IF(E348&gt;0,F348/E348,0)</f>
        <v/>
      </c>
      <c r="I348" s="28" t="n">
        <v>45959</v>
      </c>
      <c r="J348" t="inlineStr">
        <is>
          <t>Pagado</t>
        </is>
      </c>
      <c r="K348" t="inlineStr">
        <is>
          <t>Juliana Vélez</t>
        </is>
      </c>
    </row>
    <row r="349" ht="15.75" customHeight="1" s="25">
      <c r="A349" t="inlineStr">
        <is>
          <t>PAG-0347</t>
        </is>
      </c>
      <c r="B349" t="inlineStr">
        <is>
          <t>Carlos Gaviria Agudelo</t>
        </is>
      </c>
      <c r="C349" t="inlineStr">
        <is>
          <t>PRY-004</t>
        </is>
      </c>
      <c r="D349" t="inlineStr">
        <is>
          <t>Escrituración</t>
        </is>
      </c>
      <c r="E349" t="n">
        <v>385000000</v>
      </c>
      <c r="F349" t="n">
        <v>385000000</v>
      </c>
      <c r="G349">
        <f>E349-F349</f>
        <v/>
      </c>
      <c r="H349">
        <f>IF(E349&gt;0,F349/E349,0)</f>
        <v/>
      </c>
      <c r="I349" s="28" t="n">
        <v>46064</v>
      </c>
      <c r="J349" t="inlineStr">
        <is>
          <t>Pagado</t>
        </is>
      </c>
      <c r="K349" t="inlineStr">
        <is>
          <t>Juliana Vélez</t>
        </is>
      </c>
    </row>
    <row r="350" ht="15.75" customHeight="1" s="25">
      <c r="A350" t="inlineStr">
        <is>
          <t>PAG-0348</t>
        </is>
      </c>
      <c r="B350" t="inlineStr">
        <is>
          <t>Emilio López Giraldo</t>
        </is>
      </c>
      <c r="C350" t="inlineStr">
        <is>
          <t>PRY-003</t>
        </is>
      </c>
      <c r="D350" t="inlineStr">
        <is>
          <t>Cuota inicial</t>
        </is>
      </c>
      <c r="E350" t="n">
        <v>94000000</v>
      </c>
      <c r="F350" t="n">
        <v>75739130</v>
      </c>
      <c r="G350">
        <f>E350-F350</f>
        <v/>
      </c>
      <c r="H350">
        <f>IF(E350&gt;0,F350/E350,0)</f>
        <v/>
      </c>
      <c r="I350" s="28" t="n">
        <v>46232</v>
      </c>
      <c r="J350" t="inlineStr">
        <is>
          <t>Al día</t>
        </is>
      </c>
      <c r="K350" t="inlineStr">
        <is>
          <t>Andrés Torres</t>
        </is>
      </c>
    </row>
    <row r="351" ht="15.75" customHeight="1" s="25">
      <c r="A351" t="inlineStr">
        <is>
          <t>PAG-0349</t>
        </is>
      </c>
      <c r="B351" t="inlineStr">
        <is>
          <t>Daniela Correa Betancur</t>
        </is>
      </c>
      <c r="C351" t="inlineStr">
        <is>
          <t>PRY-003</t>
        </is>
      </c>
      <c r="D351" t="inlineStr">
        <is>
          <t>Cuota inicial</t>
        </is>
      </c>
      <c r="E351" t="n">
        <v>106000000</v>
      </c>
      <c r="F351" t="n">
        <v>85130435</v>
      </c>
      <c r="G351">
        <f>E351-F351</f>
        <v/>
      </c>
      <c r="H351">
        <f>IF(E351&gt;0,F351/E351,0)</f>
        <v/>
      </c>
      <c r="I351" s="28" t="n">
        <v>46232</v>
      </c>
      <c r="J351" t="inlineStr">
        <is>
          <t>Al día</t>
        </is>
      </c>
      <c r="K351" t="inlineStr">
        <is>
          <t>Juliana Vélez</t>
        </is>
      </c>
    </row>
    <row r="352" ht="15.75" customHeight="1" s="25">
      <c r="A352" t="inlineStr">
        <is>
          <t>PAG-0350</t>
        </is>
      </c>
      <c r="B352" t="inlineStr">
        <is>
          <t>Esteban Salazar Hernández</t>
        </is>
      </c>
      <c r="C352" t="inlineStr">
        <is>
          <t>PRY-004</t>
        </is>
      </c>
      <c r="D352" t="inlineStr">
        <is>
          <t>Cuota inicial</t>
        </is>
      </c>
      <c r="E352" t="n">
        <v>159000000</v>
      </c>
      <c r="F352" t="n">
        <v>159000000</v>
      </c>
      <c r="G352">
        <f>E352-F352</f>
        <v/>
      </c>
      <c r="H352">
        <f>IF(E352&gt;0,F352/E352,0)</f>
        <v/>
      </c>
      <c r="I352" s="28" t="n">
        <v>45961</v>
      </c>
      <c r="J352" t="inlineStr">
        <is>
          <t>Pagado</t>
        </is>
      </c>
      <c r="K352" t="inlineStr">
        <is>
          <t>Juliana Vélez</t>
        </is>
      </c>
    </row>
    <row r="353" ht="15.75" customHeight="1" s="25">
      <c r="A353" t="inlineStr">
        <is>
          <t>PAG-0351</t>
        </is>
      </c>
      <c r="B353" t="inlineStr">
        <is>
          <t>Esteban Salazar Hernández</t>
        </is>
      </c>
      <c r="C353" t="inlineStr">
        <is>
          <t>PRY-004</t>
        </is>
      </c>
      <c r="D353" t="inlineStr">
        <is>
          <t>Escrituración</t>
        </is>
      </c>
      <c r="E353" t="n">
        <v>370000000</v>
      </c>
      <c r="F353" t="n">
        <v>370000000</v>
      </c>
      <c r="G353">
        <f>E353-F353</f>
        <v/>
      </c>
      <c r="H353">
        <f>IF(E353&gt;0,F353/E353,0)</f>
        <v/>
      </c>
      <c r="I353" s="28" t="n">
        <v>46009</v>
      </c>
      <c r="J353" t="inlineStr">
        <is>
          <t>Pagado</t>
        </is>
      </c>
      <c r="K353" t="inlineStr">
        <is>
          <t>Juliana Vélez</t>
        </is>
      </c>
    </row>
    <row r="354" ht="15.75" customHeight="1" s="25">
      <c r="A354" t="inlineStr">
        <is>
          <t>PAG-0352</t>
        </is>
      </c>
      <c r="B354" t="inlineStr">
        <is>
          <t>Paola Marín Salcedo</t>
        </is>
      </c>
      <c r="C354" t="inlineStr">
        <is>
          <t>PRY-004</t>
        </is>
      </c>
      <c r="D354" t="inlineStr">
        <is>
          <t>Cuota inicial</t>
        </is>
      </c>
      <c r="E354" t="n">
        <v>160000000</v>
      </c>
      <c r="F354" t="n">
        <v>160000000</v>
      </c>
      <c r="G354">
        <f>E354-F354</f>
        <v/>
      </c>
      <c r="H354">
        <f>IF(E354&gt;0,F354/E354,0)</f>
        <v/>
      </c>
      <c r="I354" s="28" t="n">
        <v>45931</v>
      </c>
      <c r="J354" t="inlineStr">
        <is>
          <t>Pagado</t>
        </is>
      </c>
      <c r="K354" t="inlineStr">
        <is>
          <t>Paula Arenas</t>
        </is>
      </c>
    </row>
    <row r="355" ht="15.75" customHeight="1" s="25">
      <c r="A355" t="inlineStr">
        <is>
          <t>PAG-0353</t>
        </is>
      </c>
      <c r="B355" t="inlineStr">
        <is>
          <t>Paola Marín Salcedo</t>
        </is>
      </c>
      <c r="C355" t="inlineStr">
        <is>
          <t>PRY-004</t>
        </is>
      </c>
      <c r="D355" t="inlineStr">
        <is>
          <t>Escrituración</t>
        </is>
      </c>
      <c r="E355" t="n">
        <v>373000000</v>
      </c>
      <c r="F355" t="n">
        <v>373000000</v>
      </c>
      <c r="G355">
        <f>E355-F355</f>
        <v/>
      </c>
      <c r="H355">
        <f>IF(E355&gt;0,F355/E355,0)</f>
        <v/>
      </c>
      <c r="I355" s="28" t="n">
        <v>46025</v>
      </c>
      <c r="J355" t="inlineStr">
        <is>
          <t>Pagado</t>
        </is>
      </c>
      <c r="K355" t="inlineStr">
        <is>
          <t>Paula Arenas</t>
        </is>
      </c>
    </row>
    <row r="356" ht="15.75" customHeight="1" s="25">
      <c r="A356" t="inlineStr">
        <is>
          <t>PAG-0354</t>
        </is>
      </c>
      <c r="B356" t="inlineStr">
        <is>
          <t>Sara Cano Arango</t>
        </is>
      </c>
      <c r="C356" t="inlineStr">
        <is>
          <t>PRY-004</t>
        </is>
      </c>
      <c r="D356" t="inlineStr">
        <is>
          <t>Cuota inicial</t>
        </is>
      </c>
      <c r="E356" t="n">
        <v>142000000</v>
      </c>
      <c r="F356" t="n">
        <v>142000000</v>
      </c>
      <c r="G356">
        <f>E356-F356</f>
        <v/>
      </c>
      <c r="H356">
        <f>IF(E356&gt;0,F356/E356,0)</f>
        <v/>
      </c>
      <c r="I356" s="28" t="n">
        <v>45934</v>
      </c>
      <c r="J356" t="inlineStr">
        <is>
          <t>Pagado</t>
        </is>
      </c>
      <c r="K356" t="inlineStr">
        <is>
          <t>Sofía Prada</t>
        </is>
      </c>
    </row>
    <row r="357" ht="15.75" customHeight="1" s="25">
      <c r="A357" t="inlineStr">
        <is>
          <t>PAG-0355</t>
        </is>
      </c>
      <c r="B357" t="inlineStr">
        <is>
          <t>Sara Cano Arango</t>
        </is>
      </c>
      <c r="C357" t="inlineStr">
        <is>
          <t>PRY-004</t>
        </is>
      </c>
      <c r="D357" t="inlineStr">
        <is>
          <t>Escrituración</t>
        </is>
      </c>
      <c r="E357" t="n">
        <v>333000000</v>
      </c>
      <c r="F357" t="n">
        <v>333000000</v>
      </c>
      <c r="G357">
        <f>E357-F357</f>
        <v/>
      </c>
      <c r="H357">
        <f>IF(E357&gt;0,F357/E357,0)</f>
        <v/>
      </c>
      <c r="I357" s="28" t="n">
        <v>46054</v>
      </c>
      <c r="J357" t="inlineStr">
        <is>
          <t>Pagado</t>
        </is>
      </c>
      <c r="K357" t="inlineStr">
        <is>
          <t>Sofía Prada</t>
        </is>
      </c>
    </row>
    <row r="358" ht="15.75" customHeight="1" s="25">
      <c r="A358" t="inlineStr">
        <is>
          <t>PAG-0356</t>
        </is>
      </c>
      <c r="B358" t="inlineStr">
        <is>
          <t>Andrés Sánchez Londoño</t>
        </is>
      </c>
      <c r="C358" t="inlineStr">
        <is>
          <t>PRY-003</t>
        </is>
      </c>
      <c r="D358" t="inlineStr">
        <is>
          <t>Cuota inicial</t>
        </is>
      </c>
      <c r="E358" t="n">
        <v>83000000</v>
      </c>
      <c r="F358" t="n">
        <v>66409091</v>
      </c>
      <c r="G358">
        <f>E358-F358</f>
        <v/>
      </c>
      <c r="H358">
        <f>IF(E358&gt;0,F358/E358,0)</f>
        <v/>
      </c>
      <c r="I358" s="28" t="n">
        <v>46210</v>
      </c>
      <c r="J358" t="inlineStr">
        <is>
          <t>Al día</t>
        </is>
      </c>
      <c r="K358" t="inlineStr">
        <is>
          <t>Juliana Vélez</t>
        </is>
      </c>
    </row>
    <row r="359" ht="15.75" customHeight="1" s="25">
      <c r="A359" t="inlineStr">
        <is>
          <t>PAG-0357</t>
        </is>
      </c>
      <c r="B359" t="inlineStr">
        <is>
          <t>Alejandra Montoya Gómez</t>
        </is>
      </c>
      <c r="C359" t="inlineStr">
        <is>
          <t>PRY-007</t>
        </is>
      </c>
      <c r="D359" t="inlineStr">
        <is>
          <t>Cuota inicial</t>
        </is>
      </c>
      <c r="E359" t="n">
        <v>167000000</v>
      </c>
      <c r="F359" t="n">
        <v>96096774</v>
      </c>
      <c r="G359">
        <f>E359-F359</f>
        <v/>
      </c>
      <c r="H359">
        <f>IF(E359&gt;0,F359/E359,0)</f>
        <v/>
      </c>
      <c r="I359" s="28" t="n">
        <v>46214</v>
      </c>
      <c r="J359" t="inlineStr">
        <is>
          <t>Al día</t>
        </is>
      </c>
      <c r="K359" t="inlineStr">
        <is>
          <t>Luis Bedoya</t>
        </is>
      </c>
    </row>
    <row r="360" ht="15.75" customHeight="1" s="25">
      <c r="A360" t="inlineStr">
        <is>
          <t>PAG-0358</t>
        </is>
      </c>
      <c r="B360" t="inlineStr">
        <is>
          <t>Emilio Vásquez Pérez</t>
        </is>
      </c>
      <c r="C360" t="inlineStr">
        <is>
          <t>PRY-008</t>
        </is>
      </c>
      <c r="D360" t="inlineStr">
        <is>
          <t>Cuota inicial</t>
        </is>
      </c>
      <c r="E360" t="n">
        <v>29000000</v>
      </c>
      <c r="F360" t="n">
        <v>29000000</v>
      </c>
      <c r="G360">
        <f>E360-F360</f>
        <v/>
      </c>
      <c r="H360">
        <f>IF(E360&gt;0,F360/E360,0)</f>
        <v/>
      </c>
      <c r="I360" s="28" t="n">
        <v>46065</v>
      </c>
      <c r="J360" t="inlineStr">
        <is>
          <t>Pagado</t>
        </is>
      </c>
      <c r="K360" t="inlineStr">
        <is>
          <t>Andrés Torres</t>
        </is>
      </c>
    </row>
    <row r="361" ht="15.75" customHeight="1" s="25">
      <c r="A361" t="inlineStr">
        <is>
          <t>PAG-0359</t>
        </is>
      </c>
      <c r="B361" t="inlineStr">
        <is>
          <t>Emilio Vásquez Pérez</t>
        </is>
      </c>
      <c r="C361" t="inlineStr">
        <is>
          <t>PRY-008</t>
        </is>
      </c>
      <c r="D361" t="inlineStr">
        <is>
          <t>Escrituración</t>
        </is>
      </c>
      <c r="E361" t="n">
        <v>115000000</v>
      </c>
      <c r="F361" t="n">
        <v>115000000</v>
      </c>
      <c r="G361">
        <f>E361-F361</f>
        <v/>
      </c>
      <c r="H361">
        <f>IF(E361&gt;0,F361/E361,0)</f>
        <v/>
      </c>
      <c r="I361" s="28" t="n">
        <v>46146</v>
      </c>
      <c r="J361" t="inlineStr">
        <is>
          <t>Pagado</t>
        </is>
      </c>
      <c r="K361" t="inlineStr">
        <is>
          <t>Andrés Torres</t>
        </is>
      </c>
    </row>
    <row r="362" ht="15.75" customHeight="1" s="25">
      <c r="A362" t="inlineStr">
        <is>
          <t>PAG-0360</t>
        </is>
      </c>
      <c r="B362" t="inlineStr">
        <is>
          <t>Wilson Rojas López</t>
        </is>
      </c>
      <c r="C362" t="inlineStr">
        <is>
          <t>PRY-007</t>
        </is>
      </c>
      <c r="D362" t="inlineStr">
        <is>
          <t>Cuota inicial</t>
        </is>
      </c>
      <c r="E362" t="n">
        <v>214000000</v>
      </c>
      <c r="F362" t="n">
        <v>121870968</v>
      </c>
      <c r="G362">
        <f>E362-F362</f>
        <v/>
      </c>
      <c r="H362">
        <f>IF(E362&gt;0,F362/E362,0)</f>
        <v/>
      </c>
      <c r="I362" s="28" t="n">
        <v>46216</v>
      </c>
      <c r="J362" t="inlineStr">
        <is>
          <t>Al día</t>
        </is>
      </c>
      <c r="K362" t="inlineStr">
        <is>
          <t>Sofía Prada</t>
        </is>
      </c>
    </row>
    <row r="363" ht="15.75" customHeight="1" s="25">
      <c r="A363" t="inlineStr">
        <is>
          <t>PAG-0361</t>
        </is>
      </c>
      <c r="B363" t="inlineStr">
        <is>
          <t>Gloria Pérez Valencia</t>
        </is>
      </c>
      <c r="C363" t="inlineStr">
        <is>
          <t>PRY-001</t>
        </is>
      </c>
      <c r="D363" t="inlineStr">
        <is>
          <t>Cuota inicial</t>
        </is>
      </c>
      <c r="E363" t="n">
        <v>220000000</v>
      </c>
      <c r="F363" t="n">
        <v>137500000</v>
      </c>
      <c r="G363">
        <f>E363-F363</f>
        <v/>
      </c>
      <c r="H363">
        <f>IF(E363&gt;0,F363/E363,0)</f>
        <v/>
      </c>
      <c r="I363" s="28" t="n">
        <v>46216</v>
      </c>
      <c r="J363" t="inlineStr">
        <is>
          <t>Al día</t>
        </is>
      </c>
      <c r="K363" t="inlineStr">
        <is>
          <t>Juliana Vélez</t>
        </is>
      </c>
    </row>
    <row r="364" ht="15.75" customHeight="1" s="25">
      <c r="A364" t="inlineStr">
        <is>
          <t>PAG-0362</t>
        </is>
      </c>
      <c r="B364" t="inlineStr">
        <is>
          <t>Nicolás Agudelo Salcedo</t>
        </is>
      </c>
      <c r="C364" t="inlineStr">
        <is>
          <t>PRY-008</t>
        </is>
      </c>
      <c r="D364" t="inlineStr">
        <is>
          <t>Cuota inicial</t>
        </is>
      </c>
      <c r="E364" t="n">
        <v>29000000</v>
      </c>
      <c r="F364" t="n">
        <v>29000000</v>
      </c>
      <c r="G364">
        <f>E364-F364</f>
        <v/>
      </c>
      <c r="H364">
        <f>IF(E364&gt;0,F364/E364,0)</f>
        <v/>
      </c>
      <c r="I364" s="28" t="n">
        <v>46067</v>
      </c>
      <c r="J364" t="inlineStr">
        <is>
          <t>Pagado</t>
        </is>
      </c>
      <c r="K364" t="inlineStr">
        <is>
          <t>Sofía Prada</t>
        </is>
      </c>
    </row>
    <row r="365" ht="15.75" customHeight="1" s="25">
      <c r="A365" t="inlineStr">
        <is>
          <t>PAG-0363</t>
        </is>
      </c>
      <c r="B365" t="inlineStr">
        <is>
          <t>Nicolás Agudelo Salcedo</t>
        </is>
      </c>
      <c r="C365" t="inlineStr">
        <is>
          <t>PRY-008</t>
        </is>
      </c>
      <c r="D365" t="inlineStr">
        <is>
          <t>Escrituración</t>
        </is>
      </c>
      <c r="E365" t="n">
        <v>115000000</v>
      </c>
      <c r="F365" t="n">
        <v>115000000</v>
      </c>
      <c r="G365">
        <f>E365-F365</f>
        <v/>
      </c>
      <c r="H365">
        <f>IF(E365&gt;0,F365/E365,0)</f>
        <v/>
      </c>
      <c r="I365" s="28" t="n">
        <v>46127</v>
      </c>
      <c r="J365" t="inlineStr">
        <is>
          <t>Pagado</t>
        </is>
      </c>
      <c r="K365" t="inlineStr">
        <is>
          <t>Sofía Prada</t>
        </is>
      </c>
    </row>
    <row r="366" ht="15.75" customHeight="1" s="25">
      <c r="A366" t="inlineStr">
        <is>
          <t>PAG-0364</t>
        </is>
      </c>
      <c r="B366" t="inlineStr">
        <is>
          <t>Liliana Muñoz López</t>
        </is>
      </c>
      <c r="C366" t="inlineStr">
        <is>
          <t>PRY-003</t>
        </is>
      </c>
      <c r="D366" t="inlineStr">
        <is>
          <t>Cuota inicial</t>
        </is>
      </c>
      <c r="E366" t="n">
        <v>118000000</v>
      </c>
      <c r="F366" t="n">
        <v>93454545</v>
      </c>
      <c r="G366">
        <f>E366-F366</f>
        <v/>
      </c>
      <c r="H366">
        <f>IF(E366&gt;0,F366/E366,0)</f>
        <v/>
      </c>
      <c r="I366" s="28" t="n">
        <v>46217</v>
      </c>
      <c r="J366" t="inlineStr">
        <is>
          <t>Al día</t>
        </is>
      </c>
      <c r="K366" t="inlineStr">
        <is>
          <t>Ana Quintero</t>
        </is>
      </c>
    </row>
    <row r="367" ht="15.75" customHeight="1" s="25">
      <c r="A367" t="inlineStr">
        <is>
          <t>PAG-0365</t>
        </is>
      </c>
      <c r="B367" t="inlineStr">
        <is>
          <t>Gabriel Zuluaga Quintero</t>
        </is>
      </c>
      <c r="C367" t="inlineStr">
        <is>
          <t>PRY-003</t>
        </is>
      </c>
      <c r="D367" t="inlineStr">
        <is>
          <t>Cuota inicial</t>
        </is>
      </c>
      <c r="E367" t="n">
        <v>108000000</v>
      </c>
      <c r="F367" t="n">
        <v>85727273</v>
      </c>
      <c r="G367">
        <f>E367-F367</f>
        <v/>
      </c>
      <c r="H367">
        <f>IF(E367&gt;0,F367/E367,0)</f>
        <v/>
      </c>
      <c r="I367" s="28" t="n">
        <v>46219</v>
      </c>
      <c r="J367" t="inlineStr">
        <is>
          <t>Al día</t>
        </is>
      </c>
      <c r="K367" t="inlineStr">
        <is>
          <t>Juliana Vélez</t>
        </is>
      </c>
    </row>
    <row r="368" ht="15.75" customHeight="1" s="25">
      <c r="A368" t="inlineStr">
        <is>
          <t>PAG-0366</t>
        </is>
      </c>
      <c r="B368" t="inlineStr">
        <is>
          <t>Sebastián Rojas Gómez</t>
        </is>
      </c>
      <c r="C368" t="inlineStr">
        <is>
          <t>PRY-002</t>
        </is>
      </c>
      <c r="D368" t="inlineStr">
        <is>
          <t>Cuota inicial</t>
        </is>
      </c>
      <c r="E368" t="n">
        <v>235000000</v>
      </c>
      <c r="F368" t="n">
        <v>122500000</v>
      </c>
      <c r="G368">
        <f>E368-F368</f>
        <v/>
      </c>
      <c r="H368">
        <f>IF(E368&gt;0,F368/E368,0)</f>
        <v/>
      </c>
      <c r="I368" s="28" t="n">
        <v>46220</v>
      </c>
      <c r="J368" t="inlineStr">
        <is>
          <t>Al día</t>
        </is>
      </c>
      <c r="K368" t="inlineStr">
        <is>
          <t>Santiago Muñoz</t>
        </is>
      </c>
    </row>
    <row r="369" ht="15.75" customHeight="1" s="25">
      <c r="A369" t="inlineStr">
        <is>
          <t>PAG-0367</t>
        </is>
      </c>
      <c r="B369" t="inlineStr">
        <is>
          <t>Valeria Muñoz Cano</t>
        </is>
      </c>
      <c r="C369" t="inlineStr">
        <is>
          <t>PRY-003</t>
        </is>
      </c>
      <c r="D369" t="inlineStr">
        <is>
          <t>Cuota inicial</t>
        </is>
      </c>
      <c r="E369" t="n">
        <v>96000000</v>
      </c>
      <c r="F369" t="n">
        <v>76454545</v>
      </c>
      <c r="G369">
        <f>E369-F369</f>
        <v/>
      </c>
      <c r="H369">
        <f>IF(E369&gt;0,F369/E369,0)</f>
        <v/>
      </c>
      <c r="I369" s="28" t="n">
        <v>46220</v>
      </c>
      <c r="J369" t="inlineStr">
        <is>
          <t>Al día</t>
        </is>
      </c>
      <c r="K369" t="inlineStr">
        <is>
          <t>Sofía Prada</t>
        </is>
      </c>
    </row>
    <row r="370" ht="15.75" customHeight="1" s="25">
      <c r="A370" t="inlineStr">
        <is>
          <t>PAG-0368</t>
        </is>
      </c>
      <c r="B370" t="inlineStr">
        <is>
          <t>Natalia Mejía Valencia</t>
        </is>
      </c>
      <c r="C370" t="inlineStr">
        <is>
          <t>PRY-005</t>
        </is>
      </c>
      <c r="D370" t="inlineStr">
        <is>
          <t>Cuota inicial</t>
        </is>
      </c>
      <c r="E370" t="n">
        <v>112000000</v>
      </c>
      <c r="F370" t="n">
        <v>79360000</v>
      </c>
      <c r="G370">
        <f>E370-F370</f>
        <v/>
      </c>
      <c r="H370">
        <f>IF(E370&gt;0,F370/E370,0)</f>
        <v/>
      </c>
      <c r="I370" s="28" t="n">
        <v>46224</v>
      </c>
      <c r="J370" t="inlineStr">
        <is>
          <t>Al día</t>
        </is>
      </c>
      <c r="K370" t="inlineStr">
        <is>
          <t>Paula Arenas</t>
        </is>
      </c>
    </row>
    <row r="371" ht="15.75" customHeight="1" s="25">
      <c r="A371" t="inlineStr">
        <is>
          <t>PAG-0369</t>
        </is>
      </c>
      <c r="B371" t="inlineStr">
        <is>
          <t>Gloria Henao Salcedo</t>
        </is>
      </c>
      <c r="C371" t="inlineStr">
        <is>
          <t>PRY-005</t>
        </is>
      </c>
      <c r="D371" t="inlineStr">
        <is>
          <t>Cuota inicial</t>
        </is>
      </c>
      <c r="E371" t="n">
        <v>113000000</v>
      </c>
      <c r="F371" t="n">
        <v>80040000</v>
      </c>
      <c r="G371">
        <f>E371-F371</f>
        <v/>
      </c>
      <c r="H371">
        <f>IF(E371&gt;0,F371/E371,0)</f>
        <v/>
      </c>
      <c r="I371" s="28" t="n">
        <v>46225</v>
      </c>
      <c r="J371" t="inlineStr">
        <is>
          <t>Al día</t>
        </is>
      </c>
      <c r="K371" t="inlineStr">
        <is>
          <t>Sofía Prada</t>
        </is>
      </c>
    </row>
    <row r="372" ht="15.75" customHeight="1" s="25">
      <c r="A372" t="inlineStr">
        <is>
          <t>PAG-0370</t>
        </is>
      </c>
      <c r="B372" t="inlineStr">
        <is>
          <t>Luisa Ramírez Sánchez</t>
        </is>
      </c>
      <c r="C372" t="inlineStr">
        <is>
          <t>PRY-001</t>
        </is>
      </c>
      <c r="D372" t="inlineStr">
        <is>
          <t>Cuota inicial</t>
        </is>
      </c>
      <c r="E372" t="n">
        <v>212000000</v>
      </c>
      <c r="F372" t="n">
        <v>132642857</v>
      </c>
      <c r="G372">
        <f>E372-F372</f>
        <v/>
      </c>
      <c r="H372">
        <f>IF(E372&gt;0,F372/E372,0)</f>
        <v/>
      </c>
      <c r="I372" s="28" t="n">
        <v>46228</v>
      </c>
      <c r="J372" t="inlineStr">
        <is>
          <t>Al día</t>
        </is>
      </c>
      <c r="K372" t="inlineStr">
        <is>
          <t>Ana Quintero</t>
        </is>
      </c>
    </row>
    <row r="373" ht="15.75" customHeight="1" s="25">
      <c r="A373" t="inlineStr">
        <is>
          <t>PAG-0371</t>
        </is>
      </c>
      <c r="B373" t="inlineStr">
        <is>
          <t>Julián Zapata Jaramillo</t>
        </is>
      </c>
      <c r="C373" t="inlineStr">
        <is>
          <t>PRY-005</t>
        </is>
      </c>
      <c r="D373" t="inlineStr">
        <is>
          <t>Cuota inicial</t>
        </is>
      </c>
      <c r="E373" t="n">
        <v>116000000</v>
      </c>
      <c r="F373" t="n">
        <v>82080000</v>
      </c>
      <c r="G373">
        <f>E373-F373</f>
        <v/>
      </c>
      <c r="H373">
        <f>IF(E373&gt;0,F373/E373,0)</f>
        <v/>
      </c>
      <c r="I373" s="28" t="n">
        <v>46229</v>
      </c>
      <c r="J373" t="inlineStr">
        <is>
          <t>Al día</t>
        </is>
      </c>
      <c r="K373" t="inlineStr">
        <is>
          <t>Luis Bedoya</t>
        </is>
      </c>
    </row>
    <row r="374" ht="15.75" customHeight="1" s="25">
      <c r="A374" t="inlineStr">
        <is>
          <t>PAG-0372</t>
        </is>
      </c>
      <c r="B374" t="inlineStr">
        <is>
          <t>Paula Echeverri Vélez</t>
        </is>
      </c>
      <c r="C374" t="inlineStr">
        <is>
          <t>PRY-008</t>
        </is>
      </c>
      <c r="D374" t="inlineStr">
        <is>
          <t>Cuota inicial</t>
        </is>
      </c>
      <c r="E374" t="n">
        <v>29000000</v>
      </c>
      <c r="F374" t="n">
        <v>29000000</v>
      </c>
      <c r="G374">
        <f>E374-F374</f>
        <v/>
      </c>
      <c r="H374">
        <f>IF(E374&gt;0,F374/E374,0)</f>
        <v/>
      </c>
      <c r="I374" s="28" t="n">
        <v>46081</v>
      </c>
      <c r="J374" t="inlineStr">
        <is>
          <t>Pagado</t>
        </is>
      </c>
      <c r="K374" t="inlineStr">
        <is>
          <t>Paula Arenas</t>
        </is>
      </c>
    </row>
    <row r="375" ht="15.75" customHeight="1" s="25">
      <c r="A375" t="inlineStr">
        <is>
          <t>PAG-0373</t>
        </is>
      </c>
      <c r="B375" t="inlineStr">
        <is>
          <t>Paula Echeverri Vélez</t>
        </is>
      </c>
      <c r="C375" t="inlineStr">
        <is>
          <t>PRY-008</t>
        </is>
      </c>
      <c r="D375" t="inlineStr">
        <is>
          <t>Escrituración</t>
        </is>
      </c>
      <c r="E375" t="n">
        <v>118000000</v>
      </c>
      <c r="F375" t="n">
        <v>118000000</v>
      </c>
      <c r="G375">
        <f>E375-F375</f>
        <v/>
      </c>
      <c r="H375">
        <f>IF(E375&gt;0,F375/E375,0)</f>
        <v/>
      </c>
      <c r="I375" s="28" t="n">
        <v>46117</v>
      </c>
      <c r="J375" t="inlineStr">
        <is>
          <t>Pagado</t>
        </is>
      </c>
      <c r="K375" t="inlineStr">
        <is>
          <t>Paula Arenas</t>
        </is>
      </c>
    </row>
    <row r="376" ht="15.75" customHeight="1" s="25">
      <c r="A376" t="inlineStr">
        <is>
          <t>PAG-0374</t>
        </is>
      </c>
      <c r="B376" t="inlineStr">
        <is>
          <t>Lorena Valencia Higuita</t>
        </is>
      </c>
      <c r="C376" t="inlineStr">
        <is>
          <t>PRY-004</t>
        </is>
      </c>
      <c r="D376" t="inlineStr">
        <is>
          <t>Cuota inicial</t>
        </is>
      </c>
      <c r="E376" t="n">
        <v>160000000</v>
      </c>
      <c r="F376" t="n">
        <v>160000000</v>
      </c>
      <c r="G376">
        <f>E376-F376</f>
        <v/>
      </c>
      <c r="H376">
        <f>IF(E376&gt;0,F376/E376,0)</f>
        <v/>
      </c>
      <c r="I376" s="28" t="n">
        <v>45960</v>
      </c>
      <c r="J376" t="inlineStr">
        <is>
          <t>Pagado</t>
        </is>
      </c>
      <c r="K376" t="inlineStr">
        <is>
          <t>Ana Quintero</t>
        </is>
      </c>
    </row>
    <row r="377" ht="15.75" customHeight="1" s="25">
      <c r="A377" t="inlineStr">
        <is>
          <t>PAG-0375</t>
        </is>
      </c>
      <c r="B377" t="inlineStr">
        <is>
          <t>Lorena Valencia Higuita</t>
        </is>
      </c>
      <c r="C377" t="inlineStr">
        <is>
          <t>PRY-004</t>
        </is>
      </c>
      <c r="D377" t="inlineStr">
        <is>
          <t>Escrituración</t>
        </is>
      </c>
      <c r="E377" t="n">
        <v>373000000</v>
      </c>
      <c r="F377" t="n">
        <v>373000000</v>
      </c>
      <c r="G377">
        <f>E377-F377</f>
        <v/>
      </c>
      <c r="H377">
        <f>IF(E377&gt;0,F377/E377,0)</f>
        <v/>
      </c>
      <c r="I377" s="28" t="n">
        <v>46037</v>
      </c>
      <c r="J377" t="inlineStr">
        <is>
          <t>Pagado</t>
        </is>
      </c>
      <c r="K377" t="inlineStr">
        <is>
          <t>Ana Quintero</t>
        </is>
      </c>
    </row>
    <row r="378" ht="15.75" customHeight="1" s="25">
      <c r="A378" t="inlineStr">
        <is>
          <t>PAG-0376</t>
        </is>
      </c>
      <c r="B378" t="inlineStr">
        <is>
          <t>Catalina Mejía Muñoz</t>
        </is>
      </c>
      <c r="C378" t="inlineStr">
        <is>
          <t>PRY-004</t>
        </is>
      </c>
      <c r="D378" t="inlineStr">
        <is>
          <t>Cuota inicial</t>
        </is>
      </c>
      <c r="E378" t="n">
        <v>166000000</v>
      </c>
      <c r="F378" t="n">
        <v>166000000</v>
      </c>
      <c r="G378">
        <f>E378-F378</f>
        <v/>
      </c>
      <c r="H378">
        <f>IF(E378&gt;0,F378/E378,0)</f>
        <v/>
      </c>
      <c r="I378" s="28" t="n">
        <v>45960</v>
      </c>
      <c r="J378" t="inlineStr">
        <is>
          <t>Pagado</t>
        </is>
      </c>
      <c r="K378" t="inlineStr">
        <is>
          <t>Luis Bedoya</t>
        </is>
      </c>
    </row>
    <row r="379" ht="15.75" customHeight="1" s="25">
      <c r="A379" t="inlineStr">
        <is>
          <t>PAG-0377</t>
        </is>
      </c>
      <c r="B379" t="inlineStr">
        <is>
          <t>Catalina Mejía Muñoz</t>
        </is>
      </c>
      <c r="C379" t="inlineStr">
        <is>
          <t>PRY-004</t>
        </is>
      </c>
      <c r="D379" t="inlineStr">
        <is>
          <t>Escrituración</t>
        </is>
      </c>
      <c r="E379" t="n">
        <v>388000000</v>
      </c>
      <c r="F379" t="n">
        <v>388000000</v>
      </c>
      <c r="G379">
        <f>E379-F379</f>
        <v/>
      </c>
      <c r="H379">
        <f>IF(E379&gt;0,F379/E379,0)</f>
        <v/>
      </c>
      <c r="I379" s="28" t="n">
        <v>46031</v>
      </c>
      <c r="J379" t="inlineStr">
        <is>
          <t>Pagado</t>
        </is>
      </c>
      <c r="K379" t="inlineStr">
        <is>
          <t>Luis Bedoya</t>
        </is>
      </c>
    </row>
    <row r="380" ht="15.75" customHeight="1" s="25">
      <c r="A380" t="inlineStr">
        <is>
          <t>PAG-0378</t>
        </is>
      </c>
      <c r="B380" t="inlineStr">
        <is>
          <t>Verónica Salcedo Hernández</t>
        </is>
      </c>
      <c r="C380" t="inlineStr">
        <is>
          <t>PRY-007</t>
        </is>
      </c>
      <c r="D380" t="inlineStr">
        <is>
          <t>Cuota inicial</t>
        </is>
      </c>
      <c r="E380" t="n">
        <v>214000000</v>
      </c>
      <c r="F380" t="n">
        <v>118800000</v>
      </c>
      <c r="G380">
        <f>E380-F380</f>
        <v/>
      </c>
      <c r="H380">
        <f>IF(E380&gt;0,F380/E380,0)</f>
        <v/>
      </c>
      <c r="I380" s="28" t="n">
        <v>46207</v>
      </c>
      <c r="J380" t="inlineStr">
        <is>
          <t>Al día</t>
        </is>
      </c>
      <c r="K380" t="inlineStr">
        <is>
          <t>Miguel Salazar</t>
        </is>
      </c>
    </row>
    <row r="381" ht="15.75" customHeight="1" s="25">
      <c r="A381" t="inlineStr">
        <is>
          <t>PAG-0379</t>
        </is>
      </c>
      <c r="B381" t="inlineStr">
        <is>
          <t>Patricia Ochoa Echeverri</t>
        </is>
      </c>
      <c r="C381" t="inlineStr">
        <is>
          <t>PRY-004</t>
        </is>
      </c>
      <c r="D381" t="inlineStr">
        <is>
          <t>Cuota inicial</t>
        </is>
      </c>
      <c r="E381" t="n">
        <v>154000000</v>
      </c>
      <c r="F381" t="n">
        <v>154000000</v>
      </c>
      <c r="G381">
        <f>E381-F381</f>
        <v/>
      </c>
      <c r="H381">
        <f>IF(E381&gt;0,F381/E381,0)</f>
        <v/>
      </c>
      <c r="I381" s="28" t="n">
        <v>45934</v>
      </c>
      <c r="J381" t="inlineStr">
        <is>
          <t>Pagado</t>
        </is>
      </c>
      <c r="K381" t="inlineStr">
        <is>
          <t>Sofía Prada</t>
        </is>
      </c>
    </row>
    <row r="382" ht="15.75" customHeight="1" s="25">
      <c r="A382" t="inlineStr">
        <is>
          <t>PAG-0380</t>
        </is>
      </c>
      <c r="B382" t="inlineStr">
        <is>
          <t>Patricia Ochoa Echeverri</t>
        </is>
      </c>
      <c r="C382" t="inlineStr">
        <is>
          <t>PRY-004</t>
        </is>
      </c>
      <c r="D382" t="inlineStr">
        <is>
          <t>Escrituración</t>
        </is>
      </c>
      <c r="E382" t="n">
        <v>361000000</v>
      </c>
      <c r="F382" t="n">
        <v>361000000</v>
      </c>
      <c r="G382">
        <f>E382-F382</f>
        <v/>
      </c>
      <c r="H382">
        <f>IF(E382&gt;0,F382/E382,0)</f>
        <v/>
      </c>
      <c r="I382" s="28" t="n">
        <v>46040</v>
      </c>
      <c r="J382" t="inlineStr">
        <is>
          <t>Pagado</t>
        </is>
      </c>
      <c r="K382" t="inlineStr">
        <is>
          <t>Sofía Prada</t>
        </is>
      </c>
    </row>
    <row r="383" ht="15.75" customHeight="1" s="25">
      <c r="A383" t="inlineStr">
        <is>
          <t>PAG-0381</t>
        </is>
      </c>
      <c r="B383" t="inlineStr">
        <is>
          <t>Isabel Escobar Agudelo</t>
        </is>
      </c>
      <c r="C383" t="inlineStr">
        <is>
          <t>PRY-004</t>
        </is>
      </c>
      <c r="D383" t="inlineStr">
        <is>
          <t>Cuota inicial</t>
        </is>
      </c>
      <c r="E383" t="n">
        <v>137000000</v>
      </c>
      <c r="F383" t="n">
        <v>137000000</v>
      </c>
      <c r="G383">
        <f>E383-F383</f>
        <v/>
      </c>
      <c r="H383">
        <f>IF(E383&gt;0,F383/E383,0)</f>
        <v/>
      </c>
      <c r="I383" s="28" t="n">
        <v>45935</v>
      </c>
      <c r="J383" t="inlineStr">
        <is>
          <t>Pagado</t>
        </is>
      </c>
      <c r="K383" t="inlineStr">
        <is>
          <t>Paula Arenas</t>
        </is>
      </c>
    </row>
    <row r="384" ht="15.75" customHeight="1" s="25">
      <c r="A384" t="inlineStr">
        <is>
          <t>PAG-0382</t>
        </is>
      </c>
      <c r="B384" t="inlineStr">
        <is>
          <t>Isabel Escobar Agudelo</t>
        </is>
      </c>
      <c r="C384" t="inlineStr">
        <is>
          <t>PRY-004</t>
        </is>
      </c>
      <c r="D384" t="inlineStr">
        <is>
          <t>Escrituración</t>
        </is>
      </c>
      <c r="E384" t="n">
        <v>321000000</v>
      </c>
      <c r="F384" t="n">
        <v>321000000</v>
      </c>
      <c r="G384">
        <f>E384-F384</f>
        <v/>
      </c>
      <c r="H384">
        <f>IF(E384&gt;0,F384/E384,0)</f>
        <v/>
      </c>
      <c r="I384" s="28" t="n">
        <v>45995</v>
      </c>
      <c r="J384" t="inlineStr">
        <is>
          <t>Pagado</t>
        </is>
      </c>
      <c r="K384" t="inlineStr">
        <is>
          <t>Paula Arenas</t>
        </is>
      </c>
    </row>
    <row r="385" ht="15.75" customHeight="1" s="25">
      <c r="A385" t="inlineStr">
        <is>
          <t>PAG-0383</t>
        </is>
      </c>
      <c r="B385" t="inlineStr">
        <is>
          <t>Diana Jaramillo Mejía</t>
        </is>
      </c>
      <c r="C385" t="inlineStr">
        <is>
          <t>PRY-008</t>
        </is>
      </c>
      <c r="D385" t="inlineStr">
        <is>
          <t>Cuota inicial</t>
        </is>
      </c>
      <c r="E385" t="n">
        <v>33000000</v>
      </c>
      <c r="F385" t="n">
        <v>33000000</v>
      </c>
      <c r="G385">
        <f>E385-F385</f>
        <v/>
      </c>
      <c r="H385">
        <f>IF(E385&gt;0,F385/E385,0)</f>
        <v/>
      </c>
      <c r="I385" s="28" t="n">
        <v>46059</v>
      </c>
      <c r="J385" t="inlineStr">
        <is>
          <t>Pagado</t>
        </is>
      </c>
      <c r="K385" t="inlineStr">
        <is>
          <t>Paula Arenas</t>
        </is>
      </c>
    </row>
    <row r="386" ht="15.75" customHeight="1" s="25">
      <c r="A386" t="inlineStr">
        <is>
          <t>PAG-0384</t>
        </is>
      </c>
      <c r="B386" t="inlineStr">
        <is>
          <t>Diana Jaramillo Mejía</t>
        </is>
      </c>
      <c r="C386" t="inlineStr">
        <is>
          <t>PRY-008</t>
        </is>
      </c>
      <c r="D386" t="inlineStr">
        <is>
          <t>Escrituración</t>
        </is>
      </c>
      <c r="E386" t="n">
        <v>132000000</v>
      </c>
      <c r="F386" t="n">
        <v>132000000</v>
      </c>
      <c r="G386">
        <f>E386-F386</f>
        <v/>
      </c>
      <c r="H386">
        <f>IF(E386&gt;0,F386/E386,0)</f>
        <v/>
      </c>
      <c r="I386" s="28" t="n">
        <v>46141</v>
      </c>
      <c r="J386" t="inlineStr">
        <is>
          <t>Pagado</t>
        </is>
      </c>
      <c r="K386" t="inlineStr">
        <is>
          <t>Paula Arenas</t>
        </is>
      </c>
    </row>
    <row r="387" ht="15.75" customHeight="1" s="25">
      <c r="A387" t="inlineStr">
        <is>
          <t>PAG-0385</t>
        </is>
      </c>
      <c r="B387" t="inlineStr">
        <is>
          <t>Ricardo Vásquez Giraldo</t>
        </is>
      </c>
      <c r="C387" t="inlineStr">
        <is>
          <t>PRY-007</t>
        </is>
      </c>
      <c r="D387" t="inlineStr">
        <is>
          <t>Cuota inicial</t>
        </is>
      </c>
      <c r="E387" t="n">
        <v>230000000</v>
      </c>
      <c r="F387" t="n">
        <v>112666667</v>
      </c>
      <c r="G387">
        <f>E387-F387</f>
        <v/>
      </c>
      <c r="H387">
        <f>IF(E387&gt;0,F387/E387,0)</f>
        <v/>
      </c>
      <c r="I387" s="28" t="n">
        <v>46148</v>
      </c>
      <c r="J387" t="inlineStr">
        <is>
          <t>En mora</t>
        </is>
      </c>
      <c r="K387" t="inlineStr">
        <is>
          <t>Paula Arenas</t>
        </is>
      </c>
    </row>
    <row r="388" ht="15.75" customHeight="1" s="25">
      <c r="A388" t="inlineStr">
        <is>
          <t>PAG-0386</t>
        </is>
      </c>
      <c r="B388" t="inlineStr">
        <is>
          <t>Alejandra Higuita Marín</t>
        </is>
      </c>
      <c r="C388" t="inlineStr">
        <is>
          <t>PRY-003</t>
        </is>
      </c>
      <c r="D388" t="inlineStr">
        <is>
          <t>Cuota inicial</t>
        </is>
      </c>
      <c r="E388" t="n">
        <v>119000000</v>
      </c>
      <c r="F388" t="n">
        <v>93047619</v>
      </c>
      <c r="G388">
        <f>E388-F388</f>
        <v/>
      </c>
      <c r="H388">
        <f>IF(E388&gt;0,F388/E388,0)</f>
        <v/>
      </c>
      <c r="I388" s="28" t="n">
        <v>46210</v>
      </c>
      <c r="J388" t="inlineStr">
        <is>
          <t>Al día</t>
        </is>
      </c>
      <c r="K388" t="inlineStr">
        <is>
          <t>Andrés Torres</t>
        </is>
      </c>
    </row>
    <row r="389" ht="15.75" customHeight="1" s="25">
      <c r="A389" t="inlineStr">
        <is>
          <t>PAG-0387</t>
        </is>
      </c>
      <c r="B389" t="inlineStr">
        <is>
          <t>Paola Vélez Gómez</t>
        </is>
      </c>
      <c r="C389" t="inlineStr">
        <is>
          <t>PRY-005</t>
        </is>
      </c>
      <c r="D389" t="inlineStr">
        <is>
          <t>Cuota inicial</t>
        </is>
      </c>
      <c r="E389" t="n">
        <v>112000000</v>
      </c>
      <c r="F389" t="n">
        <v>78000000</v>
      </c>
      <c r="G389">
        <f>E389-F389</f>
        <v/>
      </c>
      <c r="H389">
        <f>IF(E389&gt;0,F389/E389,0)</f>
        <v/>
      </c>
      <c r="I389" s="28" t="n">
        <v>46212</v>
      </c>
      <c r="J389" t="inlineStr">
        <is>
          <t>Al día</t>
        </is>
      </c>
      <c r="K389" t="inlineStr">
        <is>
          <t>Paula Arenas</t>
        </is>
      </c>
    </row>
    <row r="390" ht="15.75" customHeight="1" s="25">
      <c r="A390" t="inlineStr">
        <is>
          <t>PAG-0388</t>
        </is>
      </c>
      <c r="B390" t="inlineStr">
        <is>
          <t>Mateo Vélez Valencia</t>
        </is>
      </c>
      <c r="C390" t="inlineStr">
        <is>
          <t>PRY-008</t>
        </is>
      </c>
      <c r="D390" t="inlineStr">
        <is>
          <t>Cuota inicial</t>
        </is>
      </c>
      <c r="E390" t="n">
        <v>31000000</v>
      </c>
      <c r="F390" t="n">
        <v>31000000</v>
      </c>
      <c r="G390">
        <f>E390-F390</f>
        <v/>
      </c>
      <c r="H390">
        <f>IF(E390&gt;0,F390/E390,0)</f>
        <v/>
      </c>
      <c r="I390" s="28" t="n">
        <v>46062</v>
      </c>
      <c r="J390" t="inlineStr">
        <is>
          <t>Pagado</t>
        </is>
      </c>
      <c r="K390" t="inlineStr">
        <is>
          <t>Miguel Salazar</t>
        </is>
      </c>
    </row>
    <row r="391" ht="15.75" customHeight="1" s="25">
      <c r="A391" t="inlineStr">
        <is>
          <t>PAG-0389</t>
        </is>
      </c>
      <c r="B391" t="inlineStr">
        <is>
          <t>Mateo Vélez Valencia</t>
        </is>
      </c>
      <c r="C391" t="inlineStr">
        <is>
          <t>PRY-008</t>
        </is>
      </c>
      <c r="D391" t="inlineStr">
        <is>
          <t>Escrituración</t>
        </is>
      </c>
      <c r="E391" t="n">
        <v>125000000</v>
      </c>
      <c r="F391" t="n">
        <v>125000000</v>
      </c>
      <c r="G391">
        <f>E391-F391</f>
        <v/>
      </c>
      <c r="H391">
        <f>IF(E391&gt;0,F391/E391,0)</f>
        <v/>
      </c>
      <c r="I391" s="28" t="n">
        <v>46129</v>
      </c>
      <c r="J391" t="inlineStr">
        <is>
          <t>Pagado</t>
        </is>
      </c>
      <c r="K391" t="inlineStr">
        <is>
          <t>Miguel Salazar</t>
        </is>
      </c>
    </row>
    <row r="392" ht="15.75" customHeight="1" s="25">
      <c r="A392" t="inlineStr">
        <is>
          <t>PAG-0390</t>
        </is>
      </c>
      <c r="B392" t="inlineStr">
        <is>
          <t>Ximena Uribe Osorio</t>
        </is>
      </c>
      <c r="C392" t="inlineStr">
        <is>
          <t>PRY-007</t>
        </is>
      </c>
      <c r="D392" t="inlineStr">
        <is>
          <t>Cuota inicial</t>
        </is>
      </c>
      <c r="E392" t="n">
        <v>208000000</v>
      </c>
      <c r="F392" t="n">
        <v>115600000</v>
      </c>
      <c r="G392">
        <f>E392-F392</f>
        <v/>
      </c>
      <c r="H392">
        <f>IF(E392&gt;0,F392/E392,0)</f>
        <v/>
      </c>
      <c r="I392" s="28" t="n">
        <v>46213</v>
      </c>
      <c r="J392" t="inlineStr">
        <is>
          <t>Al día</t>
        </is>
      </c>
      <c r="K392" t="inlineStr">
        <is>
          <t>Ana Quintero</t>
        </is>
      </c>
    </row>
    <row r="393" ht="15.75" customHeight="1" s="25">
      <c r="A393" t="inlineStr">
        <is>
          <t>PAG-0391</t>
        </is>
      </c>
      <c r="B393" t="inlineStr">
        <is>
          <t>Juan Pablo Jaramillo Escobar</t>
        </is>
      </c>
      <c r="C393" t="inlineStr">
        <is>
          <t>PRY-008</t>
        </is>
      </c>
      <c r="D393" t="inlineStr">
        <is>
          <t>Cuota inicial</t>
        </is>
      </c>
      <c r="E393" t="n">
        <v>29000000</v>
      </c>
      <c r="F393" t="n">
        <v>29000000</v>
      </c>
      <c r="G393">
        <f>E393-F393</f>
        <v/>
      </c>
      <c r="H393">
        <f>IF(E393&gt;0,F393/E393,0)</f>
        <v/>
      </c>
      <c r="I393" s="28" t="n">
        <v>46063</v>
      </c>
      <c r="J393" t="inlineStr">
        <is>
          <t>Pagado</t>
        </is>
      </c>
      <c r="K393" t="inlineStr">
        <is>
          <t>Santiago Muñoz</t>
        </is>
      </c>
    </row>
    <row r="394" ht="15.75" customHeight="1" s="25">
      <c r="A394" t="inlineStr">
        <is>
          <t>PAG-0392</t>
        </is>
      </c>
      <c r="B394" t="inlineStr">
        <is>
          <t>Juan Pablo Jaramillo Escobar</t>
        </is>
      </c>
      <c r="C394" t="inlineStr">
        <is>
          <t>PRY-008</t>
        </is>
      </c>
      <c r="D394" t="inlineStr">
        <is>
          <t>Escrituración</t>
        </is>
      </c>
      <c r="E394" t="n">
        <v>118000000</v>
      </c>
      <c r="F394" t="n">
        <v>118000000</v>
      </c>
      <c r="G394">
        <f>E394-F394</f>
        <v/>
      </c>
      <c r="H394">
        <f>IF(E394&gt;0,F394/E394,0)</f>
        <v/>
      </c>
      <c r="I394" s="28" t="n">
        <v>46146</v>
      </c>
      <c r="J394" t="inlineStr">
        <is>
          <t>Pagado</t>
        </is>
      </c>
      <c r="K394" t="inlineStr">
        <is>
          <t>Santiago Muñoz</t>
        </is>
      </c>
    </row>
    <row r="395" ht="15.75" customHeight="1" s="25">
      <c r="A395" t="inlineStr">
        <is>
          <t>PAG-0393</t>
        </is>
      </c>
      <c r="B395" t="inlineStr">
        <is>
          <t>Carolina Castaño Giraldo</t>
        </is>
      </c>
      <c r="C395" t="inlineStr">
        <is>
          <t>PRY-003</t>
        </is>
      </c>
      <c r="D395" t="inlineStr">
        <is>
          <t>Cuota inicial</t>
        </is>
      </c>
      <c r="E395" t="n">
        <v>92000000</v>
      </c>
      <c r="F395" t="n">
        <v>72476190</v>
      </c>
      <c r="G395">
        <f>E395-F395</f>
        <v/>
      </c>
      <c r="H395">
        <f>IF(E395&gt;0,F395/E395,0)</f>
        <v/>
      </c>
      <c r="I395" s="28" t="n">
        <v>46217</v>
      </c>
      <c r="J395" t="inlineStr">
        <is>
          <t>Al día</t>
        </is>
      </c>
      <c r="K395" t="inlineStr">
        <is>
          <t>Luis Bedoya</t>
        </is>
      </c>
    </row>
    <row r="396" ht="15.75" customHeight="1" s="25">
      <c r="A396" t="inlineStr">
        <is>
          <t>PAG-0394</t>
        </is>
      </c>
      <c r="B396" t="inlineStr">
        <is>
          <t>Daniel Cifuentes Castaño</t>
        </is>
      </c>
      <c r="C396" t="inlineStr">
        <is>
          <t>PRY-001</t>
        </is>
      </c>
      <c r="D396" t="inlineStr">
        <is>
          <t>Cuota inicial</t>
        </is>
      </c>
      <c r="E396" t="n">
        <v>257000000</v>
      </c>
      <c r="F396" t="n">
        <v>156370370</v>
      </c>
      <c r="G396">
        <f>E396-F396</f>
        <v/>
      </c>
      <c r="H396">
        <f>IF(E396&gt;0,F396/E396,0)</f>
        <v/>
      </c>
      <c r="I396" s="28" t="n">
        <v>46217</v>
      </c>
      <c r="J396" t="inlineStr">
        <is>
          <t>Al día</t>
        </is>
      </c>
      <c r="K396" t="inlineStr">
        <is>
          <t>Paula Arenas</t>
        </is>
      </c>
    </row>
    <row r="397" ht="15.75" customHeight="1" s="25">
      <c r="A397" t="inlineStr">
        <is>
          <t>PAG-0395</t>
        </is>
      </c>
      <c r="B397" t="inlineStr">
        <is>
          <t>Diana López Cifuentes</t>
        </is>
      </c>
      <c r="C397" t="inlineStr">
        <is>
          <t>PRY-004</t>
        </is>
      </c>
      <c r="D397" t="inlineStr">
        <is>
          <t>Cuota inicial</t>
        </is>
      </c>
      <c r="E397" t="n">
        <v>139000000</v>
      </c>
      <c r="F397" t="n">
        <v>139000000</v>
      </c>
      <c r="G397">
        <f>E397-F397</f>
        <v/>
      </c>
      <c r="H397">
        <f>IF(E397&gt;0,F397/E397,0)</f>
        <v/>
      </c>
      <c r="I397" s="28" t="n">
        <v>45945</v>
      </c>
      <c r="J397" t="inlineStr">
        <is>
          <t>Pagado</t>
        </is>
      </c>
      <c r="K397" t="inlineStr">
        <is>
          <t>Luis Bedoya</t>
        </is>
      </c>
    </row>
    <row r="398" ht="15.75" customHeight="1" s="25">
      <c r="A398" t="inlineStr">
        <is>
          <t>PAG-0396</t>
        </is>
      </c>
      <c r="B398" t="inlineStr">
        <is>
          <t>Diana López Cifuentes</t>
        </is>
      </c>
      <c r="C398" t="inlineStr">
        <is>
          <t>PRY-004</t>
        </is>
      </c>
      <c r="D398" t="inlineStr">
        <is>
          <t>Escrituración</t>
        </is>
      </c>
      <c r="E398" t="n">
        <v>324000000</v>
      </c>
      <c r="F398" t="n">
        <v>324000000</v>
      </c>
      <c r="G398">
        <f>E398-F398</f>
        <v/>
      </c>
      <c r="H398">
        <f>IF(E398&gt;0,F398/E398,0)</f>
        <v/>
      </c>
      <c r="I398" s="28" t="n">
        <v>46047</v>
      </c>
      <c r="J398" t="inlineStr">
        <is>
          <t>Pagado</t>
        </is>
      </c>
      <c r="K398" t="inlineStr">
        <is>
          <t>Luis Bedoya</t>
        </is>
      </c>
    </row>
    <row r="399" ht="15.75" customHeight="1" s="25">
      <c r="A399" t="inlineStr">
        <is>
          <t>PAG-0397</t>
        </is>
      </c>
      <c r="B399" t="inlineStr">
        <is>
          <t>Natalia Espinosa Salazar</t>
        </is>
      </c>
      <c r="C399" t="inlineStr">
        <is>
          <t>PRY-008</t>
        </is>
      </c>
      <c r="D399" t="inlineStr">
        <is>
          <t>Cuota inicial</t>
        </is>
      </c>
      <c r="E399" t="n">
        <v>34000000</v>
      </c>
      <c r="F399" t="n">
        <v>34000000</v>
      </c>
      <c r="G399">
        <f>E399-F399</f>
        <v/>
      </c>
      <c r="H399">
        <f>IF(E399&gt;0,F399/E399,0)</f>
        <v/>
      </c>
      <c r="I399" s="28" t="n">
        <v>46069</v>
      </c>
      <c r="J399" t="inlineStr">
        <is>
          <t>Pagado</t>
        </is>
      </c>
      <c r="K399" t="inlineStr">
        <is>
          <t>Paula Arenas</t>
        </is>
      </c>
    </row>
    <row r="400" ht="15.75" customHeight="1" s="25">
      <c r="A400" t="inlineStr">
        <is>
          <t>PAG-0398</t>
        </is>
      </c>
      <c r="B400" t="inlineStr">
        <is>
          <t>Natalia Espinosa Salazar</t>
        </is>
      </c>
      <c r="C400" t="inlineStr">
        <is>
          <t>PRY-008</t>
        </is>
      </c>
      <c r="D400" t="inlineStr">
        <is>
          <t>Escrituración</t>
        </is>
      </c>
      <c r="E400" t="n">
        <v>137000000</v>
      </c>
      <c r="F400" t="n">
        <v>137000000</v>
      </c>
      <c r="G400">
        <f>E400-F400</f>
        <v/>
      </c>
      <c r="H400">
        <f>IF(E400&gt;0,F400/E400,0)</f>
        <v/>
      </c>
      <c r="I400" s="28" t="n">
        <v>46120</v>
      </c>
      <c r="J400" t="inlineStr">
        <is>
          <t>Pagado</t>
        </is>
      </c>
      <c r="K400" t="inlineStr">
        <is>
          <t>Paula Arenas</t>
        </is>
      </c>
    </row>
    <row r="401" ht="15.75" customHeight="1" s="25">
      <c r="A401" t="inlineStr">
        <is>
          <t>PAG-0399</t>
        </is>
      </c>
      <c r="B401" t="inlineStr">
        <is>
          <t>Mauricio Rojas Sánchez</t>
        </is>
      </c>
      <c r="C401" t="inlineStr">
        <is>
          <t>PRY-002</t>
        </is>
      </c>
      <c r="D401" t="inlineStr">
        <is>
          <t>Cuota inicial</t>
        </is>
      </c>
      <c r="E401" t="n">
        <v>231000000</v>
      </c>
      <c r="F401" t="n">
        <v>117151515</v>
      </c>
      <c r="G401">
        <f>E401-F401</f>
        <v/>
      </c>
      <c r="H401">
        <f>IF(E401&gt;0,F401/E401,0)</f>
        <v/>
      </c>
      <c r="I401" s="28" t="n">
        <v>46220</v>
      </c>
      <c r="J401" t="inlineStr">
        <is>
          <t>Al día</t>
        </is>
      </c>
      <c r="K401" t="inlineStr">
        <is>
          <t>Andrés Torres</t>
        </is>
      </c>
    </row>
    <row r="402" ht="15.75" customHeight="1" s="25">
      <c r="A402" t="inlineStr">
        <is>
          <t>PAG-0400</t>
        </is>
      </c>
      <c r="B402" t="inlineStr">
        <is>
          <t>Felipe Zapata Álvarez</t>
        </is>
      </c>
      <c r="C402" t="inlineStr">
        <is>
          <t>PRY-001</t>
        </is>
      </c>
      <c r="D402" t="inlineStr">
        <is>
          <t>Cuota inicial</t>
        </is>
      </c>
      <c r="E402" t="n">
        <v>262000000</v>
      </c>
      <c r="F402" t="n">
        <v>122000000</v>
      </c>
      <c r="G402">
        <f>E402-F402</f>
        <v/>
      </c>
      <c r="H402">
        <f>IF(E402&gt;0,F402/E402,0)</f>
        <v/>
      </c>
      <c r="I402" s="28" t="n">
        <v>46099</v>
      </c>
      <c r="J402" t="inlineStr">
        <is>
          <t>En mora</t>
        </is>
      </c>
      <c r="K402" t="inlineStr">
        <is>
          <t>Santiago Muñoz</t>
        </is>
      </c>
    </row>
    <row r="403" ht="15.75" customHeight="1" s="25">
      <c r="A403" t="inlineStr">
        <is>
          <t>PAG-0401</t>
        </is>
      </c>
      <c r="B403" t="inlineStr">
        <is>
          <t>Emilio Álvarez Vélez</t>
        </is>
      </c>
      <c r="C403" t="inlineStr">
        <is>
          <t>PRY-001</t>
        </is>
      </c>
      <c r="D403" t="inlineStr">
        <is>
          <t>Cuota inicial</t>
        </is>
      </c>
      <c r="E403" t="n">
        <v>237000000</v>
      </c>
      <c r="F403" t="n">
        <v>144518519</v>
      </c>
      <c r="G403">
        <f>E403-F403</f>
        <v/>
      </c>
      <c r="H403">
        <f>IF(E403&gt;0,F403/E403,0)</f>
        <v/>
      </c>
      <c r="I403" s="28" t="n">
        <v>46222</v>
      </c>
      <c r="J403" t="inlineStr">
        <is>
          <t>Al día</t>
        </is>
      </c>
      <c r="K403" t="inlineStr">
        <is>
          <t>Andrés Torres</t>
        </is>
      </c>
    </row>
    <row r="404" ht="15.75" customHeight="1" s="25">
      <c r="A404" t="inlineStr">
        <is>
          <t>PAG-0402</t>
        </is>
      </c>
      <c r="B404" t="inlineStr">
        <is>
          <t>Carlos Montes Jaramillo</t>
        </is>
      </c>
      <c r="C404" t="inlineStr">
        <is>
          <t>PRY-003</t>
        </is>
      </c>
      <c r="D404" t="inlineStr">
        <is>
          <t>Cuota inicial</t>
        </is>
      </c>
      <c r="E404" t="n">
        <v>114000000</v>
      </c>
      <c r="F404" t="n">
        <v>89238095</v>
      </c>
      <c r="G404">
        <f>E404-F404</f>
        <v/>
      </c>
      <c r="H404">
        <f>IF(E404&gt;0,F404/E404,0)</f>
        <v/>
      </c>
      <c r="I404" s="28" t="n">
        <v>46224</v>
      </c>
      <c r="J404" t="inlineStr">
        <is>
          <t>Al día</t>
        </is>
      </c>
      <c r="K404" t="inlineStr">
        <is>
          <t>Andrés Torres</t>
        </is>
      </c>
    </row>
    <row r="405" ht="15.75" customHeight="1" s="25">
      <c r="A405" t="inlineStr">
        <is>
          <t>PAG-0403</t>
        </is>
      </c>
      <c r="B405" t="inlineStr">
        <is>
          <t>Simón Correa Ochoa</t>
        </is>
      </c>
      <c r="C405" t="inlineStr">
        <is>
          <t>PRY-003</t>
        </is>
      </c>
      <c r="D405" t="inlineStr">
        <is>
          <t>Cuota inicial</t>
        </is>
      </c>
      <c r="E405" t="n">
        <v>94000000</v>
      </c>
      <c r="F405" t="n">
        <v>74000000</v>
      </c>
      <c r="G405">
        <f>E405-F405</f>
        <v/>
      </c>
      <c r="H405">
        <f>IF(E405&gt;0,F405/E405,0)</f>
        <v/>
      </c>
      <c r="I405" s="28" t="n">
        <v>46226</v>
      </c>
      <c r="J405" t="inlineStr">
        <is>
          <t>Al día</t>
        </is>
      </c>
      <c r="K405" t="inlineStr">
        <is>
          <t>Paula Arenas</t>
        </is>
      </c>
    </row>
    <row r="406" ht="15.75" customHeight="1" s="25">
      <c r="A406" t="inlineStr">
        <is>
          <t>PAG-0404</t>
        </is>
      </c>
      <c r="B406" t="inlineStr">
        <is>
          <t>Diana Correa Betancur</t>
        </is>
      </c>
      <c r="C406" t="inlineStr">
        <is>
          <t>PRY-002</t>
        </is>
      </c>
      <c r="D406" t="inlineStr">
        <is>
          <t>Cuota inicial</t>
        </is>
      </c>
      <c r="E406" t="n">
        <v>211000000</v>
      </c>
      <c r="F406" t="n">
        <v>107454545</v>
      </c>
      <c r="G406">
        <f>E406-F406</f>
        <v/>
      </c>
      <c r="H406">
        <f>IF(E406&gt;0,F406/E406,0)</f>
        <v/>
      </c>
      <c r="I406" s="28" t="n">
        <v>46227</v>
      </c>
      <c r="J406" t="inlineStr">
        <is>
          <t>Al día</t>
        </is>
      </c>
      <c r="K406" t="inlineStr">
        <is>
          <t>Santiago Muñoz</t>
        </is>
      </c>
    </row>
    <row r="407" ht="15.75" customHeight="1" s="25">
      <c r="A407" t="inlineStr">
        <is>
          <t>PAG-0405</t>
        </is>
      </c>
      <c r="B407" t="inlineStr">
        <is>
          <t>Sandra Salcedo Marín</t>
        </is>
      </c>
      <c r="C407" t="inlineStr">
        <is>
          <t>PRY-003</t>
        </is>
      </c>
      <c r="D407" t="inlineStr">
        <is>
          <t>Cuota inicial</t>
        </is>
      </c>
      <c r="E407" t="n">
        <v>131000000</v>
      </c>
      <c r="F407" t="n">
        <v>102190476</v>
      </c>
      <c r="G407">
        <f>E407-F407</f>
        <v/>
      </c>
      <c r="H407">
        <f>IF(E407&gt;0,F407/E407,0)</f>
        <v/>
      </c>
      <c r="I407" s="28" t="n">
        <v>46228</v>
      </c>
      <c r="J407" t="inlineStr">
        <is>
          <t>Al día</t>
        </is>
      </c>
      <c r="K407" t="inlineStr">
        <is>
          <t>Miguel Salazar</t>
        </is>
      </c>
    </row>
    <row r="408" ht="15.75" customHeight="1" s="25">
      <c r="A408" t="inlineStr">
        <is>
          <t>PAG-0406</t>
        </is>
      </c>
      <c r="B408" t="inlineStr">
        <is>
          <t>Sebastián Peláez Higuita</t>
        </is>
      </c>
      <c r="C408" t="inlineStr">
        <is>
          <t>PRY-004</t>
        </is>
      </c>
      <c r="D408" t="inlineStr">
        <is>
          <t>Cuota inicial</t>
        </is>
      </c>
      <c r="E408" t="n">
        <v>137000000</v>
      </c>
      <c r="F408" t="n">
        <v>137000000</v>
      </c>
      <c r="G408">
        <f>E408-F408</f>
        <v/>
      </c>
      <c r="H408">
        <f>IF(E408&gt;0,F408/E408,0)</f>
        <v/>
      </c>
      <c r="I408" s="28" t="n">
        <v>45956</v>
      </c>
      <c r="J408" t="inlineStr">
        <is>
          <t>Pagado</t>
        </is>
      </c>
      <c r="K408" t="inlineStr">
        <is>
          <t>Santiago Muñoz</t>
        </is>
      </c>
    </row>
    <row r="409" ht="15.75" customHeight="1" s="25">
      <c r="A409" t="inlineStr">
        <is>
          <t>PAG-0407</t>
        </is>
      </c>
      <c r="B409" t="inlineStr">
        <is>
          <t>Sebastián Peláez Higuita</t>
        </is>
      </c>
      <c r="C409" t="inlineStr">
        <is>
          <t>PRY-004</t>
        </is>
      </c>
      <c r="D409" t="inlineStr">
        <is>
          <t>Escrituración</t>
        </is>
      </c>
      <c r="E409" t="n">
        <v>321000000</v>
      </c>
      <c r="F409" t="n">
        <v>321000000</v>
      </c>
      <c r="G409">
        <f>E409-F409</f>
        <v/>
      </c>
      <c r="H409">
        <f>IF(E409&gt;0,F409/E409,0)</f>
        <v/>
      </c>
      <c r="I409" s="28" t="n">
        <v>46036</v>
      </c>
      <c r="J409" t="inlineStr">
        <is>
          <t>Pagado</t>
        </is>
      </c>
      <c r="K409" t="inlineStr">
        <is>
          <t>Santiago Muñoz</t>
        </is>
      </c>
    </row>
    <row r="410" ht="15.75" customHeight="1" s="25">
      <c r="A410" t="inlineStr">
        <is>
          <t>PAG-0408</t>
        </is>
      </c>
      <c r="B410" t="inlineStr">
        <is>
          <t>Cristian Mejía Valencia</t>
        </is>
      </c>
      <c r="C410" t="inlineStr">
        <is>
          <t>PRY-005</t>
        </is>
      </c>
      <c r="D410" t="inlineStr">
        <is>
          <t>Cuota inicial</t>
        </is>
      </c>
      <c r="E410" t="n">
        <v>132000000</v>
      </c>
      <c r="F410" t="n">
        <v>76083333</v>
      </c>
      <c r="G410">
        <f>E410-F410</f>
        <v/>
      </c>
      <c r="H410">
        <f>IF(E410&gt;0,F410/E410,0)</f>
        <v/>
      </c>
      <c r="I410" s="28" t="n">
        <v>46139</v>
      </c>
      <c r="J410" t="inlineStr">
        <is>
          <t>En mora</t>
        </is>
      </c>
      <c r="K410" t="inlineStr">
        <is>
          <t>Sofía Prada</t>
        </is>
      </c>
    </row>
    <row r="411" ht="15.75" customHeight="1" s="25">
      <c r="A411" t="inlineStr">
        <is>
          <t>PAG-0409</t>
        </is>
      </c>
      <c r="B411" t="inlineStr">
        <is>
          <t>Carolina Espinosa Rojas</t>
        </is>
      </c>
      <c r="C411" t="inlineStr">
        <is>
          <t>PRY-004</t>
        </is>
      </c>
      <c r="D411" t="inlineStr">
        <is>
          <t>Cuota inicial</t>
        </is>
      </c>
      <c r="E411" t="n">
        <v>158000000</v>
      </c>
      <c r="F411" t="n">
        <v>158000000</v>
      </c>
      <c r="G411">
        <f>E411-F411</f>
        <v/>
      </c>
      <c r="H411">
        <f>IF(E411&gt;0,F411/E411,0)</f>
        <v/>
      </c>
      <c r="I411" s="28" t="n">
        <v>45957</v>
      </c>
      <c r="J411" t="inlineStr">
        <is>
          <t>Pagado</t>
        </is>
      </c>
      <c r="K411" t="inlineStr">
        <is>
          <t>Santiago Muñoz</t>
        </is>
      </c>
    </row>
    <row r="412" ht="15.75" customHeight="1" s="25">
      <c r="A412" t="inlineStr">
        <is>
          <t>PAG-0410</t>
        </is>
      </c>
      <c r="B412" t="inlineStr">
        <is>
          <t>Carolina Espinosa Rojas</t>
        </is>
      </c>
      <c r="C412" t="inlineStr">
        <is>
          <t>PRY-004</t>
        </is>
      </c>
      <c r="D412" t="inlineStr">
        <is>
          <t>Escrituración</t>
        </is>
      </c>
      <c r="E412" t="n">
        <v>368000000</v>
      </c>
      <c r="F412" t="n">
        <v>368000000</v>
      </c>
      <c r="G412">
        <f>E412-F412</f>
        <v/>
      </c>
      <c r="H412">
        <f>IF(E412&gt;0,F412/E412,0)</f>
        <v/>
      </c>
      <c r="I412" s="28" t="n">
        <v>46061</v>
      </c>
      <c r="J412" t="inlineStr">
        <is>
          <t>Pagado</t>
        </is>
      </c>
      <c r="K412" t="inlineStr">
        <is>
          <t>Santiago Muñoz</t>
        </is>
      </c>
    </row>
    <row r="413" ht="15.75" customHeight="1" s="25">
      <c r="A413" t="inlineStr">
        <is>
          <t>PAG-0411</t>
        </is>
      </c>
      <c r="B413" t="inlineStr">
        <is>
          <t>Alejandro Gómez Cifuentes</t>
        </is>
      </c>
      <c r="C413" t="inlineStr">
        <is>
          <t>PRY-005</t>
        </is>
      </c>
      <c r="D413" t="inlineStr">
        <is>
          <t>Cuota inicial</t>
        </is>
      </c>
      <c r="E413" t="n">
        <v>116000000</v>
      </c>
      <c r="F413" t="n">
        <v>76250000</v>
      </c>
      <c r="G413">
        <f>E413-F413</f>
        <v/>
      </c>
      <c r="H413">
        <f>IF(E413&gt;0,F413/E413,0)</f>
        <v/>
      </c>
      <c r="I413" s="28" t="n">
        <v>46200</v>
      </c>
      <c r="J413" t="inlineStr">
        <is>
          <t>En mora</t>
        </is>
      </c>
      <c r="K413" t="inlineStr">
        <is>
          <t>Sofía Prada</t>
        </is>
      </c>
    </row>
    <row r="414" ht="15.75" customHeight="1" s="25">
      <c r="A414" t="inlineStr">
        <is>
          <t>PAG-0412</t>
        </is>
      </c>
      <c r="B414" t="inlineStr">
        <is>
          <t>Felipe Higuita Osorio</t>
        </is>
      </c>
      <c r="C414" t="inlineStr">
        <is>
          <t>PRY-008</t>
        </is>
      </c>
      <c r="D414" t="inlineStr">
        <is>
          <t>Cuota inicial</t>
        </is>
      </c>
      <c r="E414" t="n">
        <v>36000000</v>
      </c>
      <c r="F414" t="n">
        <v>36000000</v>
      </c>
      <c r="G414">
        <f>E414-F414</f>
        <v/>
      </c>
      <c r="H414">
        <f>IF(E414&gt;0,F414/E414,0)</f>
        <v/>
      </c>
      <c r="I414" s="28" t="n">
        <v>46054</v>
      </c>
      <c r="J414" t="inlineStr">
        <is>
          <t>Pagado</t>
        </is>
      </c>
      <c r="K414" t="inlineStr">
        <is>
          <t>Paula Arenas</t>
        </is>
      </c>
    </row>
    <row r="415" ht="15.75" customHeight="1" s="25">
      <c r="A415" t="inlineStr">
        <is>
          <t>PAG-0413</t>
        </is>
      </c>
      <c r="B415" t="inlineStr">
        <is>
          <t>Felipe Higuita Osorio</t>
        </is>
      </c>
      <c r="C415" t="inlineStr">
        <is>
          <t>PRY-008</t>
        </is>
      </c>
      <c r="D415" t="inlineStr">
        <is>
          <t>Escrituración</t>
        </is>
      </c>
      <c r="E415" t="n">
        <v>142000000</v>
      </c>
      <c r="F415" t="n">
        <v>0</v>
      </c>
      <c r="G415">
        <f>E415-F415</f>
        <v/>
      </c>
      <c r="H415">
        <f>IF(E415&gt;0,F415/E415,0)</f>
        <v/>
      </c>
      <c r="I415" s="28" t="n">
        <v>46236</v>
      </c>
      <c r="J415" t="inlineStr">
        <is>
          <t>En mora</t>
        </is>
      </c>
      <c r="K415" t="inlineStr">
        <is>
          <t>Paula Arenas</t>
        </is>
      </c>
    </row>
    <row r="416" ht="15.75" customHeight="1" s="25">
      <c r="A416" t="inlineStr">
        <is>
          <t>PAG-0414</t>
        </is>
      </c>
      <c r="B416" t="inlineStr">
        <is>
          <t>Ricardo Escobar Salcedo</t>
        </is>
      </c>
      <c r="C416" t="inlineStr">
        <is>
          <t>PRY-002</t>
        </is>
      </c>
      <c r="D416" t="inlineStr">
        <is>
          <t>Cuota inicial</t>
        </is>
      </c>
      <c r="E416" t="n">
        <v>207000000</v>
      </c>
      <c r="F416" t="n">
        <v>102343750</v>
      </c>
      <c r="G416">
        <f>E416-F416</f>
        <v/>
      </c>
      <c r="H416">
        <f>IF(E416&gt;0,F416/E416,0)</f>
        <v/>
      </c>
      <c r="I416" s="28" t="n">
        <v>46205</v>
      </c>
      <c r="J416" t="inlineStr">
        <is>
          <t>Al día</t>
        </is>
      </c>
      <c r="K416" t="inlineStr">
        <is>
          <t>Ana Quintero</t>
        </is>
      </c>
    </row>
    <row r="417" ht="15.75" customHeight="1" s="25">
      <c r="A417" t="inlineStr">
        <is>
          <t>PAG-0415</t>
        </is>
      </c>
      <c r="B417" t="inlineStr">
        <is>
          <t>Gabriel Cardona Hernández</t>
        </is>
      </c>
      <c r="C417" t="inlineStr">
        <is>
          <t>PRY-003</t>
        </is>
      </c>
      <c r="D417" t="inlineStr">
        <is>
          <t>Cuota inicial</t>
        </is>
      </c>
      <c r="E417" t="n">
        <v>129000000</v>
      </c>
      <c r="F417" t="n">
        <v>99250000</v>
      </c>
      <c r="G417">
        <f>E417-F417</f>
        <v/>
      </c>
      <c r="H417">
        <f>IF(E417&gt;0,F417/E417,0)</f>
        <v/>
      </c>
      <c r="I417" s="28" t="n">
        <v>46205</v>
      </c>
      <c r="J417" t="inlineStr">
        <is>
          <t>Al día</t>
        </is>
      </c>
      <c r="K417" t="inlineStr">
        <is>
          <t>Juliana Vélez</t>
        </is>
      </c>
    </row>
    <row r="418" ht="15.75" customHeight="1" s="25">
      <c r="A418" t="inlineStr">
        <is>
          <t>PAG-0416</t>
        </is>
      </c>
      <c r="B418" t="inlineStr">
        <is>
          <t>Wilson Zuluaga Rojas</t>
        </is>
      </c>
      <c r="C418" t="inlineStr">
        <is>
          <t>PRY-003</t>
        </is>
      </c>
      <c r="D418" t="inlineStr">
        <is>
          <t>Cuota inicial</t>
        </is>
      </c>
      <c r="E418" t="n">
        <v>88000000</v>
      </c>
      <c r="F418" t="n">
        <v>68500000</v>
      </c>
      <c r="G418">
        <f>E418-F418</f>
        <v/>
      </c>
      <c r="H418">
        <f>IF(E418&gt;0,F418/E418,0)</f>
        <v/>
      </c>
      <c r="I418" s="28" t="n">
        <v>46208</v>
      </c>
      <c r="J418" t="inlineStr">
        <is>
          <t>Al día</t>
        </is>
      </c>
      <c r="K418" t="inlineStr">
        <is>
          <t>Paula Arenas</t>
        </is>
      </c>
    </row>
    <row r="419" ht="15.75" customHeight="1" s="25">
      <c r="A419" t="inlineStr">
        <is>
          <t>PAG-0417</t>
        </is>
      </c>
      <c r="B419" t="inlineStr">
        <is>
          <t>Fernando Higuita Toro</t>
        </is>
      </c>
      <c r="C419" t="inlineStr">
        <is>
          <t>PRY-001</t>
        </is>
      </c>
      <c r="D419" t="inlineStr">
        <is>
          <t>Cuota inicial</t>
        </is>
      </c>
      <c r="E419" t="n">
        <v>262000000</v>
      </c>
      <c r="F419" t="n">
        <v>155384615</v>
      </c>
      <c r="G419">
        <f>E419-F419</f>
        <v/>
      </c>
      <c r="H419">
        <f>IF(E419&gt;0,F419/E419,0)</f>
        <v/>
      </c>
      <c r="I419" s="28" t="n">
        <v>46208</v>
      </c>
      <c r="J419" t="inlineStr">
        <is>
          <t>Al día</t>
        </is>
      </c>
      <c r="K419" t="inlineStr">
        <is>
          <t>Santiago Muñoz</t>
        </is>
      </c>
    </row>
    <row r="420" ht="15.75" customHeight="1" s="25">
      <c r="A420" t="inlineStr">
        <is>
          <t>PAG-0418</t>
        </is>
      </c>
      <c r="B420" t="inlineStr">
        <is>
          <t>Paola Rojas Salcedo</t>
        </is>
      </c>
      <c r="C420" t="inlineStr">
        <is>
          <t>PRY-001</t>
        </is>
      </c>
      <c r="D420" t="inlineStr">
        <is>
          <t>Cuota inicial</t>
        </is>
      </c>
      <c r="E420" t="n">
        <v>240000000</v>
      </c>
      <c r="F420" t="n">
        <v>142692308</v>
      </c>
      <c r="G420">
        <f>E420-F420</f>
        <v/>
      </c>
      <c r="H420">
        <f>IF(E420&gt;0,F420/E420,0)</f>
        <v/>
      </c>
      <c r="I420" s="28" t="n">
        <v>46210</v>
      </c>
      <c r="J420" t="inlineStr">
        <is>
          <t>Al día</t>
        </is>
      </c>
      <c r="K420" t="inlineStr">
        <is>
          <t>Andrés Torres</t>
        </is>
      </c>
    </row>
    <row r="421" ht="15.75" customHeight="1" s="25">
      <c r="A421" t="inlineStr">
        <is>
          <t>PAG-0419</t>
        </is>
      </c>
      <c r="B421" t="inlineStr">
        <is>
          <t>Valentina Palacio Salcedo</t>
        </is>
      </c>
      <c r="C421" t="inlineStr">
        <is>
          <t>PRY-005</t>
        </is>
      </c>
      <c r="D421" t="inlineStr">
        <is>
          <t>Cuota inicial</t>
        </is>
      </c>
      <c r="E421" t="n">
        <v>131000000</v>
      </c>
      <c r="F421" t="n">
        <v>88913043</v>
      </c>
      <c r="G421">
        <f>E421-F421</f>
        <v/>
      </c>
      <c r="H421">
        <f>IF(E421&gt;0,F421/E421,0)</f>
        <v/>
      </c>
      <c r="I421" s="28" t="n">
        <v>46211</v>
      </c>
      <c r="J421" t="inlineStr">
        <is>
          <t>Al día</t>
        </is>
      </c>
      <c r="K421" t="inlineStr">
        <is>
          <t>Miguel Salazar</t>
        </is>
      </c>
    </row>
    <row r="422" ht="15.75" customHeight="1" s="25">
      <c r="A422" t="inlineStr">
        <is>
          <t>PAG-0420</t>
        </is>
      </c>
      <c r="B422" t="inlineStr">
        <is>
          <t>Isabel Cardona Valencia</t>
        </is>
      </c>
      <c r="C422" t="inlineStr">
        <is>
          <t>PRY-004</t>
        </is>
      </c>
      <c r="D422" t="inlineStr">
        <is>
          <t>Cuota inicial</t>
        </is>
      </c>
      <c r="E422" t="n">
        <v>148000000</v>
      </c>
      <c r="F422" t="n">
        <v>148000000</v>
      </c>
      <c r="G422">
        <f>E422-F422</f>
        <v/>
      </c>
      <c r="H422">
        <f>IF(E422&gt;0,F422/E422,0)</f>
        <v/>
      </c>
      <c r="I422" s="28" t="n">
        <v>45939</v>
      </c>
      <c r="J422" t="inlineStr">
        <is>
          <t>Pagado</t>
        </is>
      </c>
      <c r="K422" t="inlineStr">
        <is>
          <t>Miguel Salazar</t>
        </is>
      </c>
    </row>
    <row r="423" ht="15.75" customHeight="1" s="25">
      <c r="A423" t="inlineStr">
        <is>
          <t>PAG-0421</t>
        </is>
      </c>
      <c r="B423" t="inlineStr">
        <is>
          <t>Isabel Cardona Valencia</t>
        </is>
      </c>
      <c r="C423" t="inlineStr">
        <is>
          <t>PRY-004</t>
        </is>
      </c>
      <c r="D423" t="inlineStr">
        <is>
          <t>Escrituración</t>
        </is>
      </c>
      <c r="E423" t="n">
        <v>345000000</v>
      </c>
      <c r="F423" t="n">
        <v>345000000</v>
      </c>
      <c r="G423">
        <f>E423-F423</f>
        <v/>
      </c>
      <c r="H423">
        <f>IF(E423&gt;0,F423/E423,0)</f>
        <v/>
      </c>
      <c r="I423" s="28" t="n">
        <v>46028</v>
      </c>
      <c r="J423" t="inlineStr">
        <is>
          <t>Pagado</t>
        </is>
      </c>
      <c r="K423" t="inlineStr">
        <is>
          <t>Miguel Salazar</t>
        </is>
      </c>
    </row>
    <row r="424" ht="15.75" customHeight="1" s="25">
      <c r="A424" t="inlineStr">
        <is>
          <t>PAG-0422</t>
        </is>
      </c>
      <c r="B424" t="inlineStr">
        <is>
          <t>Juan Pablo Vásquez Arango</t>
        </is>
      </c>
      <c r="C424" t="inlineStr">
        <is>
          <t>PRY-001</t>
        </is>
      </c>
      <c r="D424" t="inlineStr">
        <is>
          <t>Cuota inicial</t>
        </is>
      </c>
      <c r="E424" t="n">
        <v>215000000</v>
      </c>
      <c r="F424" t="n">
        <v>128269231</v>
      </c>
      <c r="G424">
        <f>E424-F424</f>
        <v/>
      </c>
      <c r="H424">
        <f>IF(E424&gt;0,F424/E424,0)</f>
        <v/>
      </c>
      <c r="I424" s="28" t="n">
        <v>46216</v>
      </c>
      <c r="J424" t="inlineStr">
        <is>
          <t>Al día</t>
        </is>
      </c>
      <c r="K424" t="inlineStr">
        <is>
          <t>Miguel Salazar</t>
        </is>
      </c>
    </row>
    <row r="425" ht="15.75" customHeight="1" s="25">
      <c r="A425" t="inlineStr">
        <is>
          <t>PAG-0423</t>
        </is>
      </c>
      <c r="B425" t="inlineStr">
        <is>
          <t>Patricia Betancur Jaramillo</t>
        </is>
      </c>
      <c r="C425" t="inlineStr">
        <is>
          <t>PRY-003</t>
        </is>
      </c>
      <c r="D425" t="inlineStr">
        <is>
          <t>Cuota inicial</t>
        </is>
      </c>
      <c r="E425" t="n">
        <v>87000000</v>
      </c>
      <c r="F425" t="n">
        <v>67750000</v>
      </c>
      <c r="G425">
        <f>E425-F425</f>
        <v/>
      </c>
      <c r="H425">
        <f>IF(E425&gt;0,F425/E425,0)</f>
        <v/>
      </c>
      <c r="I425" s="28" t="n">
        <v>46217</v>
      </c>
      <c r="J425" t="inlineStr">
        <is>
          <t>Al día</t>
        </is>
      </c>
      <c r="K425" t="inlineStr">
        <is>
          <t>Santiago Muñoz</t>
        </is>
      </c>
    </row>
    <row r="426" ht="15.75" customHeight="1" s="25">
      <c r="A426" t="inlineStr">
        <is>
          <t>PAG-0424</t>
        </is>
      </c>
      <c r="B426" t="inlineStr">
        <is>
          <t>Daniel Arango Peláez</t>
        </is>
      </c>
      <c r="C426" t="inlineStr">
        <is>
          <t>PRY-003</t>
        </is>
      </c>
      <c r="D426" t="inlineStr">
        <is>
          <t>Cuota inicial</t>
        </is>
      </c>
      <c r="E426" t="n">
        <v>116000000</v>
      </c>
      <c r="F426" t="n">
        <v>89500000</v>
      </c>
      <c r="G426">
        <f>E426-F426</f>
        <v/>
      </c>
      <c r="H426">
        <f>IF(E426&gt;0,F426/E426,0)</f>
        <v/>
      </c>
      <c r="I426" s="28" t="n">
        <v>46217</v>
      </c>
      <c r="J426" t="inlineStr">
        <is>
          <t>Al día</t>
        </is>
      </c>
      <c r="K426" t="inlineStr">
        <is>
          <t>Miguel Salazar</t>
        </is>
      </c>
    </row>
    <row r="427" ht="15.75" customHeight="1" s="25">
      <c r="A427" t="inlineStr">
        <is>
          <t>PAG-0425</t>
        </is>
      </c>
      <c r="B427" t="inlineStr">
        <is>
          <t>Emilio Bedoya Higuita</t>
        </is>
      </c>
      <c r="C427" t="inlineStr">
        <is>
          <t>PRY-001</t>
        </is>
      </c>
      <c r="D427" t="inlineStr">
        <is>
          <t>Cuota inicial</t>
        </is>
      </c>
      <c r="E427" t="n">
        <v>200000000</v>
      </c>
      <c r="F427" t="n">
        <v>119615385</v>
      </c>
      <c r="G427">
        <f>E427-F427</f>
        <v/>
      </c>
      <c r="H427">
        <f>IF(E427&gt;0,F427/E427,0)</f>
        <v/>
      </c>
      <c r="I427" s="28" t="n">
        <v>46217</v>
      </c>
      <c r="J427" t="inlineStr">
        <is>
          <t>Al día</t>
        </is>
      </c>
      <c r="K427" t="inlineStr">
        <is>
          <t>Sofía Prada</t>
        </is>
      </c>
    </row>
    <row r="428" ht="15.75" customHeight="1" s="25">
      <c r="A428" t="inlineStr">
        <is>
          <t>PAG-0426</t>
        </is>
      </c>
      <c r="B428" t="inlineStr">
        <is>
          <t>Luisa Castaño Cifuentes</t>
        </is>
      </c>
      <c r="C428" t="inlineStr">
        <is>
          <t>PRY-004</t>
        </is>
      </c>
      <c r="D428" t="inlineStr">
        <is>
          <t>Cuota inicial</t>
        </is>
      </c>
      <c r="E428" t="n">
        <v>173000000</v>
      </c>
      <c r="F428" t="n">
        <v>173000000</v>
      </c>
      <c r="G428">
        <f>E428-F428</f>
        <v/>
      </c>
      <c r="H428">
        <f>IF(E428&gt;0,F428/E428,0)</f>
        <v/>
      </c>
      <c r="I428" s="28" t="n">
        <v>45945</v>
      </c>
      <c r="J428" t="inlineStr">
        <is>
          <t>Pagado</t>
        </is>
      </c>
      <c r="K428" t="inlineStr">
        <is>
          <t>Santiago Muñoz</t>
        </is>
      </c>
    </row>
    <row r="429" ht="15.75" customHeight="1" s="25">
      <c r="A429" t="inlineStr">
        <is>
          <t>PAG-0427</t>
        </is>
      </c>
      <c r="B429" t="inlineStr">
        <is>
          <t>Luisa Castaño Cifuentes</t>
        </is>
      </c>
      <c r="C429" t="inlineStr">
        <is>
          <t>PRY-004</t>
        </is>
      </c>
      <c r="D429" t="inlineStr">
        <is>
          <t>Escrituración</t>
        </is>
      </c>
      <c r="E429" t="n">
        <v>404000000</v>
      </c>
      <c r="F429" t="n">
        <v>404000000</v>
      </c>
      <c r="G429">
        <f>E429-F429</f>
        <v/>
      </c>
      <c r="H429">
        <f>IF(E429&gt;0,F429/E429,0)</f>
        <v/>
      </c>
      <c r="I429" s="28" t="n">
        <v>46046</v>
      </c>
      <c r="J429" t="inlineStr">
        <is>
          <t>Pagado</t>
        </is>
      </c>
      <c r="K429" t="inlineStr">
        <is>
          <t>Santiago Muñoz</t>
        </is>
      </c>
    </row>
    <row r="430" ht="15.75" customHeight="1" s="25">
      <c r="A430" t="inlineStr">
        <is>
          <t>PAG-0428</t>
        </is>
      </c>
      <c r="B430" t="inlineStr">
        <is>
          <t>Óscar Zuluaga Valencia</t>
        </is>
      </c>
      <c r="C430" t="inlineStr">
        <is>
          <t>PRY-007</t>
        </is>
      </c>
      <c r="D430" t="inlineStr">
        <is>
          <t>Cuota inicial</t>
        </is>
      </c>
      <c r="E430" t="n">
        <v>234000000</v>
      </c>
      <c r="F430" t="n">
        <v>125862069</v>
      </c>
      <c r="G430">
        <f>E430-F430</f>
        <v/>
      </c>
      <c r="H430">
        <f>IF(E430&gt;0,F430/E430,0)</f>
        <v/>
      </c>
      <c r="I430" s="28" t="n">
        <v>46219</v>
      </c>
      <c r="J430" t="inlineStr">
        <is>
          <t>Al día</t>
        </is>
      </c>
      <c r="K430" t="inlineStr">
        <is>
          <t>Miguel Salazar</t>
        </is>
      </c>
    </row>
    <row r="431" ht="15.75" customHeight="1" s="25">
      <c r="A431" t="inlineStr">
        <is>
          <t>PAG-0429</t>
        </is>
      </c>
      <c r="B431" t="inlineStr">
        <is>
          <t>Daniela Valencia Zapata</t>
        </is>
      </c>
      <c r="C431" t="inlineStr">
        <is>
          <t>PRY-005</t>
        </is>
      </c>
      <c r="D431" t="inlineStr">
        <is>
          <t>Cuota inicial</t>
        </is>
      </c>
      <c r="E431" t="n">
        <v>127000000</v>
      </c>
      <c r="F431" t="n">
        <v>86304348</v>
      </c>
      <c r="G431">
        <f>E431-F431</f>
        <v/>
      </c>
      <c r="H431">
        <f>IF(E431&gt;0,F431/E431,0)</f>
        <v/>
      </c>
      <c r="I431" s="28" t="n">
        <v>46219</v>
      </c>
      <c r="J431" t="inlineStr">
        <is>
          <t>Al día</t>
        </is>
      </c>
      <c r="K431" t="inlineStr">
        <is>
          <t>Ana Quintero</t>
        </is>
      </c>
    </row>
    <row r="432" ht="15.75" customHeight="1" s="25">
      <c r="A432" t="inlineStr">
        <is>
          <t>PAG-0430</t>
        </is>
      </c>
      <c r="B432" t="inlineStr">
        <is>
          <t>Óscar Palacio Sánchez</t>
        </is>
      </c>
      <c r="C432" t="inlineStr">
        <is>
          <t>PRY-007</t>
        </is>
      </c>
      <c r="D432" t="inlineStr">
        <is>
          <t>Cuota inicial</t>
        </is>
      </c>
      <c r="E432" t="n">
        <v>171000000</v>
      </c>
      <c r="F432" t="n">
        <v>76620690</v>
      </c>
      <c r="G432">
        <f>E432-F432</f>
        <v/>
      </c>
      <c r="H432">
        <f>IF(E432&gt;0,F432/E432,0)</f>
        <v/>
      </c>
      <c r="I432" s="28" t="n">
        <v>46128</v>
      </c>
      <c r="J432" t="inlineStr">
        <is>
          <t>En mora</t>
        </is>
      </c>
      <c r="K432" t="inlineStr">
        <is>
          <t>Juliana Vélez</t>
        </is>
      </c>
    </row>
    <row r="433" ht="15.75" customHeight="1" s="25">
      <c r="A433" t="inlineStr">
        <is>
          <t>PAG-0431</t>
        </is>
      </c>
      <c r="B433" t="inlineStr">
        <is>
          <t>Mauricio Salazar Osorio</t>
        </is>
      </c>
      <c r="C433" t="inlineStr">
        <is>
          <t>PRY-008</t>
        </is>
      </c>
      <c r="D433" t="inlineStr">
        <is>
          <t>Cuota inicial</t>
        </is>
      </c>
      <c r="E433" t="n">
        <v>30000000</v>
      </c>
      <c r="F433" t="n">
        <v>30000000</v>
      </c>
      <c r="G433">
        <f>E433-F433</f>
        <v/>
      </c>
      <c r="H433">
        <f>IF(E433&gt;0,F433/E433,0)</f>
        <v/>
      </c>
      <c r="I433" s="28" t="n">
        <v>46070</v>
      </c>
      <c r="J433" t="inlineStr">
        <is>
          <t>Pagado</t>
        </is>
      </c>
      <c r="K433" t="inlineStr">
        <is>
          <t>Paula Arenas</t>
        </is>
      </c>
    </row>
    <row r="434" ht="15.75" customHeight="1" s="25">
      <c r="A434" t="inlineStr">
        <is>
          <t>PAG-0432</t>
        </is>
      </c>
      <c r="B434" t="inlineStr">
        <is>
          <t>Mauricio Salazar Osorio</t>
        </is>
      </c>
      <c r="C434" t="inlineStr">
        <is>
          <t>PRY-008</t>
        </is>
      </c>
      <c r="D434" t="inlineStr">
        <is>
          <t>Escrituración</t>
        </is>
      </c>
      <c r="E434" t="n">
        <v>118000000</v>
      </c>
      <c r="F434" t="n">
        <v>118000000</v>
      </c>
      <c r="G434">
        <f>E434-F434</f>
        <v/>
      </c>
      <c r="H434">
        <f>IF(E434&gt;0,F434/E434,0)</f>
        <v/>
      </c>
      <c r="I434" s="28" t="n">
        <v>46179</v>
      </c>
      <c r="J434" t="inlineStr">
        <is>
          <t>Pagado</t>
        </is>
      </c>
      <c r="K434" t="inlineStr">
        <is>
          <t>Paula Arenas</t>
        </is>
      </c>
    </row>
    <row r="435" ht="15.75" customHeight="1" s="25">
      <c r="A435" t="inlineStr">
        <is>
          <t>PAG-0433</t>
        </is>
      </c>
      <c r="B435" t="inlineStr">
        <is>
          <t>Natalia Sánchez Ochoa</t>
        </is>
      </c>
      <c r="C435" t="inlineStr">
        <is>
          <t>PRY-002</t>
        </is>
      </c>
      <c r="D435" t="inlineStr">
        <is>
          <t>Cuota inicial</t>
        </is>
      </c>
      <c r="E435" t="n">
        <v>231000000</v>
      </c>
      <c r="F435" t="n">
        <v>113593750</v>
      </c>
      <c r="G435">
        <f>E435-F435</f>
        <v/>
      </c>
      <c r="H435">
        <f>IF(E435&gt;0,F435/E435,0)</f>
        <v/>
      </c>
      <c r="I435" s="28" t="n">
        <v>46221</v>
      </c>
      <c r="J435" t="inlineStr">
        <is>
          <t>Al día</t>
        </is>
      </c>
      <c r="K435" t="inlineStr">
        <is>
          <t>Andrés Torres</t>
        </is>
      </c>
    </row>
    <row r="436" ht="15.75" customHeight="1" s="25">
      <c r="A436" t="inlineStr">
        <is>
          <t>PAG-0434</t>
        </is>
      </c>
      <c r="B436" t="inlineStr">
        <is>
          <t>Carlos Mejía Vargas</t>
        </is>
      </c>
      <c r="C436" t="inlineStr">
        <is>
          <t>PRY-003</t>
        </is>
      </c>
      <c r="D436" t="inlineStr">
        <is>
          <t>Cuota inicial</t>
        </is>
      </c>
      <c r="E436" t="n">
        <v>122000000</v>
      </c>
      <c r="F436" t="n">
        <v>94000000</v>
      </c>
      <c r="G436">
        <f>E436-F436</f>
        <v/>
      </c>
      <c r="H436">
        <f>IF(E436&gt;0,F436/E436,0)</f>
        <v/>
      </c>
      <c r="I436" s="28" t="n">
        <v>46221</v>
      </c>
      <c r="J436" t="inlineStr">
        <is>
          <t>Al día</t>
        </is>
      </c>
      <c r="K436" t="inlineStr">
        <is>
          <t>Miguel Salazar</t>
        </is>
      </c>
    </row>
    <row r="437" ht="15.75" customHeight="1" s="25">
      <c r="A437" t="inlineStr">
        <is>
          <t>PAG-0435</t>
        </is>
      </c>
      <c r="B437" t="inlineStr">
        <is>
          <t>Alejandro Mejía Betancur</t>
        </is>
      </c>
      <c r="C437" t="inlineStr">
        <is>
          <t>PRY-004</t>
        </is>
      </c>
      <c r="D437" t="inlineStr">
        <is>
          <t>Cuota inicial</t>
        </is>
      </c>
      <c r="E437" t="n">
        <v>137000000</v>
      </c>
      <c r="F437" t="n">
        <v>137000000</v>
      </c>
      <c r="G437">
        <f>E437-F437</f>
        <v/>
      </c>
      <c r="H437">
        <f>IF(E437&gt;0,F437/E437,0)</f>
        <v/>
      </c>
      <c r="I437" s="28" t="n">
        <v>45949</v>
      </c>
      <c r="J437" t="inlineStr">
        <is>
          <t>Pagado</t>
        </is>
      </c>
      <c r="K437" t="inlineStr">
        <is>
          <t>Sofía Prada</t>
        </is>
      </c>
    </row>
    <row r="438" ht="15.75" customHeight="1" s="25">
      <c r="A438" t="inlineStr">
        <is>
          <t>PAG-0436</t>
        </is>
      </c>
      <c r="B438" t="inlineStr">
        <is>
          <t>Alejandro Mejía Betancur</t>
        </is>
      </c>
      <c r="C438" t="inlineStr">
        <is>
          <t>PRY-004</t>
        </is>
      </c>
      <c r="D438" t="inlineStr">
        <is>
          <t>Escrituración</t>
        </is>
      </c>
      <c r="E438" t="n">
        <v>319000000</v>
      </c>
      <c r="F438" t="n">
        <v>319000000</v>
      </c>
      <c r="G438">
        <f>E438-F438</f>
        <v/>
      </c>
      <c r="H438">
        <f>IF(E438&gt;0,F438/E438,0)</f>
        <v/>
      </c>
      <c r="I438" s="28" t="n">
        <v>46045</v>
      </c>
      <c r="J438" t="inlineStr">
        <is>
          <t>Pagado</t>
        </is>
      </c>
      <c r="K438" t="inlineStr">
        <is>
          <t>Sofía Prada</t>
        </is>
      </c>
    </row>
    <row r="439" ht="15.75" customHeight="1" s="25">
      <c r="A439" t="inlineStr">
        <is>
          <t>PAG-0437</t>
        </is>
      </c>
      <c r="B439" t="inlineStr">
        <is>
          <t>Andrés Gómez Hernández</t>
        </is>
      </c>
      <c r="C439" t="inlineStr">
        <is>
          <t>PRY-004</t>
        </is>
      </c>
      <c r="D439" t="inlineStr">
        <is>
          <t>Cuota inicial</t>
        </is>
      </c>
      <c r="E439" t="n">
        <v>172000000</v>
      </c>
      <c r="F439" t="n">
        <v>172000000</v>
      </c>
      <c r="G439">
        <f>E439-F439</f>
        <v/>
      </c>
      <c r="H439">
        <f>IF(E439&gt;0,F439/E439,0)</f>
        <v/>
      </c>
      <c r="I439" s="28" t="n">
        <v>45953</v>
      </c>
      <c r="J439" t="inlineStr">
        <is>
          <t>Pagado</t>
        </is>
      </c>
      <c r="K439" t="inlineStr">
        <is>
          <t>Ana Quintero</t>
        </is>
      </c>
    </row>
    <row r="440" ht="15.75" customHeight="1" s="25">
      <c r="A440" t="inlineStr">
        <is>
          <t>PAG-0438</t>
        </is>
      </c>
      <c r="B440" t="inlineStr">
        <is>
          <t>Andrés Gómez Hernández</t>
        </is>
      </c>
      <c r="C440" t="inlineStr">
        <is>
          <t>PRY-004</t>
        </is>
      </c>
      <c r="D440" t="inlineStr">
        <is>
          <t>Escrituración</t>
        </is>
      </c>
      <c r="E440" t="n">
        <v>400000000</v>
      </c>
      <c r="F440" t="n">
        <v>400000000</v>
      </c>
      <c r="G440">
        <f>E440-F440</f>
        <v/>
      </c>
      <c r="H440">
        <f>IF(E440&gt;0,F440/E440,0)</f>
        <v/>
      </c>
      <c r="I440" s="28" t="n">
        <v>46001</v>
      </c>
      <c r="J440" t="inlineStr">
        <is>
          <t>Pagado</t>
        </is>
      </c>
      <c r="K440" t="inlineStr">
        <is>
          <t>Ana Quintero</t>
        </is>
      </c>
    </row>
    <row r="441" ht="15.75" customHeight="1" s="25">
      <c r="A441" t="inlineStr">
        <is>
          <t>PAG-0439</t>
        </is>
      </c>
      <c r="B441" t="inlineStr">
        <is>
          <t>Natalia Ríos Vélez</t>
        </is>
      </c>
      <c r="C441" t="inlineStr">
        <is>
          <t>PRY-005</t>
        </is>
      </c>
      <c r="D441" t="inlineStr">
        <is>
          <t>Cuota inicial</t>
        </is>
      </c>
      <c r="E441" t="n">
        <v>144000000</v>
      </c>
      <c r="F441" t="n">
        <v>97391304</v>
      </c>
      <c r="G441">
        <f>E441-F441</f>
        <v/>
      </c>
      <c r="H441">
        <f>IF(E441&gt;0,F441/E441,0)</f>
        <v/>
      </c>
      <c r="I441" s="28" t="n">
        <v>46228</v>
      </c>
      <c r="J441" t="inlineStr">
        <is>
          <t>Al día</t>
        </is>
      </c>
      <c r="K441" t="inlineStr">
        <is>
          <t>Juliana Vélez</t>
        </is>
      </c>
    </row>
    <row r="442" ht="15.75" customHeight="1" s="25">
      <c r="A442" t="inlineStr">
        <is>
          <t>PAG-0440</t>
        </is>
      </c>
      <c r="B442" t="inlineStr">
        <is>
          <t>Diego Ramírez Salcedo</t>
        </is>
      </c>
      <c r="C442" t="inlineStr">
        <is>
          <t>PRY-004</t>
        </is>
      </c>
      <c r="D442" t="inlineStr">
        <is>
          <t>Cuota inicial</t>
        </is>
      </c>
      <c r="E442" t="n">
        <v>140000000</v>
      </c>
      <c r="F442" t="n">
        <v>140000000</v>
      </c>
      <c r="G442">
        <f>E442-F442</f>
        <v/>
      </c>
      <c r="H442">
        <f>IF(E442&gt;0,F442/E442,0)</f>
        <v/>
      </c>
      <c r="I442" s="28" t="n">
        <v>45955</v>
      </c>
      <c r="J442" t="inlineStr">
        <is>
          <t>Pagado</t>
        </is>
      </c>
      <c r="K442" t="inlineStr">
        <is>
          <t>Miguel Salazar</t>
        </is>
      </c>
    </row>
    <row r="443" ht="15.75" customHeight="1" s="25">
      <c r="A443" t="inlineStr">
        <is>
          <t>PAG-0441</t>
        </is>
      </c>
      <c r="B443" t="inlineStr">
        <is>
          <t>Diego Ramírez Salcedo</t>
        </is>
      </c>
      <c r="C443" t="inlineStr">
        <is>
          <t>PRY-004</t>
        </is>
      </c>
      <c r="D443" t="inlineStr">
        <is>
          <t>Escrituración</t>
        </is>
      </c>
      <c r="E443" t="n">
        <v>326000000</v>
      </c>
      <c r="F443" t="n">
        <v>326000000</v>
      </c>
      <c r="G443">
        <f>E443-F443</f>
        <v/>
      </c>
      <c r="H443">
        <f>IF(E443&gt;0,F443/E443,0)</f>
        <v/>
      </c>
      <c r="I443" s="28" t="n">
        <v>45995</v>
      </c>
      <c r="J443" t="inlineStr">
        <is>
          <t>Pagado</t>
        </is>
      </c>
      <c r="K443" t="inlineStr">
        <is>
          <t>Miguel Salazar</t>
        </is>
      </c>
    </row>
    <row r="444" ht="15.75" customHeight="1" s="25">
      <c r="A444" t="inlineStr">
        <is>
          <t>PAG-0442</t>
        </is>
      </c>
      <c r="B444" t="inlineStr">
        <is>
          <t>Sebastián Rojas Bedoya</t>
        </is>
      </c>
      <c r="C444" t="inlineStr">
        <is>
          <t>PRY-004</t>
        </is>
      </c>
      <c r="D444" t="inlineStr">
        <is>
          <t>Cuota inicial</t>
        </is>
      </c>
      <c r="E444" t="n">
        <v>149000000</v>
      </c>
      <c r="F444" t="n">
        <v>149000000</v>
      </c>
      <c r="G444">
        <f>E444-F444</f>
        <v/>
      </c>
      <c r="H444">
        <f>IF(E444&gt;0,F444/E444,0)</f>
        <v/>
      </c>
      <c r="I444" s="28" t="n">
        <v>45955</v>
      </c>
      <c r="J444" t="inlineStr">
        <is>
          <t>Pagado</t>
        </is>
      </c>
      <c r="K444" t="inlineStr">
        <is>
          <t>Juliana Vélez</t>
        </is>
      </c>
    </row>
    <row r="445" ht="15.75" customHeight="1" s="25">
      <c r="A445" t="inlineStr">
        <is>
          <t>PAG-0443</t>
        </is>
      </c>
      <c r="B445" t="inlineStr">
        <is>
          <t>Sebastián Rojas Bedoya</t>
        </is>
      </c>
      <c r="C445" t="inlineStr">
        <is>
          <t>PRY-004</t>
        </is>
      </c>
      <c r="D445" t="inlineStr">
        <is>
          <t>Escrituración</t>
        </is>
      </c>
      <c r="E445" t="n">
        <v>349000000</v>
      </c>
      <c r="F445" t="n">
        <v>349000000</v>
      </c>
      <c r="G445">
        <f>E445-F445</f>
        <v/>
      </c>
      <c r="H445">
        <f>IF(E445&gt;0,F445/E445,0)</f>
        <v/>
      </c>
      <c r="I445" s="28" t="n">
        <v>46028</v>
      </c>
      <c r="J445" t="inlineStr">
        <is>
          <t>Pagado</t>
        </is>
      </c>
      <c r="K445" t="inlineStr">
        <is>
          <t>Juliana Vélez</t>
        </is>
      </c>
    </row>
    <row r="446" ht="15.75" customHeight="1" s="25">
      <c r="A446" t="inlineStr">
        <is>
          <t>PAG-0444</t>
        </is>
      </c>
      <c r="B446" t="inlineStr">
        <is>
          <t>Lorena Vélez Zapata</t>
        </is>
      </c>
      <c r="C446" t="inlineStr">
        <is>
          <t>PRY-003</t>
        </is>
      </c>
      <c r="D446" t="inlineStr">
        <is>
          <t>Cuota inicial</t>
        </is>
      </c>
      <c r="E446" t="n">
        <v>85000000</v>
      </c>
      <c r="F446" t="n">
        <v>66250000</v>
      </c>
      <c r="G446">
        <f>E446-F446</f>
        <v/>
      </c>
      <c r="H446">
        <f>IF(E446&gt;0,F446/E446,0)</f>
        <v/>
      </c>
      <c r="I446" s="28" t="n">
        <v>46229</v>
      </c>
      <c r="J446" t="inlineStr">
        <is>
          <t>Al día</t>
        </is>
      </c>
      <c r="K446" t="inlineStr">
        <is>
          <t>Santiago Muñoz</t>
        </is>
      </c>
    </row>
    <row r="447" ht="15.75" customHeight="1" s="25">
      <c r="A447" t="inlineStr">
        <is>
          <t>PAG-0445</t>
        </is>
      </c>
      <c r="B447" t="inlineStr">
        <is>
          <t>Natalia Echeverri Salcedo</t>
        </is>
      </c>
      <c r="C447" t="inlineStr">
        <is>
          <t>PRY-008</t>
        </is>
      </c>
      <c r="D447" t="inlineStr">
        <is>
          <t>Cuota inicial</t>
        </is>
      </c>
      <c r="E447" t="n">
        <v>33000000</v>
      </c>
      <c r="F447" t="n">
        <v>33000000</v>
      </c>
      <c r="G447">
        <f>E447-F447</f>
        <v/>
      </c>
      <c r="H447">
        <f>IF(E447&gt;0,F447/E447,0)</f>
        <v/>
      </c>
      <c r="I447" s="28" t="n">
        <v>46080</v>
      </c>
      <c r="J447" t="inlineStr">
        <is>
          <t>Pagado</t>
        </is>
      </c>
      <c r="K447" t="inlineStr">
        <is>
          <t>Juliana Vélez</t>
        </is>
      </c>
    </row>
    <row r="448" ht="15.75" customHeight="1" s="25">
      <c r="A448" t="inlineStr">
        <is>
          <t>PAG-0446</t>
        </is>
      </c>
      <c r="B448" t="inlineStr">
        <is>
          <t>Natalia Echeverri Salcedo</t>
        </is>
      </c>
      <c r="C448" t="inlineStr">
        <is>
          <t>PRY-008</t>
        </is>
      </c>
      <c r="D448" t="inlineStr">
        <is>
          <t>Escrituración</t>
        </is>
      </c>
      <c r="E448" t="n">
        <v>130000000</v>
      </c>
      <c r="F448" t="n">
        <v>130000000</v>
      </c>
      <c r="G448">
        <f>E448-F448</f>
        <v/>
      </c>
      <c r="H448">
        <f>IF(E448&gt;0,F448/E448,0)</f>
        <v/>
      </c>
      <c r="I448" s="28" t="n">
        <v>46121</v>
      </c>
      <c r="J448" t="inlineStr">
        <is>
          <t>Pagado</t>
        </is>
      </c>
      <c r="K448" t="inlineStr">
        <is>
          <t>Juliana Vélez</t>
        </is>
      </c>
    </row>
    <row r="449" ht="15.75" customHeight="1" s="25">
      <c r="A449" t="inlineStr">
        <is>
          <t>PAG-0447</t>
        </is>
      </c>
      <c r="B449" t="inlineStr">
        <is>
          <t>Óscar Zuluaga Duque</t>
        </is>
      </c>
      <c r="C449" t="inlineStr">
        <is>
          <t>PRY-007</t>
        </is>
      </c>
      <c r="D449" t="inlineStr">
        <is>
          <t>Cuota inicial</t>
        </is>
      </c>
      <c r="E449" t="n">
        <v>202000000</v>
      </c>
      <c r="F449" t="n">
        <v>109310345</v>
      </c>
      <c r="G449">
        <f>E449-F449</f>
        <v/>
      </c>
      <c r="H449">
        <f>IF(E449&gt;0,F449/E449,0)</f>
        <v/>
      </c>
      <c r="I449" s="28" t="n">
        <v>46232</v>
      </c>
      <c r="J449" t="inlineStr">
        <is>
          <t>Al día</t>
        </is>
      </c>
      <c r="K449" t="inlineStr">
        <is>
          <t>Ana Quintero</t>
        </is>
      </c>
    </row>
    <row r="450" ht="15.75" customHeight="1" s="25">
      <c r="A450" t="inlineStr">
        <is>
          <t>PAG-0448</t>
        </is>
      </c>
      <c r="B450" t="inlineStr">
        <is>
          <t>Rodrigo Jaramillo Zuluaga</t>
        </is>
      </c>
      <c r="C450" t="inlineStr">
        <is>
          <t>PRY-008</t>
        </is>
      </c>
      <c r="D450" t="inlineStr">
        <is>
          <t>Cuota inicial</t>
        </is>
      </c>
      <c r="E450" t="n">
        <v>27000000</v>
      </c>
      <c r="F450" t="n">
        <v>27000000</v>
      </c>
      <c r="G450">
        <f>E450-F450</f>
        <v/>
      </c>
      <c r="H450">
        <f>IF(E450&gt;0,F450/E450,0)</f>
        <v/>
      </c>
      <c r="I450" s="28" t="n">
        <v>46081</v>
      </c>
      <c r="J450" t="inlineStr">
        <is>
          <t>Pagado</t>
        </is>
      </c>
      <c r="K450" t="inlineStr">
        <is>
          <t>Andrés Torres</t>
        </is>
      </c>
    </row>
    <row r="451" ht="15.75" customHeight="1" s="25">
      <c r="A451" t="inlineStr">
        <is>
          <t>PAG-0449</t>
        </is>
      </c>
      <c r="B451" t="inlineStr">
        <is>
          <t>Rodrigo Jaramillo Zuluaga</t>
        </is>
      </c>
      <c r="C451" t="inlineStr">
        <is>
          <t>PRY-008</t>
        </is>
      </c>
      <c r="D451" t="inlineStr">
        <is>
          <t>Escrituración</t>
        </is>
      </c>
      <c r="E451" t="n">
        <v>109000000</v>
      </c>
      <c r="F451" t="n">
        <v>109000000</v>
      </c>
      <c r="G451">
        <f>E451-F451</f>
        <v/>
      </c>
      <c r="H451">
        <f>IF(E451&gt;0,F451/E451,0)</f>
        <v/>
      </c>
      <c r="I451" s="28" t="n">
        <v>46117</v>
      </c>
      <c r="J451" t="inlineStr">
        <is>
          <t>Pagado</t>
        </is>
      </c>
      <c r="K451" t="inlineStr">
        <is>
          <t>Andrés Torres</t>
        </is>
      </c>
    </row>
    <row r="452" ht="15.75" customHeight="1" s="25">
      <c r="A452" t="inlineStr">
        <is>
          <t>PAG-0450</t>
        </is>
      </c>
      <c r="B452" t="inlineStr">
        <is>
          <t>Catalina Quintero Ramírez</t>
        </is>
      </c>
      <c r="C452" t="inlineStr">
        <is>
          <t>PRY-002</t>
        </is>
      </c>
      <c r="D452" t="inlineStr">
        <is>
          <t>Cuota inicial</t>
        </is>
      </c>
      <c r="E452" t="n">
        <v>229000000</v>
      </c>
      <c r="F452" t="n">
        <v>80645161</v>
      </c>
      <c r="G452">
        <f>E452-F452</f>
        <v/>
      </c>
      <c r="H452">
        <f>IF(E452&gt;0,F452/E452,0)</f>
        <v/>
      </c>
      <c r="I452" s="28" t="n">
        <v>46082</v>
      </c>
      <c r="J452" t="inlineStr">
        <is>
          <t>En mora</t>
        </is>
      </c>
      <c r="K452" t="inlineStr">
        <is>
          <t>Paula Arenas</t>
        </is>
      </c>
    </row>
    <row r="453" ht="15.75" customHeight="1" s="25">
      <c r="A453" t="inlineStr">
        <is>
          <t>PAG-0451</t>
        </is>
      </c>
      <c r="B453" t="inlineStr">
        <is>
          <t>Natalia Henao Toro</t>
        </is>
      </c>
      <c r="C453" t="inlineStr">
        <is>
          <t>PRY-004</t>
        </is>
      </c>
      <c r="D453" t="inlineStr">
        <is>
          <t>Cuota inicial</t>
        </is>
      </c>
      <c r="E453" t="n">
        <v>175000000</v>
      </c>
      <c r="F453" t="n">
        <v>175000000</v>
      </c>
      <c r="G453">
        <f>E453-F453</f>
        <v/>
      </c>
      <c r="H453">
        <f>IF(E453&gt;0,F453/E453,0)</f>
        <v/>
      </c>
      <c r="I453" s="28" t="n">
        <v>45932</v>
      </c>
      <c r="J453" t="inlineStr">
        <is>
          <t>Pagado</t>
        </is>
      </c>
      <c r="K453" t="inlineStr">
        <is>
          <t>Andrés Torres</t>
        </is>
      </c>
    </row>
    <row r="454" ht="15.75" customHeight="1" s="25">
      <c r="A454" t="inlineStr">
        <is>
          <t>PAG-0452</t>
        </is>
      </c>
      <c r="B454" t="inlineStr">
        <is>
          <t>Natalia Henao Toro</t>
        </is>
      </c>
      <c r="C454" t="inlineStr">
        <is>
          <t>PRY-004</t>
        </is>
      </c>
      <c r="D454" t="inlineStr">
        <is>
          <t>Escrituración</t>
        </is>
      </c>
      <c r="E454" t="n">
        <v>407000000</v>
      </c>
      <c r="F454" t="n">
        <v>407000000</v>
      </c>
      <c r="G454">
        <f>E454-F454</f>
        <v/>
      </c>
      <c r="H454">
        <f>IF(E454&gt;0,F454/E454,0)</f>
        <v/>
      </c>
      <c r="I454" s="28" t="n">
        <v>46033</v>
      </c>
      <c r="J454" t="inlineStr">
        <is>
          <t>Pagado</t>
        </is>
      </c>
      <c r="K454" t="inlineStr">
        <is>
          <t>Andrés Torres</t>
        </is>
      </c>
    </row>
    <row r="455" ht="15.75" customHeight="1" s="25">
      <c r="A455" t="inlineStr">
        <is>
          <t>PAG-0453</t>
        </is>
      </c>
      <c r="B455" t="inlineStr">
        <is>
          <t>Sara Salazar Álvarez</t>
        </is>
      </c>
      <c r="C455" t="inlineStr">
        <is>
          <t>PRY-004</t>
        </is>
      </c>
      <c r="D455" t="inlineStr">
        <is>
          <t>Cuota inicial</t>
        </is>
      </c>
      <c r="E455" t="n">
        <v>146000000</v>
      </c>
      <c r="F455" t="n">
        <v>146000000</v>
      </c>
      <c r="G455">
        <f>E455-F455</f>
        <v/>
      </c>
      <c r="H455">
        <f>IF(E455&gt;0,F455/E455,0)</f>
        <v/>
      </c>
      <c r="I455" s="28" t="n">
        <v>45934</v>
      </c>
      <c r="J455" t="inlineStr">
        <is>
          <t>Pagado</t>
        </is>
      </c>
      <c r="K455" t="inlineStr">
        <is>
          <t>Luis Bedoya</t>
        </is>
      </c>
    </row>
    <row r="456" ht="15.75" customHeight="1" s="25">
      <c r="A456" t="inlineStr">
        <is>
          <t>PAG-0454</t>
        </is>
      </c>
      <c r="B456" t="inlineStr">
        <is>
          <t>Sara Salazar Álvarez</t>
        </is>
      </c>
      <c r="C456" t="inlineStr">
        <is>
          <t>PRY-004</t>
        </is>
      </c>
      <c r="D456" t="inlineStr">
        <is>
          <t>Escrituración</t>
        </is>
      </c>
      <c r="E456" t="n">
        <v>340000000</v>
      </c>
      <c r="F456" t="n">
        <v>340000000</v>
      </c>
      <c r="G456">
        <f>E456-F456</f>
        <v/>
      </c>
      <c r="H456">
        <f>IF(E456&gt;0,F456/E456,0)</f>
        <v/>
      </c>
      <c r="I456" s="28" t="n">
        <v>46066</v>
      </c>
      <c r="J456" t="inlineStr">
        <is>
          <t>Pagado</t>
        </is>
      </c>
      <c r="K456" t="inlineStr">
        <is>
          <t>Luis Bedoya</t>
        </is>
      </c>
    </row>
    <row r="457" ht="15.75" customHeight="1" s="25">
      <c r="A457" t="inlineStr">
        <is>
          <t>PAG-0455</t>
        </is>
      </c>
      <c r="B457" t="inlineStr">
        <is>
          <t>Daniela Higuita Salcedo</t>
        </is>
      </c>
      <c r="C457" t="inlineStr">
        <is>
          <t>PRY-003</t>
        </is>
      </c>
      <c r="D457" t="inlineStr">
        <is>
          <t>Cuota inicial</t>
        </is>
      </c>
      <c r="E457" t="n">
        <v>124000000</v>
      </c>
      <c r="F457" t="n">
        <v>94000000</v>
      </c>
      <c r="G457">
        <f>E457-F457</f>
        <v/>
      </c>
      <c r="H457">
        <f>IF(E457&gt;0,F457/E457,0)</f>
        <v/>
      </c>
      <c r="I457" s="28" t="n">
        <v>46207</v>
      </c>
      <c r="J457" t="inlineStr">
        <is>
          <t>Al día</t>
        </is>
      </c>
      <c r="K457" t="inlineStr">
        <is>
          <t>Luis Bedoya</t>
        </is>
      </c>
    </row>
    <row r="458" ht="15.75" customHeight="1" s="25">
      <c r="A458" t="inlineStr">
        <is>
          <t>PAG-0456</t>
        </is>
      </c>
      <c r="B458" t="inlineStr">
        <is>
          <t>Diego Gómez Salcedo</t>
        </is>
      </c>
      <c r="C458" t="inlineStr">
        <is>
          <t>PRY-003</t>
        </is>
      </c>
      <c r="D458" t="inlineStr">
        <is>
          <t>Cuota inicial</t>
        </is>
      </c>
      <c r="E458" t="n">
        <v>101000000</v>
      </c>
      <c r="F458" t="n">
        <v>77052632</v>
      </c>
      <c r="G458">
        <f>E458-F458</f>
        <v/>
      </c>
      <c r="H458">
        <f>IF(E458&gt;0,F458/E458,0)</f>
        <v/>
      </c>
      <c r="I458" s="28" t="n">
        <v>46208</v>
      </c>
      <c r="J458" t="inlineStr">
        <is>
          <t>Al día</t>
        </is>
      </c>
      <c r="K458" t="inlineStr">
        <is>
          <t>Paula Arenas</t>
        </is>
      </c>
    </row>
    <row r="459" ht="15.75" customHeight="1" s="25">
      <c r="A459" t="inlineStr">
        <is>
          <t>PAG-0457</t>
        </is>
      </c>
      <c r="B459" t="inlineStr">
        <is>
          <t>Simón Zapata Cardona</t>
        </is>
      </c>
      <c r="C459" t="inlineStr">
        <is>
          <t>PRY-008</t>
        </is>
      </c>
      <c r="D459" t="inlineStr">
        <is>
          <t>Cuota inicial</t>
        </is>
      </c>
      <c r="E459" t="n">
        <v>32000000</v>
      </c>
      <c r="F459" t="n">
        <v>32000000</v>
      </c>
      <c r="G459">
        <f>E459-F459</f>
        <v/>
      </c>
      <c r="H459">
        <f>IF(E459&gt;0,F459/E459,0)</f>
        <v/>
      </c>
      <c r="I459" s="28" t="n">
        <v>46059</v>
      </c>
      <c r="J459" t="inlineStr">
        <is>
          <t>Pagado</t>
        </is>
      </c>
      <c r="K459" t="inlineStr">
        <is>
          <t>Ana Quintero</t>
        </is>
      </c>
    </row>
    <row r="460" ht="15.75" customHeight="1" s="25">
      <c r="A460" t="inlineStr">
        <is>
          <t>PAG-0458</t>
        </is>
      </c>
      <c r="B460" t="inlineStr">
        <is>
          <t>Simón Zapata Cardona</t>
        </is>
      </c>
      <c r="C460" t="inlineStr">
        <is>
          <t>PRY-008</t>
        </is>
      </c>
      <c r="D460" t="inlineStr">
        <is>
          <t>Escrituración</t>
        </is>
      </c>
      <c r="E460" t="n">
        <v>128000000</v>
      </c>
      <c r="F460" t="n">
        <v>128000000</v>
      </c>
      <c r="G460">
        <f>E460-F460</f>
        <v/>
      </c>
      <c r="H460">
        <f>IF(E460&gt;0,F460/E460,0)</f>
        <v/>
      </c>
      <c r="I460" s="28" t="n">
        <v>46119</v>
      </c>
      <c r="J460" t="inlineStr">
        <is>
          <t>Pagado</t>
        </is>
      </c>
      <c r="K460" t="inlineStr">
        <is>
          <t>Ana Quintero</t>
        </is>
      </c>
    </row>
    <row r="461" ht="15.75" customHeight="1" s="25">
      <c r="A461" t="inlineStr">
        <is>
          <t>PAG-0459</t>
        </is>
      </c>
      <c r="B461" t="inlineStr">
        <is>
          <t>Diana Uribe Zuluaga</t>
        </is>
      </c>
      <c r="C461" t="inlineStr">
        <is>
          <t>PRY-007</t>
        </is>
      </c>
      <c r="D461" t="inlineStr">
        <is>
          <t>Cuota inicial</t>
        </is>
      </c>
      <c r="E461" t="n">
        <v>164000000</v>
      </c>
      <c r="F461" t="n">
        <v>87000000</v>
      </c>
      <c r="G461">
        <f>E461-F461</f>
        <v/>
      </c>
      <c r="H461">
        <f>IF(E461&gt;0,F461/E461,0)</f>
        <v/>
      </c>
      <c r="I461" s="28" t="n">
        <v>46212</v>
      </c>
      <c r="J461" t="inlineStr">
        <is>
          <t>Al día</t>
        </is>
      </c>
      <c r="K461" t="inlineStr">
        <is>
          <t>Sofía Prada</t>
        </is>
      </c>
    </row>
    <row r="462" ht="15.75" customHeight="1" s="25">
      <c r="A462" t="inlineStr">
        <is>
          <t>PAG-0460</t>
        </is>
      </c>
      <c r="B462" t="inlineStr">
        <is>
          <t>Verónica Jaramillo Marín</t>
        </is>
      </c>
      <c r="C462" t="inlineStr">
        <is>
          <t>PRY-005</t>
        </is>
      </c>
      <c r="D462" t="inlineStr">
        <is>
          <t>Cuota inicial</t>
        </is>
      </c>
      <c r="E462" t="n">
        <v>134000000</v>
      </c>
      <c r="F462" t="n">
        <v>88909091</v>
      </c>
      <c r="G462">
        <f>E462-F462</f>
        <v/>
      </c>
      <c r="H462">
        <f>IF(E462&gt;0,F462/E462,0)</f>
        <v/>
      </c>
      <c r="I462" s="28" t="n">
        <v>46213</v>
      </c>
      <c r="J462" t="inlineStr">
        <is>
          <t>Al día</t>
        </is>
      </c>
      <c r="K462" t="inlineStr">
        <is>
          <t>Andrés Torres</t>
        </is>
      </c>
    </row>
    <row r="463" ht="15.75" customHeight="1" s="25">
      <c r="A463" t="inlineStr">
        <is>
          <t>PAG-0461</t>
        </is>
      </c>
      <c r="B463" t="inlineStr">
        <is>
          <t>Carolina Rojas Duque</t>
        </is>
      </c>
      <c r="C463" t="inlineStr">
        <is>
          <t>PRY-003</t>
        </is>
      </c>
      <c r="D463" t="inlineStr">
        <is>
          <t>Cuota inicial</t>
        </is>
      </c>
      <c r="E463" t="n">
        <v>94000000</v>
      </c>
      <c r="F463" t="n">
        <v>71894737</v>
      </c>
      <c r="G463">
        <f>E463-F463</f>
        <v/>
      </c>
      <c r="H463">
        <f>IF(E463&gt;0,F463/E463,0)</f>
        <v/>
      </c>
      <c r="I463" s="28" t="n">
        <v>46213</v>
      </c>
      <c r="J463" t="inlineStr">
        <is>
          <t>Al día</t>
        </is>
      </c>
      <c r="K463" t="inlineStr">
        <is>
          <t>Paula Arenas</t>
        </is>
      </c>
    </row>
    <row r="464" ht="15.75" customHeight="1" s="25">
      <c r="A464" t="inlineStr">
        <is>
          <t>PAG-0462</t>
        </is>
      </c>
      <c r="B464" t="inlineStr">
        <is>
          <t>Alejandro Cifuentes Cifuentes</t>
        </is>
      </c>
      <c r="C464" t="inlineStr">
        <is>
          <t>PRY-001</t>
        </is>
      </c>
      <c r="D464" t="inlineStr">
        <is>
          <t>Cuota inicial</t>
        </is>
      </c>
      <c r="E464" t="n">
        <v>231000000</v>
      </c>
      <c r="F464" t="n">
        <v>133760000</v>
      </c>
      <c r="G464">
        <f>E464-F464</f>
        <v/>
      </c>
      <c r="H464">
        <f>IF(E464&gt;0,F464/E464,0)</f>
        <v/>
      </c>
      <c r="I464" s="28" t="n">
        <v>46213</v>
      </c>
      <c r="J464" t="inlineStr">
        <is>
          <t>Al día</t>
        </is>
      </c>
      <c r="K464" t="inlineStr">
        <is>
          <t>Miguel Salazar</t>
        </is>
      </c>
    </row>
    <row r="465" ht="15.75" customHeight="1" s="25">
      <c r="A465" t="inlineStr">
        <is>
          <t>PAG-0463</t>
        </is>
      </c>
      <c r="B465" t="inlineStr">
        <is>
          <t>Marcela Jaramillo Cano</t>
        </is>
      </c>
      <c r="C465" t="inlineStr">
        <is>
          <t>PRY-004</t>
        </is>
      </c>
      <c r="D465" t="inlineStr">
        <is>
          <t>Cuota inicial</t>
        </is>
      </c>
      <c r="E465" t="n">
        <v>152000000</v>
      </c>
      <c r="F465" t="n">
        <v>152000000</v>
      </c>
      <c r="G465">
        <f>E465-F465</f>
        <v/>
      </c>
      <c r="H465">
        <f>IF(E465&gt;0,F465/E465,0)</f>
        <v/>
      </c>
      <c r="I465" s="28" t="n">
        <v>45942</v>
      </c>
      <c r="J465" t="inlineStr">
        <is>
          <t>Pagado</t>
        </is>
      </c>
      <c r="K465" t="inlineStr">
        <is>
          <t>Paula Arenas</t>
        </is>
      </c>
    </row>
    <row r="466" ht="15.75" customHeight="1" s="25">
      <c r="A466" t="inlineStr">
        <is>
          <t>PAG-0464</t>
        </is>
      </c>
      <c r="B466" t="inlineStr">
        <is>
          <t>Marcela Jaramillo Cano</t>
        </is>
      </c>
      <c r="C466" t="inlineStr">
        <is>
          <t>PRY-004</t>
        </is>
      </c>
      <c r="D466" t="inlineStr">
        <is>
          <t>Escrituración</t>
        </is>
      </c>
      <c r="E466" t="n">
        <v>355000000</v>
      </c>
      <c r="F466" t="n">
        <v>355000000</v>
      </c>
      <c r="G466">
        <f>E466-F466</f>
        <v/>
      </c>
      <c r="H466">
        <f>IF(E466&gt;0,F466/E466,0)</f>
        <v/>
      </c>
      <c r="I466" s="28" t="n">
        <v>46056</v>
      </c>
      <c r="J466" t="inlineStr">
        <is>
          <t>Pagado</t>
        </is>
      </c>
      <c r="K466" t="inlineStr">
        <is>
          <t>Paula Arenas</t>
        </is>
      </c>
    </row>
    <row r="467" ht="15.75" customHeight="1" s="25">
      <c r="A467" t="inlineStr">
        <is>
          <t>PAG-0465</t>
        </is>
      </c>
      <c r="B467" t="inlineStr">
        <is>
          <t>Manuela Escobar Castaño</t>
        </is>
      </c>
      <c r="C467" t="inlineStr">
        <is>
          <t>PRY-001</t>
        </is>
      </c>
      <c r="D467" t="inlineStr">
        <is>
          <t>Cuota inicial</t>
        </is>
      </c>
      <c r="E467" t="n">
        <v>209000000</v>
      </c>
      <c r="F467" t="n">
        <v>89600000</v>
      </c>
      <c r="G467">
        <f>E467-F467</f>
        <v/>
      </c>
      <c r="H467">
        <f>IF(E467&gt;0,F467/E467,0)</f>
        <v/>
      </c>
      <c r="I467" s="28" t="n">
        <v>46098</v>
      </c>
      <c r="J467" t="inlineStr">
        <is>
          <t>En mora</t>
        </is>
      </c>
      <c r="K467" t="inlineStr">
        <is>
          <t>Luis Bedoya</t>
        </is>
      </c>
    </row>
    <row r="468" ht="15.75" customHeight="1" s="25">
      <c r="A468" t="inlineStr">
        <is>
          <t>PAG-0466</t>
        </is>
      </c>
      <c r="B468" t="inlineStr">
        <is>
          <t>Tomás Zapata Salcedo</t>
        </is>
      </c>
      <c r="C468" t="inlineStr">
        <is>
          <t>PRY-008</t>
        </is>
      </c>
      <c r="D468" t="inlineStr">
        <is>
          <t>Cuota inicial</t>
        </is>
      </c>
      <c r="E468" t="n">
        <v>35000000</v>
      </c>
      <c r="F468" t="n">
        <v>35000000</v>
      </c>
      <c r="G468">
        <f>E468-F468</f>
        <v/>
      </c>
      <c r="H468">
        <f>IF(E468&gt;0,F468/E468,0)</f>
        <v/>
      </c>
      <c r="I468" s="28" t="n">
        <v>46072</v>
      </c>
      <c r="J468" t="inlineStr">
        <is>
          <t>Pagado</t>
        </is>
      </c>
      <c r="K468" t="inlineStr">
        <is>
          <t>Juliana Vélez</t>
        </is>
      </c>
    </row>
    <row r="469" ht="15.75" customHeight="1" s="25">
      <c r="A469" t="inlineStr">
        <is>
          <t>PAG-0467</t>
        </is>
      </c>
      <c r="B469" t="inlineStr">
        <is>
          <t>Tomás Zapata Salcedo</t>
        </is>
      </c>
      <c r="C469" t="inlineStr">
        <is>
          <t>PRY-008</t>
        </is>
      </c>
      <c r="D469" t="inlineStr">
        <is>
          <t>Escrituración</t>
        </is>
      </c>
      <c r="E469" t="n">
        <v>141000000</v>
      </c>
      <c r="F469" t="n">
        <v>141000000</v>
      </c>
      <c r="G469">
        <f>E469-F469</f>
        <v/>
      </c>
      <c r="H469">
        <f>IF(E469&gt;0,F469/E469,0)</f>
        <v/>
      </c>
      <c r="I469" s="28" t="n">
        <v>46174</v>
      </c>
      <c r="J469" t="inlineStr">
        <is>
          <t>Pagado</t>
        </is>
      </c>
      <c r="K469" t="inlineStr">
        <is>
          <t>Juliana Vélez</t>
        </is>
      </c>
    </row>
    <row r="470" ht="15.75" customHeight="1" s="25">
      <c r="A470" t="inlineStr">
        <is>
          <t>PAG-0468</t>
        </is>
      </c>
      <c r="B470" t="inlineStr">
        <is>
          <t>Mauricio López Castaño</t>
        </is>
      </c>
      <c r="C470" t="inlineStr">
        <is>
          <t>PRY-007</t>
        </is>
      </c>
      <c r="D470" t="inlineStr">
        <is>
          <t>Cuota inicial</t>
        </is>
      </c>
      <c r="E470" t="n">
        <v>228000000</v>
      </c>
      <c r="F470" t="n">
        <v>119000000</v>
      </c>
      <c r="G470">
        <f>E470-F470</f>
        <v/>
      </c>
      <c r="H470">
        <f>IF(E470&gt;0,F470/E470,0)</f>
        <v/>
      </c>
      <c r="I470" s="28" t="n">
        <v>46223</v>
      </c>
      <c r="J470" t="inlineStr">
        <is>
          <t>Al día</t>
        </is>
      </c>
      <c r="K470" t="inlineStr">
        <is>
          <t>Miguel Salazar</t>
        </is>
      </c>
    </row>
    <row r="471" ht="15.75" customHeight="1" s="25">
      <c r="A471" t="inlineStr">
        <is>
          <t>PAG-0469</t>
        </is>
      </c>
      <c r="B471" t="inlineStr">
        <is>
          <t>Liliana Rojas Agudelo</t>
        </is>
      </c>
      <c r="C471" t="inlineStr">
        <is>
          <t>PRY-004</t>
        </is>
      </c>
      <c r="D471" t="inlineStr">
        <is>
          <t>Cuota inicial</t>
        </is>
      </c>
      <c r="E471" t="n">
        <v>139000000</v>
      </c>
      <c r="F471" t="n">
        <v>139000000</v>
      </c>
      <c r="G471">
        <f>E471-F471</f>
        <v/>
      </c>
      <c r="H471">
        <f>IF(E471&gt;0,F471/E471,0)</f>
        <v/>
      </c>
      <c r="I471" s="28" t="n">
        <v>45953</v>
      </c>
      <c r="J471" t="inlineStr">
        <is>
          <t>Pagado</t>
        </is>
      </c>
      <c r="K471" t="inlineStr">
        <is>
          <t>Ana Quintero</t>
        </is>
      </c>
    </row>
    <row r="472" ht="15.75" customHeight="1" s="25">
      <c r="A472" t="inlineStr">
        <is>
          <t>PAG-0470</t>
        </is>
      </c>
      <c r="B472" t="inlineStr">
        <is>
          <t>Liliana Rojas Agudelo</t>
        </is>
      </c>
      <c r="C472" t="inlineStr">
        <is>
          <t>PRY-004</t>
        </is>
      </c>
      <c r="D472" t="inlineStr">
        <is>
          <t>Escrituración</t>
        </is>
      </c>
      <c r="E472" t="n">
        <v>325000000</v>
      </c>
      <c r="F472" t="n">
        <v>325000000</v>
      </c>
      <c r="G472">
        <f>E472-F472</f>
        <v/>
      </c>
      <c r="H472">
        <f>IF(E472&gt;0,F472/E472,0)</f>
        <v/>
      </c>
      <c r="I472" s="28" t="n">
        <v>46019</v>
      </c>
      <c r="J472" t="inlineStr">
        <is>
          <t>Pagado</t>
        </is>
      </c>
      <c r="K472" t="inlineStr">
        <is>
          <t>Ana Quintero</t>
        </is>
      </c>
    </row>
    <row r="473" ht="15.75" customHeight="1" s="25">
      <c r="A473" t="inlineStr">
        <is>
          <t>PAG-0471</t>
        </is>
      </c>
      <c r="B473" t="inlineStr">
        <is>
          <t>Manuela Hernández Hernández</t>
        </is>
      </c>
      <c r="C473" t="inlineStr">
        <is>
          <t>PRY-003</t>
        </is>
      </c>
      <c r="D473" t="inlineStr">
        <is>
          <t>Cuota inicial</t>
        </is>
      </c>
      <c r="E473" t="n">
        <v>93000000</v>
      </c>
      <c r="F473" t="n">
        <v>71157895</v>
      </c>
      <c r="G473">
        <f>E473-F473</f>
        <v/>
      </c>
      <c r="H473">
        <f>IF(E473&gt;0,F473/E473,0)</f>
        <v/>
      </c>
      <c r="I473" s="28" t="n">
        <v>46227</v>
      </c>
      <c r="J473" t="inlineStr">
        <is>
          <t>Al día</t>
        </is>
      </c>
      <c r="K473" t="inlineStr">
        <is>
          <t>Santiago Muñoz</t>
        </is>
      </c>
    </row>
    <row r="474" ht="15.75" customHeight="1" s="25">
      <c r="A474" t="inlineStr">
        <is>
          <t>PAG-0472</t>
        </is>
      </c>
      <c r="B474" t="inlineStr">
        <is>
          <t>Catalina Muñoz Hernández</t>
        </is>
      </c>
      <c r="C474" t="inlineStr">
        <is>
          <t>PRY-003</t>
        </is>
      </c>
      <c r="D474" t="inlineStr">
        <is>
          <t>Cuota inicial</t>
        </is>
      </c>
      <c r="E474" t="n">
        <v>121000000</v>
      </c>
      <c r="F474" t="n">
        <v>91789474</v>
      </c>
      <c r="G474">
        <f>E474-F474</f>
        <v/>
      </c>
      <c r="H474">
        <f>IF(E474&gt;0,F474/E474,0)</f>
        <v/>
      </c>
      <c r="I474" s="28" t="n">
        <v>46229</v>
      </c>
      <c r="J474" t="inlineStr">
        <is>
          <t>Al día</t>
        </is>
      </c>
      <c r="K474" t="inlineStr">
        <is>
          <t>Ana Quintero</t>
        </is>
      </c>
    </row>
    <row r="475" ht="15.75" customHeight="1" s="25">
      <c r="A475" t="inlineStr">
        <is>
          <t>PAG-0473</t>
        </is>
      </c>
      <c r="B475" t="inlineStr">
        <is>
          <t>Camila Castaño Henao</t>
        </is>
      </c>
      <c r="C475" t="inlineStr">
        <is>
          <t>PRY-008</t>
        </is>
      </c>
      <c r="D475" t="inlineStr">
        <is>
          <t>Cuota inicial</t>
        </is>
      </c>
      <c r="E475" t="n">
        <v>31000000</v>
      </c>
      <c r="F475" t="n">
        <v>31000000</v>
      </c>
      <c r="G475">
        <f>E475-F475</f>
        <v/>
      </c>
      <c r="H475">
        <f>IF(E475&gt;0,F475/E475,0)</f>
        <v/>
      </c>
      <c r="I475" s="28" t="n">
        <v>46081</v>
      </c>
      <c r="J475" t="inlineStr">
        <is>
          <t>Pagado</t>
        </is>
      </c>
      <c r="K475" t="inlineStr">
        <is>
          <t>Sofía Prada</t>
        </is>
      </c>
    </row>
    <row r="476" ht="15.75" customHeight="1" s="25">
      <c r="A476" t="inlineStr">
        <is>
          <t>PAG-0474</t>
        </is>
      </c>
      <c r="B476" t="inlineStr">
        <is>
          <t>Camila Castaño Henao</t>
        </is>
      </c>
      <c r="C476" t="inlineStr">
        <is>
          <t>PRY-008</t>
        </is>
      </c>
      <c r="D476" t="inlineStr">
        <is>
          <t>Escrituración</t>
        </is>
      </c>
      <c r="E476" t="n">
        <v>123000000</v>
      </c>
      <c r="F476" t="n">
        <v>0</v>
      </c>
      <c r="G476">
        <f>E476-F476</f>
        <v/>
      </c>
      <c r="H476">
        <f>IF(E476&gt;0,F476/E476,0)</f>
        <v/>
      </c>
      <c r="I476" s="28" t="n">
        <v>46238</v>
      </c>
      <c r="J476" t="inlineStr">
        <is>
          <t>Pendiente</t>
        </is>
      </c>
      <c r="K476" t="inlineStr">
        <is>
          <t>Sofía Prada</t>
        </is>
      </c>
    </row>
    <row r="477" ht="15.75" customHeight="1" s="25">
      <c r="A477" t="inlineStr">
        <is>
          <t>PAG-0475</t>
        </is>
      </c>
      <c r="B477" t="inlineStr">
        <is>
          <t>Marcela Correa Henao</t>
        </is>
      </c>
      <c r="C477" t="inlineStr">
        <is>
          <t>PRY-005</t>
        </is>
      </c>
      <c r="D477" t="inlineStr">
        <is>
          <t>Cuota inicial</t>
        </is>
      </c>
      <c r="E477" t="n">
        <v>122000000</v>
      </c>
      <c r="F477" t="n">
        <v>81272727</v>
      </c>
      <c r="G477">
        <f>E477-F477</f>
        <v/>
      </c>
      <c r="H477">
        <f>IF(E477&gt;0,F477/E477,0)</f>
        <v/>
      </c>
      <c r="I477" s="28" t="n">
        <v>46232</v>
      </c>
      <c r="J477" t="inlineStr">
        <is>
          <t>Al día</t>
        </is>
      </c>
      <c r="K477" t="inlineStr">
        <is>
          <t>Ana Quintero</t>
        </is>
      </c>
    </row>
    <row r="478" ht="15.75" customHeight="1" s="25">
      <c r="A478" t="inlineStr">
        <is>
          <t>PAG-0476</t>
        </is>
      </c>
      <c r="B478" t="inlineStr">
        <is>
          <t>Felipe Ochoa Mejía</t>
        </is>
      </c>
      <c r="C478" t="inlineStr">
        <is>
          <t>PRY-001</t>
        </is>
      </c>
      <c r="D478" t="inlineStr">
        <is>
          <t>Cuota inicial</t>
        </is>
      </c>
      <c r="E478" t="n">
        <v>260000000</v>
      </c>
      <c r="F478" t="n">
        <v>150000000</v>
      </c>
      <c r="G478">
        <f>E478-F478</f>
        <v/>
      </c>
      <c r="H478">
        <f>IF(E478&gt;0,F478/E478,0)</f>
        <v/>
      </c>
      <c r="I478" s="28" t="n">
        <v>46233</v>
      </c>
      <c r="J478" t="inlineStr">
        <is>
          <t>Al día</t>
        </is>
      </c>
      <c r="K478" t="inlineStr">
        <is>
          <t>Andrés Torres</t>
        </is>
      </c>
    </row>
    <row r="479" ht="15.75" customHeight="1" s="25">
      <c r="A479" t="inlineStr">
        <is>
          <t>PAG-0477</t>
        </is>
      </c>
      <c r="B479" t="inlineStr">
        <is>
          <t>Gloria Franco Uribe</t>
        </is>
      </c>
      <c r="C479" t="inlineStr">
        <is>
          <t>PRY-005</t>
        </is>
      </c>
      <c r="D479" t="inlineStr">
        <is>
          <t>Cuota inicial</t>
        </is>
      </c>
      <c r="E479" t="n">
        <v>142000000</v>
      </c>
      <c r="F479" t="n">
        <v>94000000</v>
      </c>
      <c r="G479">
        <f>E479-F479</f>
        <v/>
      </c>
      <c r="H479">
        <f>IF(E479&gt;0,F479/E479,0)</f>
        <v/>
      </c>
      <c r="I479" s="28" t="n">
        <v>46233</v>
      </c>
      <c r="J479" t="inlineStr">
        <is>
          <t>Al día</t>
        </is>
      </c>
      <c r="K479" t="inlineStr">
        <is>
          <t>Juliana Vélez</t>
        </is>
      </c>
    </row>
    <row r="480" ht="15.75" customHeight="1" s="25">
      <c r="A480" t="inlineStr">
        <is>
          <t>PAG-0478</t>
        </is>
      </c>
      <c r="B480" t="inlineStr">
        <is>
          <t>Julián Restrepo Cardona</t>
        </is>
      </c>
      <c r="C480" t="inlineStr">
        <is>
          <t>PRY-004</t>
        </is>
      </c>
      <c r="D480" t="inlineStr">
        <is>
          <t>Cuota inicial</t>
        </is>
      </c>
      <c r="E480" t="n">
        <v>144000000</v>
      </c>
      <c r="F480" t="n">
        <v>144000000</v>
      </c>
      <c r="G480">
        <f>E480-F480</f>
        <v/>
      </c>
      <c r="H480">
        <f>IF(E480&gt;0,F480/E480,0)</f>
        <v/>
      </c>
      <c r="I480" s="28" t="n">
        <v>45960</v>
      </c>
      <c r="J480" t="inlineStr">
        <is>
          <t>Pagado</t>
        </is>
      </c>
      <c r="K480" t="inlineStr">
        <is>
          <t>Daniela Ríos</t>
        </is>
      </c>
    </row>
    <row r="481" ht="15.75" customHeight="1" s="25">
      <c r="A481" t="inlineStr">
        <is>
          <t>PAG-0479</t>
        </is>
      </c>
      <c r="B481" t="inlineStr">
        <is>
          <t>Julián Restrepo Cardona</t>
        </is>
      </c>
      <c r="C481" t="inlineStr">
        <is>
          <t>PRY-004</t>
        </is>
      </c>
      <c r="D481" t="inlineStr">
        <is>
          <t>Escrituración</t>
        </is>
      </c>
      <c r="E481" t="n">
        <v>336000000</v>
      </c>
      <c r="F481" t="n">
        <v>336000000</v>
      </c>
      <c r="G481">
        <f>E481-F481</f>
        <v/>
      </c>
      <c r="H481">
        <f>IF(E481&gt;0,F481/E481,0)</f>
        <v/>
      </c>
      <c r="I481" s="28" t="n">
        <v>46036</v>
      </c>
      <c r="J481" t="inlineStr">
        <is>
          <t>Pagado</t>
        </is>
      </c>
      <c r="K481" t="inlineStr">
        <is>
          <t>Daniela Ríos</t>
        </is>
      </c>
    </row>
    <row r="482" ht="15.75" customHeight="1" s="25">
      <c r="A482" t="inlineStr">
        <is>
          <t>PAG-0480</t>
        </is>
      </c>
      <c r="B482" t="inlineStr">
        <is>
          <t>Sofía Duque Zapata</t>
        </is>
      </c>
      <c r="C482" t="inlineStr">
        <is>
          <t>PRY-003</t>
        </is>
      </c>
      <c r="D482" t="inlineStr">
        <is>
          <t>Cuota inicial</t>
        </is>
      </c>
      <c r="E482" t="n">
        <v>111000000</v>
      </c>
      <c r="F482" t="n">
        <v>82944444</v>
      </c>
      <c r="G482">
        <f>E482-F482</f>
        <v/>
      </c>
      <c r="H482">
        <f>IF(E482&gt;0,F482/E482,0)</f>
        <v/>
      </c>
      <c r="I482" s="28" t="n">
        <v>46205</v>
      </c>
      <c r="J482" t="inlineStr">
        <is>
          <t>Al día</t>
        </is>
      </c>
      <c r="K482" t="inlineStr">
        <is>
          <t>Paula Arenas</t>
        </is>
      </c>
    </row>
    <row r="483" ht="15.75" customHeight="1" s="25">
      <c r="A483" t="inlineStr">
        <is>
          <t>PAG-0481</t>
        </is>
      </c>
      <c r="B483" t="inlineStr">
        <is>
          <t>María Ochoa Álvarez</t>
        </is>
      </c>
      <c r="C483" t="inlineStr">
        <is>
          <t>PRY-008</t>
        </is>
      </c>
      <c r="D483" t="inlineStr">
        <is>
          <t>Cuota inicial</t>
        </is>
      </c>
      <c r="E483" t="n">
        <v>36000000</v>
      </c>
      <c r="F483" t="n">
        <v>36000000</v>
      </c>
      <c r="G483">
        <f>E483-F483</f>
        <v/>
      </c>
      <c r="H483">
        <f>IF(E483&gt;0,F483/E483,0)</f>
        <v/>
      </c>
      <c r="I483" s="28" t="n">
        <v>46058</v>
      </c>
      <c r="J483" t="inlineStr">
        <is>
          <t>Pagado</t>
        </is>
      </c>
      <c r="K483" t="inlineStr">
        <is>
          <t>Santiago Muñoz</t>
        </is>
      </c>
    </row>
    <row r="484" ht="15.75" customHeight="1" s="25">
      <c r="A484" t="inlineStr">
        <is>
          <t>PAG-0482</t>
        </is>
      </c>
      <c r="B484" t="inlineStr">
        <is>
          <t>María Ochoa Álvarez</t>
        </is>
      </c>
      <c r="C484" t="inlineStr">
        <is>
          <t>PRY-008</t>
        </is>
      </c>
      <c r="D484" t="inlineStr">
        <is>
          <t>Escrituración</t>
        </is>
      </c>
      <c r="E484" t="n">
        <v>143000000</v>
      </c>
      <c r="F484" t="n">
        <v>143000000</v>
      </c>
      <c r="G484">
        <f>E484-F484</f>
        <v/>
      </c>
      <c r="H484">
        <f>IF(E484&gt;0,F484/E484,0)</f>
        <v/>
      </c>
      <c r="I484" s="28" t="n">
        <v>46123</v>
      </c>
      <c r="J484" t="inlineStr">
        <is>
          <t>Pagado</t>
        </is>
      </c>
      <c r="K484" t="inlineStr">
        <is>
          <t>Santiago Muñoz</t>
        </is>
      </c>
    </row>
    <row r="485" ht="15.75" customHeight="1" s="25">
      <c r="A485" t="inlineStr">
        <is>
          <t>PAG-0483</t>
        </is>
      </c>
      <c r="B485" t="inlineStr">
        <is>
          <t>Paola Uribe Montes</t>
        </is>
      </c>
      <c r="C485" t="inlineStr">
        <is>
          <t>PRY-003</t>
        </is>
      </c>
      <c r="D485" t="inlineStr">
        <is>
          <t>Cuota inicial</t>
        </is>
      </c>
      <c r="E485" t="n">
        <v>104000000</v>
      </c>
      <c r="F485" t="n">
        <v>77888889</v>
      </c>
      <c r="G485">
        <f>E485-F485</f>
        <v/>
      </c>
      <c r="H485">
        <f>IF(E485&gt;0,F485/E485,0)</f>
        <v/>
      </c>
      <c r="I485" s="28" t="n">
        <v>46212</v>
      </c>
      <c r="J485" t="inlineStr">
        <is>
          <t>Al día</t>
        </is>
      </c>
      <c r="K485" t="inlineStr">
        <is>
          <t>Juliana Vélez</t>
        </is>
      </c>
    </row>
    <row r="486" ht="15.75" customHeight="1" s="25">
      <c r="A486" t="inlineStr">
        <is>
          <t>PAG-0484</t>
        </is>
      </c>
      <c r="B486" t="inlineStr">
        <is>
          <t>Santiago Rojas Higuita</t>
        </is>
      </c>
      <c r="C486" t="inlineStr">
        <is>
          <t>PRY-008</t>
        </is>
      </c>
      <c r="D486" t="inlineStr">
        <is>
          <t>Cuota inicial</t>
        </is>
      </c>
      <c r="E486" t="n">
        <v>33000000</v>
      </c>
      <c r="F486" t="n">
        <v>33000000</v>
      </c>
      <c r="G486">
        <f>E486-F486</f>
        <v/>
      </c>
      <c r="H486">
        <f>IF(E486&gt;0,F486/E486,0)</f>
        <v/>
      </c>
      <c r="I486" s="28" t="n">
        <v>46063</v>
      </c>
      <c r="J486" t="inlineStr">
        <is>
          <t>Pagado</t>
        </is>
      </c>
      <c r="K486" t="inlineStr">
        <is>
          <t>Luis Bedoya</t>
        </is>
      </c>
    </row>
    <row r="487" ht="15.75" customHeight="1" s="25">
      <c r="A487" t="inlineStr">
        <is>
          <t>PAG-0485</t>
        </is>
      </c>
      <c r="B487" t="inlineStr">
        <is>
          <t>Santiago Rojas Higuita</t>
        </is>
      </c>
      <c r="C487" t="inlineStr">
        <is>
          <t>PRY-008</t>
        </is>
      </c>
      <c r="D487" t="inlineStr">
        <is>
          <t>Escrituración</t>
        </is>
      </c>
      <c r="E487" t="n">
        <v>131000000</v>
      </c>
      <c r="F487" t="n">
        <v>131000000</v>
      </c>
      <c r="G487">
        <f>E487-F487</f>
        <v/>
      </c>
      <c r="H487">
        <f>IF(E487&gt;0,F487/E487,0)</f>
        <v/>
      </c>
      <c r="I487" s="28" t="n">
        <v>46138</v>
      </c>
      <c r="J487" t="inlineStr">
        <is>
          <t>Pagado</t>
        </is>
      </c>
      <c r="K487" t="inlineStr">
        <is>
          <t>Luis Bedoya</t>
        </is>
      </c>
    </row>
    <row r="488" ht="15.75" customHeight="1" s="25">
      <c r="A488" t="inlineStr">
        <is>
          <t>PAG-0486</t>
        </is>
      </c>
      <c r="B488" t="inlineStr">
        <is>
          <t>Gabriel Jaramillo Vásquez</t>
        </is>
      </c>
      <c r="C488" t="inlineStr">
        <is>
          <t>PRY-002</t>
        </is>
      </c>
      <c r="D488" t="inlineStr">
        <is>
          <t>Cuota inicial</t>
        </is>
      </c>
      <c r="E488" t="n">
        <v>230000000</v>
      </c>
      <c r="F488" t="n">
        <v>105333333</v>
      </c>
      <c r="G488">
        <f>E488-F488</f>
        <v/>
      </c>
      <c r="H488">
        <f>IF(E488&gt;0,F488/E488,0)</f>
        <v/>
      </c>
      <c r="I488" s="28" t="n">
        <v>46215</v>
      </c>
      <c r="J488" t="inlineStr">
        <is>
          <t>Al día</t>
        </is>
      </c>
      <c r="K488" t="inlineStr">
        <is>
          <t>Santiago Muñoz</t>
        </is>
      </c>
    </row>
    <row r="489" ht="15.75" customHeight="1" s="25">
      <c r="A489" t="inlineStr">
        <is>
          <t>PAG-0487</t>
        </is>
      </c>
      <c r="B489" t="inlineStr">
        <is>
          <t>Jorge Henao Sánchez</t>
        </is>
      </c>
      <c r="C489" t="inlineStr">
        <is>
          <t>PRY-003</t>
        </is>
      </c>
      <c r="D489" t="inlineStr">
        <is>
          <t>Cuota inicial</t>
        </is>
      </c>
      <c r="E489" t="n">
        <v>120000000</v>
      </c>
      <c r="F489" t="n">
        <v>89444444</v>
      </c>
      <c r="G489">
        <f>E489-F489</f>
        <v/>
      </c>
      <c r="H489">
        <f>IF(E489&gt;0,F489/E489,0)</f>
        <v/>
      </c>
      <c r="I489" s="28" t="n">
        <v>46215</v>
      </c>
      <c r="J489" t="inlineStr">
        <is>
          <t>Al día</t>
        </is>
      </c>
      <c r="K489" t="inlineStr">
        <is>
          <t>Miguel Salazar</t>
        </is>
      </c>
    </row>
    <row r="490" ht="15.75" customHeight="1" s="25">
      <c r="A490" t="inlineStr">
        <is>
          <t>PAG-0488</t>
        </is>
      </c>
      <c r="B490" t="inlineStr">
        <is>
          <t>Jhon Escobar Echeverri</t>
        </is>
      </c>
      <c r="C490" t="inlineStr">
        <is>
          <t>PRY-002</t>
        </is>
      </c>
      <c r="D490" t="inlineStr">
        <is>
          <t>Cuota inicial</t>
        </is>
      </c>
      <c r="E490" t="n">
        <v>216000000</v>
      </c>
      <c r="F490" t="n">
        <v>99266667</v>
      </c>
      <c r="G490">
        <f>E490-F490</f>
        <v/>
      </c>
      <c r="H490">
        <f>IF(E490&gt;0,F490/E490,0)</f>
        <v/>
      </c>
      <c r="I490" s="28" t="n">
        <v>46216</v>
      </c>
      <c r="J490" t="inlineStr">
        <is>
          <t>Al día</t>
        </is>
      </c>
      <c r="K490" t="inlineStr">
        <is>
          <t>Sofía Prada</t>
        </is>
      </c>
    </row>
    <row r="491" ht="15.75" customHeight="1" s="25">
      <c r="A491" t="inlineStr">
        <is>
          <t>PAG-0489</t>
        </is>
      </c>
      <c r="B491" t="inlineStr">
        <is>
          <t>Jhon Arango Giraldo</t>
        </is>
      </c>
      <c r="C491" t="inlineStr">
        <is>
          <t>PRY-005</t>
        </is>
      </c>
      <c r="D491" t="inlineStr">
        <is>
          <t>Cuota inicial</t>
        </is>
      </c>
      <c r="E491" t="n">
        <v>135000000</v>
      </c>
      <c r="F491" t="n">
        <v>87380952</v>
      </c>
      <c r="G491">
        <f>E491-F491</f>
        <v/>
      </c>
      <c r="H491">
        <f>IF(E491&gt;0,F491/E491,0)</f>
        <v/>
      </c>
      <c r="I491" s="28" t="n">
        <v>46217</v>
      </c>
      <c r="J491" t="inlineStr">
        <is>
          <t>Al día</t>
        </is>
      </c>
      <c r="K491" t="inlineStr">
        <is>
          <t>Santiago Muñoz</t>
        </is>
      </c>
    </row>
    <row r="492" ht="15.75" customHeight="1" s="25">
      <c r="A492" t="inlineStr">
        <is>
          <t>PAG-0490</t>
        </is>
      </c>
      <c r="B492" t="inlineStr">
        <is>
          <t>Nicolás Montes Uribe</t>
        </is>
      </c>
      <c r="C492" t="inlineStr">
        <is>
          <t>PRY-008</t>
        </is>
      </c>
      <c r="D492" t="inlineStr">
        <is>
          <t>Cuota inicial</t>
        </is>
      </c>
      <c r="E492" t="n">
        <v>28000000</v>
      </c>
      <c r="F492" t="n">
        <v>28000000</v>
      </c>
      <c r="G492">
        <f>E492-F492</f>
        <v/>
      </c>
      <c r="H492">
        <f>IF(E492&gt;0,F492/E492,0)</f>
        <v/>
      </c>
      <c r="I492" s="28" t="n">
        <v>46068</v>
      </c>
      <c r="J492" t="inlineStr">
        <is>
          <t>Pagado</t>
        </is>
      </c>
      <c r="K492" t="inlineStr">
        <is>
          <t>Ana Quintero</t>
        </is>
      </c>
    </row>
    <row r="493" ht="15.75" customHeight="1" s="25">
      <c r="A493" t="inlineStr">
        <is>
          <t>PAG-0491</t>
        </is>
      </c>
      <c r="B493" t="inlineStr">
        <is>
          <t>Nicolás Montes Uribe</t>
        </is>
      </c>
      <c r="C493" t="inlineStr">
        <is>
          <t>PRY-008</t>
        </is>
      </c>
      <c r="D493" t="inlineStr">
        <is>
          <t>Escrituración</t>
        </is>
      </c>
      <c r="E493" t="n">
        <v>112000000</v>
      </c>
      <c r="F493" t="n">
        <v>0</v>
      </c>
      <c r="G493">
        <f>E493-F493</f>
        <v/>
      </c>
      <c r="H493">
        <f>IF(E493&gt;0,F493/E493,0)</f>
        <v/>
      </c>
      <c r="I493" s="28" t="n">
        <v>46226</v>
      </c>
      <c r="J493" t="inlineStr">
        <is>
          <t>Pendiente</t>
        </is>
      </c>
      <c r="K493" t="inlineStr">
        <is>
          <t>Ana Quintero</t>
        </is>
      </c>
    </row>
    <row r="494" ht="15.75" customHeight="1" s="25">
      <c r="A494" t="inlineStr">
        <is>
          <t>PAG-0492</t>
        </is>
      </c>
      <c r="B494" t="inlineStr">
        <is>
          <t>Rodrigo Toro Montes</t>
        </is>
      </c>
      <c r="C494" t="inlineStr">
        <is>
          <t>PRY-008</t>
        </is>
      </c>
      <c r="D494" t="inlineStr">
        <is>
          <t>Cuota inicial</t>
        </is>
      </c>
      <c r="E494" t="n">
        <v>35000000</v>
      </c>
      <c r="F494" t="n">
        <v>35000000</v>
      </c>
      <c r="G494">
        <f>E494-F494</f>
        <v/>
      </c>
      <c r="H494">
        <f>IF(E494&gt;0,F494/E494,0)</f>
        <v/>
      </c>
      <c r="I494" s="28" t="n">
        <v>46069</v>
      </c>
      <c r="J494" t="inlineStr">
        <is>
          <t>Pagado</t>
        </is>
      </c>
      <c r="K494" t="inlineStr">
        <is>
          <t>Miguel Salazar</t>
        </is>
      </c>
    </row>
    <row r="495" ht="15.75" customHeight="1" s="25">
      <c r="A495" t="inlineStr">
        <is>
          <t>PAG-0493</t>
        </is>
      </c>
      <c r="B495" t="inlineStr">
        <is>
          <t>Rodrigo Toro Montes</t>
        </is>
      </c>
      <c r="C495" t="inlineStr">
        <is>
          <t>PRY-008</t>
        </is>
      </c>
      <c r="D495" t="inlineStr">
        <is>
          <t>Escrituración</t>
        </is>
      </c>
      <c r="E495" t="n">
        <v>141000000</v>
      </c>
      <c r="F495" t="n">
        <v>0</v>
      </c>
      <c r="G495">
        <f>E495-F495</f>
        <v/>
      </c>
      <c r="H495">
        <f>IF(E495&gt;0,F495/E495,0)</f>
        <v/>
      </c>
      <c r="I495" s="28" t="n">
        <v>46260</v>
      </c>
      <c r="J495" t="inlineStr">
        <is>
          <t>Pendiente</t>
        </is>
      </c>
      <c r="K495" t="inlineStr">
        <is>
          <t>Miguel Salazar</t>
        </is>
      </c>
    </row>
    <row r="496" ht="15.75" customHeight="1" s="25">
      <c r="A496" t="inlineStr">
        <is>
          <t>PAG-0494</t>
        </is>
      </c>
      <c r="B496" t="inlineStr">
        <is>
          <t>Felipe Giraldo Restrepo</t>
        </is>
      </c>
      <c r="C496" t="inlineStr">
        <is>
          <t>PRY-001</t>
        </is>
      </c>
      <c r="D496" t="inlineStr">
        <is>
          <t>Cuota inicial</t>
        </is>
      </c>
      <c r="E496" t="n">
        <v>251000000</v>
      </c>
      <c r="F496" t="n">
        <v>140541667</v>
      </c>
      <c r="G496">
        <f>E496-F496</f>
        <v/>
      </c>
      <c r="H496">
        <f>IF(E496&gt;0,F496/E496,0)</f>
        <v/>
      </c>
      <c r="I496" s="28" t="n">
        <v>46219</v>
      </c>
      <c r="J496" t="inlineStr">
        <is>
          <t>Al día</t>
        </is>
      </c>
      <c r="K496" t="inlineStr">
        <is>
          <t>Santiago Muñoz</t>
        </is>
      </c>
    </row>
    <row r="497" ht="15.75" customHeight="1" s="25">
      <c r="A497" t="inlineStr">
        <is>
          <t>PAG-0495</t>
        </is>
      </c>
      <c r="B497" t="inlineStr">
        <is>
          <t>David Correa Toro</t>
        </is>
      </c>
      <c r="C497" t="inlineStr">
        <is>
          <t>PRY-001</t>
        </is>
      </c>
      <c r="D497" t="inlineStr">
        <is>
          <t>Cuota inicial</t>
        </is>
      </c>
      <c r="E497" t="n">
        <v>220000000</v>
      </c>
      <c r="F497" t="n">
        <v>123750000</v>
      </c>
      <c r="G497">
        <f>E497-F497</f>
        <v/>
      </c>
      <c r="H497">
        <f>IF(E497&gt;0,F497/E497,0)</f>
        <v/>
      </c>
      <c r="I497" s="28" t="n">
        <v>46222</v>
      </c>
      <c r="J497" t="inlineStr">
        <is>
          <t>Al día</t>
        </is>
      </c>
      <c r="K497" t="inlineStr">
        <is>
          <t>Sofía Prada</t>
        </is>
      </c>
    </row>
    <row r="498" ht="15.75" customHeight="1" s="25">
      <c r="A498" t="inlineStr">
        <is>
          <t>PAG-0496</t>
        </is>
      </c>
      <c r="B498" t="inlineStr">
        <is>
          <t>Fernando Álvarez Zuluaga</t>
        </is>
      </c>
      <c r="C498" t="inlineStr">
        <is>
          <t>PRY-007</t>
        </is>
      </c>
      <c r="D498" t="inlineStr">
        <is>
          <t>Cuota inicial</t>
        </is>
      </c>
      <c r="E498" t="n">
        <v>224000000</v>
      </c>
      <c r="F498" t="n">
        <v>113037037</v>
      </c>
      <c r="G498">
        <f>E498-F498</f>
        <v/>
      </c>
      <c r="H498">
        <f>IF(E498&gt;0,F498/E498,0)</f>
        <v/>
      </c>
      <c r="I498" s="28" t="n">
        <v>46222</v>
      </c>
      <c r="J498" t="inlineStr">
        <is>
          <t>Al día</t>
        </is>
      </c>
      <c r="K498" t="inlineStr">
        <is>
          <t>Ana Quintero</t>
        </is>
      </c>
    </row>
    <row r="499" ht="15.75" customHeight="1" s="25">
      <c r="A499" t="inlineStr">
        <is>
          <t>PAG-0497</t>
        </is>
      </c>
      <c r="B499" t="inlineStr">
        <is>
          <t>María Higuita Londoño</t>
        </is>
      </c>
      <c r="C499" t="inlineStr">
        <is>
          <t>PRY-005</t>
        </is>
      </c>
      <c r="D499" t="inlineStr">
        <is>
          <t>Cuota inicial</t>
        </is>
      </c>
      <c r="E499" t="n">
        <v>138000000</v>
      </c>
      <c r="F499" t="n">
        <v>89238095</v>
      </c>
      <c r="G499">
        <f>E499-F499</f>
        <v/>
      </c>
      <c r="H499">
        <f>IF(E499&gt;0,F499/E499,0)</f>
        <v/>
      </c>
      <c r="I499" s="28" t="n">
        <v>46222</v>
      </c>
      <c r="J499" t="inlineStr">
        <is>
          <t>Al día</t>
        </is>
      </c>
      <c r="K499" t="inlineStr">
        <is>
          <t>Sofía Prada</t>
        </is>
      </c>
    </row>
    <row r="500" ht="15.75" customHeight="1" s="25">
      <c r="A500" t="inlineStr">
        <is>
          <t>PAG-0498</t>
        </is>
      </c>
      <c r="B500" t="inlineStr">
        <is>
          <t>María Vásquez Betancur</t>
        </is>
      </c>
      <c r="C500" t="inlineStr">
        <is>
          <t>PRY-003</t>
        </is>
      </c>
      <c r="D500" t="inlineStr">
        <is>
          <t>Cuota inicial</t>
        </is>
      </c>
      <c r="E500" t="n">
        <v>114000000</v>
      </c>
      <c r="F500" t="n">
        <v>73555556</v>
      </c>
      <c r="G500">
        <f>E500-F500</f>
        <v/>
      </c>
      <c r="H500">
        <f>IF(E500&gt;0,F500/E500,0)</f>
        <v/>
      </c>
      <c r="I500" s="28" t="n">
        <v>46166</v>
      </c>
      <c r="J500" t="inlineStr">
        <is>
          <t>En mora</t>
        </is>
      </c>
      <c r="K500" t="inlineStr">
        <is>
          <t>Santiago Muñoz</t>
        </is>
      </c>
    </row>
    <row r="501" ht="15.75" customHeight="1" s="25">
      <c r="A501" t="inlineStr">
        <is>
          <t>PAG-0499</t>
        </is>
      </c>
      <c r="B501" t="inlineStr">
        <is>
          <t>Gloria Montes Cifuentes</t>
        </is>
      </c>
      <c r="C501" t="inlineStr">
        <is>
          <t>PRY-003</t>
        </is>
      </c>
      <c r="D501" t="inlineStr">
        <is>
          <t>Cuota inicial</t>
        </is>
      </c>
      <c r="E501" t="n">
        <v>116000000</v>
      </c>
      <c r="F501" t="n">
        <v>86555556</v>
      </c>
      <c r="G501">
        <f>E501-F501</f>
        <v/>
      </c>
      <c r="H501">
        <f>IF(E501&gt;0,F501/E501,0)</f>
        <v/>
      </c>
      <c r="I501" s="28" t="n">
        <v>46228</v>
      </c>
      <c r="J501" t="inlineStr">
        <is>
          <t>Al día</t>
        </is>
      </c>
      <c r="K501" t="inlineStr">
        <is>
          <t>Miguel Salazar</t>
        </is>
      </c>
    </row>
    <row r="502" ht="15.75" customHeight="1" s="25">
      <c r="A502" t="inlineStr">
        <is>
          <t>PAG-0500</t>
        </is>
      </c>
      <c r="B502" t="inlineStr">
        <is>
          <t>Sofía Gaviria Gaviria</t>
        </is>
      </c>
      <c r="C502" t="inlineStr">
        <is>
          <t>PRY-001</t>
        </is>
      </c>
      <c r="D502" t="inlineStr">
        <is>
          <t>Cuota inicial</t>
        </is>
      </c>
      <c r="E502" t="n">
        <v>206000000</v>
      </c>
      <c r="F502" t="n">
        <v>116166667</v>
      </c>
      <c r="G502">
        <f>E502-F502</f>
        <v/>
      </c>
      <c r="H502">
        <f>IF(E502&gt;0,F502/E502,0)</f>
        <v/>
      </c>
      <c r="I502" s="28" t="n">
        <v>46229</v>
      </c>
      <c r="J502" t="inlineStr">
        <is>
          <t>Al día</t>
        </is>
      </c>
      <c r="K502" t="inlineStr">
        <is>
          <t>Juliana Vélez</t>
        </is>
      </c>
    </row>
    <row r="503" ht="15.75" customHeight="1" s="25">
      <c r="A503" t="inlineStr">
        <is>
          <t>PAG-0501</t>
        </is>
      </c>
      <c r="B503" t="inlineStr">
        <is>
          <t>Valeria Ramírez Salcedo</t>
        </is>
      </c>
      <c r="C503" t="inlineStr">
        <is>
          <t>PRY-005</t>
        </is>
      </c>
      <c r="D503" t="inlineStr">
        <is>
          <t>Cuota inicial</t>
        </is>
      </c>
      <c r="E503" t="n">
        <v>137000000</v>
      </c>
      <c r="F503" t="n">
        <v>88619048</v>
      </c>
      <c r="G503">
        <f>E503-F503</f>
        <v/>
      </c>
      <c r="H503">
        <f>IF(E503&gt;0,F503/E503,0)</f>
        <v/>
      </c>
      <c r="I503" s="28" t="n">
        <v>46230</v>
      </c>
      <c r="J503" t="inlineStr">
        <is>
          <t>Al día</t>
        </is>
      </c>
      <c r="K503" t="inlineStr">
        <is>
          <t>Sofía Prada</t>
        </is>
      </c>
    </row>
    <row r="504" ht="15.75" customHeight="1" s="25">
      <c r="A504" t="inlineStr">
        <is>
          <t>PAG-0502</t>
        </is>
      </c>
      <c r="B504" t="inlineStr">
        <is>
          <t>Alejandra Henao Sánchez</t>
        </is>
      </c>
      <c r="C504" t="inlineStr">
        <is>
          <t>PRY-007</t>
        </is>
      </c>
      <c r="D504" t="inlineStr">
        <is>
          <t>Cuota inicial</t>
        </is>
      </c>
      <c r="E504" t="n">
        <v>190000000</v>
      </c>
      <c r="F504" t="n">
        <v>96666667</v>
      </c>
      <c r="G504">
        <f>E504-F504</f>
        <v/>
      </c>
      <c r="H504">
        <f>IF(E504&gt;0,F504/E504,0)</f>
        <v/>
      </c>
      <c r="I504" s="28" t="n">
        <v>46232</v>
      </c>
      <c r="J504" t="inlineStr">
        <is>
          <t>Al día</t>
        </is>
      </c>
      <c r="K504" t="inlineStr">
        <is>
          <t>Miguel Salazar</t>
        </is>
      </c>
    </row>
    <row r="505" ht="15.75" customHeight="1" s="25">
      <c r="A505" t="inlineStr">
        <is>
          <t>PAG-0503</t>
        </is>
      </c>
      <c r="B505" t="inlineStr">
        <is>
          <t>Rodrigo Gaviria Ramírez</t>
        </is>
      </c>
      <c r="C505" t="inlineStr">
        <is>
          <t>PRY-005</t>
        </is>
      </c>
      <c r="D505" t="inlineStr">
        <is>
          <t>Cuota inicial</t>
        </is>
      </c>
      <c r="E505" t="n">
        <v>121000000</v>
      </c>
      <c r="F505" t="n">
        <v>78714286</v>
      </c>
      <c r="G505">
        <f>E505-F505</f>
        <v/>
      </c>
      <c r="H505">
        <f>IF(E505&gt;0,F505/E505,0)</f>
        <v/>
      </c>
      <c r="I505" s="28" t="n">
        <v>46232</v>
      </c>
      <c r="J505" t="inlineStr">
        <is>
          <t>Al día</t>
        </is>
      </c>
      <c r="K505" t="inlineStr">
        <is>
          <t>Santiago Muñoz</t>
        </is>
      </c>
    </row>
    <row r="506" ht="15.75" customHeight="1" s="25">
      <c r="A506" t="inlineStr">
        <is>
          <t>PAG-0504</t>
        </is>
      </c>
      <c r="B506" t="inlineStr">
        <is>
          <t>Diego Peláez Vásquez</t>
        </is>
      </c>
      <c r="C506" t="inlineStr">
        <is>
          <t>PRY-001</t>
        </is>
      </c>
      <c r="D506" t="inlineStr">
        <is>
          <t>Cuota inicial</t>
        </is>
      </c>
      <c r="E506" t="n">
        <v>185000000</v>
      </c>
      <c r="F506" t="n">
        <v>75625000</v>
      </c>
      <c r="G506">
        <f>E506-F506</f>
        <v/>
      </c>
      <c r="H506">
        <f>IF(E506&gt;0,F506/E506,0)</f>
        <v/>
      </c>
      <c r="I506" s="28" t="n">
        <v>46112</v>
      </c>
      <c r="J506" t="inlineStr">
        <is>
          <t>En mora</t>
        </is>
      </c>
      <c r="K506" t="inlineStr">
        <is>
          <t>Luis Bedoya</t>
        </is>
      </c>
    </row>
    <row r="507" ht="15.75" customHeight="1" s="25">
      <c r="A507" t="inlineStr">
        <is>
          <t>PAG-0505</t>
        </is>
      </c>
      <c r="B507" t="inlineStr">
        <is>
          <t>Gloria Vélez Valencia</t>
        </is>
      </c>
      <c r="C507" t="inlineStr">
        <is>
          <t>PRY-003</t>
        </is>
      </c>
      <c r="D507" t="inlineStr">
        <is>
          <t>Cuota inicial</t>
        </is>
      </c>
      <c r="E507" t="n">
        <v>117000000</v>
      </c>
      <c r="F507" t="n">
        <v>87277778</v>
      </c>
      <c r="G507">
        <f>E507-F507</f>
        <v/>
      </c>
      <c r="H507">
        <f>IF(E507&gt;0,F507/E507,0)</f>
        <v/>
      </c>
      <c r="I507" s="28" t="n">
        <v>46234</v>
      </c>
      <c r="J507" t="inlineStr">
        <is>
          <t>Al día</t>
        </is>
      </c>
      <c r="K507" t="inlineStr">
        <is>
          <t>Sofía Prada</t>
        </is>
      </c>
    </row>
    <row r="508" ht="15.75" customHeight="1" s="25">
      <c r="A508" t="inlineStr">
        <is>
          <t>PAG-0506</t>
        </is>
      </c>
      <c r="B508" t="inlineStr">
        <is>
          <t>María Hernández Vásquez</t>
        </is>
      </c>
      <c r="C508" t="inlineStr">
        <is>
          <t>PRY-001</t>
        </is>
      </c>
      <c r="D508" t="inlineStr">
        <is>
          <t>Cuota inicial</t>
        </is>
      </c>
      <c r="E508" t="n">
        <v>258000000</v>
      </c>
      <c r="F508" t="n">
        <v>139391304</v>
      </c>
      <c r="G508">
        <f>E508-F508</f>
        <v/>
      </c>
      <c r="H508">
        <f>IF(E508&gt;0,F508/E508,0)</f>
        <v/>
      </c>
      <c r="I508" s="28" t="n">
        <v>46204</v>
      </c>
      <c r="J508" t="inlineStr">
        <is>
          <t>Al día</t>
        </is>
      </c>
      <c r="K508" t="inlineStr">
        <is>
          <t>Ana Quintero</t>
        </is>
      </c>
    </row>
    <row r="509" ht="15.75" customHeight="1" s="25">
      <c r="A509" t="inlineStr">
        <is>
          <t>PAG-0507</t>
        </is>
      </c>
      <c r="B509" t="inlineStr">
        <is>
          <t>Mauricio Ríos Hernández</t>
        </is>
      </c>
      <c r="C509" t="inlineStr">
        <is>
          <t>PRY-005</t>
        </is>
      </c>
      <c r="D509" t="inlineStr">
        <is>
          <t>Cuota inicial</t>
        </is>
      </c>
      <c r="E509" t="n">
        <v>100000000</v>
      </c>
      <c r="F509" t="n">
        <v>64000000</v>
      </c>
      <c r="G509">
        <f>E509-F509</f>
        <v/>
      </c>
      <c r="H509">
        <f>IF(E509&gt;0,F509/E509,0)</f>
        <v/>
      </c>
      <c r="I509" s="28" t="n">
        <v>46204</v>
      </c>
      <c r="J509" t="inlineStr">
        <is>
          <t>Al día</t>
        </is>
      </c>
      <c r="K509" t="inlineStr">
        <is>
          <t>Miguel Salazar</t>
        </is>
      </c>
    </row>
    <row r="510" ht="15.75" customHeight="1" s="25">
      <c r="A510" t="inlineStr">
        <is>
          <t>PAG-0508</t>
        </is>
      </c>
      <c r="B510" t="inlineStr">
        <is>
          <t>Mateo Montes Cano</t>
        </is>
      </c>
      <c r="C510" t="inlineStr">
        <is>
          <t>PRY-003</t>
        </is>
      </c>
      <c r="D510" t="inlineStr">
        <is>
          <t>Cuota inicial</t>
        </is>
      </c>
      <c r="E510" t="n">
        <v>108000000</v>
      </c>
      <c r="F510" t="n">
        <v>79176471</v>
      </c>
      <c r="G510">
        <f>E510-F510</f>
        <v/>
      </c>
      <c r="H510">
        <f>IF(E510&gt;0,F510/E510,0)</f>
        <v/>
      </c>
      <c r="I510" s="28" t="n">
        <v>46207</v>
      </c>
      <c r="J510" t="inlineStr">
        <is>
          <t>Al día</t>
        </is>
      </c>
      <c r="K510" t="inlineStr">
        <is>
          <t>Luis Bedoya</t>
        </is>
      </c>
    </row>
    <row r="511" ht="15.75" customHeight="1" s="25">
      <c r="A511" t="inlineStr">
        <is>
          <t>PAG-0509</t>
        </is>
      </c>
      <c r="B511" t="inlineStr">
        <is>
          <t>Lorena Peláez Cardona</t>
        </is>
      </c>
      <c r="C511" t="inlineStr">
        <is>
          <t>PRY-003</t>
        </is>
      </c>
      <c r="D511" t="inlineStr">
        <is>
          <t>Cuota inicial</t>
        </is>
      </c>
      <c r="E511" t="n">
        <v>110000000</v>
      </c>
      <c r="F511" t="n">
        <v>80588235</v>
      </c>
      <c r="G511">
        <f>E511-F511</f>
        <v/>
      </c>
      <c r="H511">
        <f>IF(E511&gt;0,F511/E511,0)</f>
        <v/>
      </c>
      <c r="I511" s="28" t="n">
        <v>46207</v>
      </c>
      <c r="J511" t="inlineStr">
        <is>
          <t>Al día</t>
        </is>
      </c>
      <c r="K511" t="inlineStr">
        <is>
          <t>Daniela Ríos</t>
        </is>
      </c>
    </row>
    <row r="512" ht="15.75" customHeight="1" s="25">
      <c r="A512" t="inlineStr">
        <is>
          <t>PAG-0510</t>
        </is>
      </c>
      <c r="B512" t="inlineStr">
        <is>
          <t>Laura Gaviria Vélez</t>
        </is>
      </c>
      <c r="C512" t="inlineStr">
        <is>
          <t>PRY-008</t>
        </is>
      </c>
      <c r="D512" t="inlineStr">
        <is>
          <t>Cuota inicial</t>
        </is>
      </c>
      <c r="E512" t="n">
        <v>35000000</v>
      </c>
      <c r="F512" t="n">
        <v>35000000</v>
      </c>
      <c r="G512">
        <f>E512-F512</f>
        <v/>
      </c>
      <c r="H512">
        <f>IF(E512&gt;0,F512/E512,0)</f>
        <v/>
      </c>
      <c r="I512" s="28" t="n">
        <v>46058</v>
      </c>
      <c r="J512" t="inlineStr">
        <is>
          <t>Pagado</t>
        </is>
      </c>
      <c r="K512" t="inlineStr">
        <is>
          <t>Miguel Salazar</t>
        </is>
      </c>
    </row>
    <row r="513" ht="15.75" customHeight="1" s="25">
      <c r="A513" t="inlineStr">
        <is>
          <t>PAG-0511</t>
        </is>
      </c>
      <c r="B513" t="inlineStr">
        <is>
          <t>Laura Gaviria Vélez</t>
        </is>
      </c>
      <c r="C513" t="inlineStr">
        <is>
          <t>PRY-008</t>
        </is>
      </c>
      <c r="D513" t="inlineStr">
        <is>
          <t>Escrituración</t>
        </is>
      </c>
      <c r="E513" t="n">
        <v>139000000</v>
      </c>
      <c r="F513" t="n">
        <v>139000000</v>
      </c>
      <c r="G513">
        <f>E513-F513</f>
        <v/>
      </c>
      <c r="H513">
        <f>IF(E513&gt;0,F513/E513,0)</f>
        <v/>
      </c>
      <c r="I513" s="28" t="n">
        <v>46174</v>
      </c>
      <c r="J513" t="inlineStr">
        <is>
          <t>Pagado</t>
        </is>
      </c>
      <c r="K513" t="inlineStr">
        <is>
          <t>Miguel Salazar</t>
        </is>
      </c>
    </row>
    <row r="514" ht="15.75" customHeight="1" s="25">
      <c r="A514" t="inlineStr">
        <is>
          <t>PAG-0512</t>
        </is>
      </c>
      <c r="B514" t="inlineStr">
        <is>
          <t>Alejandro Sánchez Uribe</t>
        </is>
      </c>
      <c r="C514" t="inlineStr">
        <is>
          <t>PRY-001</t>
        </is>
      </c>
      <c r="D514" t="inlineStr">
        <is>
          <t>Cuota inicial</t>
        </is>
      </c>
      <c r="E514" t="n">
        <v>209000000</v>
      </c>
      <c r="F514" t="n">
        <v>113826087</v>
      </c>
      <c r="G514">
        <f>E514-F514</f>
        <v/>
      </c>
      <c r="H514">
        <f>IF(E514&gt;0,F514/E514,0)</f>
        <v/>
      </c>
      <c r="I514" s="28" t="n">
        <v>46211</v>
      </c>
      <c r="J514" t="inlineStr">
        <is>
          <t>Al día</t>
        </is>
      </c>
      <c r="K514" t="inlineStr">
        <is>
          <t>Luis Bedoya</t>
        </is>
      </c>
    </row>
    <row r="515" ht="15.75" customHeight="1" s="25">
      <c r="A515" t="inlineStr">
        <is>
          <t>PAG-0513</t>
        </is>
      </c>
      <c r="B515" t="inlineStr">
        <is>
          <t>Sofía Henao Salazar</t>
        </is>
      </c>
      <c r="C515" t="inlineStr">
        <is>
          <t>PRY-003</t>
        </is>
      </c>
      <c r="D515" t="inlineStr">
        <is>
          <t>Cuota inicial</t>
        </is>
      </c>
      <c r="E515" t="n">
        <v>117000000</v>
      </c>
      <c r="F515" t="n">
        <v>60352941</v>
      </c>
      <c r="G515">
        <f>E515-F515</f>
        <v/>
      </c>
      <c r="H515">
        <f>IF(E515&gt;0,F515/E515,0)</f>
        <v/>
      </c>
      <c r="I515" s="28" t="n">
        <v>46089</v>
      </c>
      <c r="J515" t="inlineStr">
        <is>
          <t>En mora</t>
        </is>
      </c>
      <c r="K515" t="inlineStr">
        <is>
          <t>Daniela Ríos</t>
        </is>
      </c>
    </row>
    <row r="516" ht="15.75" customHeight="1" s="25">
      <c r="A516" t="inlineStr">
        <is>
          <t>PAG-0514</t>
        </is>
      </c>
      <c r="B516" t="inlineStr">
        <is>
          <t>Esteban Henao Espinosa</t>
        </is>
      </c>
      <c r="C516" t="inlineStr">
        <is>
          <t>PRY-008</t>
        </is>
      </c>
      <c r="D516" t="inlineStr">
        <is>
          <t>Cuota inicial</t>
        </is>
      </c>
      <c r="E516" t="n">
        <v>37000000</v>
      </c>
      <c r="F516" t="n">
        <v>37000000</v>
      </c>
      <c r="G516">
        <f>E516-F516</f>
        <v/>
      </c>
      <c r="H516">
        <f>IF(E516&gt;0,F516/E516,0)</f>
        <v/>
      </c>
      <c r="I516" s="28" t="n">
        <v>46063</v>
      </c>
      <c r="J516" t="inlineStr">
        <is>
          <t>Pagado</t>
        </is>
      </c>
      <c r="K516" t="inlineStr">
        <is>
          <t>Santiago Muñoz</t>
        </is>
      </c>
    </row>
    <row r="517" ht="15.75" customHeight="1" s="25">
      <c r="A517" t="inlineStr">
        <is>
          <t>PAG-0515</t>
        </is>
      </c>
      <c r="B517" t="inlineStr">
        <is>
          <t>Esteban Henao Espinosa</t>
        </is>
      </c>
      <c r="C517" t="inlineStr">
        <is>
          <t>PRY-008</t>
        </is>
      </c>
      <c r="D517" t="inlineStr">
        <is>
          <t>Escrituración</t>
        </is>
      </c>
      <c r="E517" t="n">
        <v>146000000</v>
      </c>
      <c r="F517" t="n">
        <v>146000000</v>
      </c>
      <c r="G517">
        <f>E517-F517</f>
        <v/>
      </c>
      <c r="H517">
        <f>IF(E517&gt;0,F517/E517,0)</f>
        <v/>
      </c>
      <c r="I517" s="28" t="n">
        <v>46163</v>
      </c>
      <c r="J517" t="inlineStr">
        <is>
          <t>Pagado</t>
        </is>
      </c>
      <c r="K517" t="inlineStr">
        <is>
          <t>Santiago Muñoz</t>
        </is>
      </c>
    </row>
    <row r="518" ht="15.75" customHeight="1" s="25">
      <c r="A518" t="inlineStr">
        <is>
          <t>PAG-0516</t>
        </is>
      </c>
      <c r="B518" t="inlineStr">
        <is>
          <t>Santiago Londoño Peláez</t>
        </is>
      </c>
      <c r="C518" t="inlineStr">
        <is>
          <t>PRY-006</t>
        </is>
      </c>
      <c r="D518" t="inlineStr">
        <is>
          <t>Cuota inicial</t>
        </is>
      </c>
      <c r="E518" t="n">
        <v>123000000</v>
      </c>
      <c r="F518" t="n">
        <v>55200000</v>
      </c>
      <c r="G518">
        <f>E518-F518</f>
        <v/>
      </c>
      <c r="H518">
        <f>IF(E518&gt;0,F518/E518,0)</f>
        <v/>
      </c>
      <c r="I518" s="28" t="n">
        <v>46214</v>
      </c>
      <c r="J518" t="inlineStr">
        <is>
          <t>Al día</t>
        </is>
      </c>
      <c r="K518" t="inlineStr">
        <is>
          <t>Andrés Torres</t>
        </is>
      </c>
    </row>
    <row r="519" ht="15.75" customHeight="1" s="25">
      <c r="A519" t="inlineStr">
        <is>
          <t>PAG-0517</t>
        </is>
      </c>
      <c r="B519" t="inlineStr">
        <is>
          <t>Felipe Vásquez Restrepo</t>
        </is>
      </c>
      <c r="C519" t="inlineStr">
        <is>
          <t>PRY-007</t>
        </is>
      </c>
      <c r="D519" t="inlineStr">
        <is>
          <t>Cuota inicial</t>
        </is>
      </c>
      <c r="E519" t="n">
        <v>180000000</v>
      </c>
      <c r="F519" t="n">
        <v>88461538</v>
      </c>
      <c r="G519">
        <f>E519-F519</f>
        <v/>
      </c>
      <c r="H519">
        <f>IF(E519&gt;0,F519/E519,0)</f>
        <v/>
      </c>
      <c r="I519" s="28" t="n">
        <v>46214</v>
      </c>
      <c r="J519" t="inlineStr">
        <is>
          <t>Al día</t>
        </is>
      </c>
      <c r="K519" t="inlineStr">
        <is>
          <t>Miguel Salazar</t>
        </is>
      </c>
    </row>
    <row r="520" ht="15.75" customHeight="1" s="25">
      <c r="A520" t="inlineStr">
        <is>
          <t>PAG-0518</t>
        </is>
      </c>
      <c r="B520" t="inlineStr">
        <is>
          <t>Alejandra Peláez Bedoya</t>
        </is>
      </c>
      <c r="C520" t="inlineStr">
        <is>
          <t>PRY-007</t>
        </is>
      </c>
      <c r="D520" t="inlineStr">
        <is>
          <t>Cuota inicial</t>
        </is>
      </c>
      <c r="E520" t="n">
        <v>235000000</v>
      </c>
      <c r="F520" t="n">
        <v>113846154</v>
      </c>
      <c r="G520">
        <f>E520-F520</f>
        <v/>
      </c>
      <c r="H520">
        <f>IF(E520&gt;0,F520/E520,0)</f>
        <v/>
      </c>
      <c r="I520" s="28" t="n">
        <v>46216</v>
      </c>
      <c r="J520" t="inlineStr">
        <is>
          <t>Al día</t>
        </is>
      </c>
      <c r="K520" t="inlineStr">
        <is>
          <t>Ana Quintero</t>
        </is>
      </c>
    </row>
    <row r="521" ht="15.75" customHeight="1" s="25">
      <c r="A521" t="inlineStr">
        <is>
          <t>PAG-0519</t>
        </is>
      </c>
      <c r="B521" t="inlineStr">
        <is>
          <t>Liliana Cifuentes Castaño</t>
        </is>
      </c>
      <c r="C521" t="inlineStr">
        <is>
          <t>PRY-008</t>
        </is>
      </c>
      <c r="D521" t="inlineStr">
        <is>
          <t>Cuota inicial</t>
        </is>
      </c>
      <c r="E521" t="n">
        <v>37000000</v>
      </c>
      <c r="F521" t="n">
        <v>37000000</v>
      </c>
      <c r="G521">
        <f>E521-F521</f>
        <v/>
      </c>
      <c r="H521">
        <f>IF(E521&gt;0,F521/E521,0)</f>
        <v/>
      </c>
      <c r="I521" s="28" t="n">
        <v>46067</v>
      </c>
      <c r="J521" t="inlineStr">
        <is>
          <t>Pagado</t>
        </is>
      </c>
      <c r="K521" t="inlineStr">
        <is>
          <t>Ana Quintero</t>
        </is>
      </c>
    </row>
    <row r="522" ht="15.75" customHeight="1" s="25">
      <c r="A522" t="inlineStr">
        <is>
          <t>PAG-0520</t>
        </is>
      </c>
      <c r="B522" t="inlineStr">
        <is>
          <t>Liliana Cifuentes Castaño</t>
        </is>
      </c>
      <c r="C522" t="inlineStr">
        <is>
          <t>PRY-008</t>
        </is>
      </c>
      <c r="D522" t="inlineStr">
        <is>
          <t>Escrituración</t>
        </is>
      </c>
      <c r="E522" t="n">
        <v>146000000</v>
      </c>
      <c r="F522" t="n">
        <v>0</v>
      </c>
      <c r="G522">
        <f>E522-F522</f>
        <v/>
      </c>
      <c r="H522">
        <f>IF(E522&gt;0,F522/E522,0)</f>
        <v/>
      </c>
      <c r="I522" s="28" t="n">
        <v>46216</v>
      </c>
      <c r="J522" t="inlineStr">
        <is>
          <t>Pendiente</t>
        </is>
      </c>
      <c r="K522" t="inlineStr">
        <is>
          <t>Ana Quintero</t>
        </is>
      </c>
    </row>
    <row r="523" ht="15.75" customHeight="1" s="25">
      <c r="A523" t="inlineStr">
        <is>
          <t>PAG-0521</t>
        </is>
      </c>
      <c r="B523" t="inlineStr">
        <is>
          <t>Liliana Marín Zuluaga</t>
        </is>
      </c>
      <c r="C523" t="inlineStr">
        <is>
          <t>PRY-005</t>
        </is>
      </c>
      <c r="D523" t="inlineStr">
        <is>
          <t>Cuota inicial</t>
        </is>
      </c>
      <c r="E523" t="n">
        <v>115000000</v>
      </c>
      <c r="F523" t="n">
        <v>73000000</v>
      </c>
      <c r="G523">
        <f>E523-F523</f>
        <v/>
      </c>
      <c r="H523">
        <f>IF(E523&gt;0,F523/E523,0)</f>
        <v/>
      </c>
      <c r="I523" s="28" t="n">
        <v>46218</v>
      </c>
      <c r="J523" t="inlineStr">
        <is>
          <t>Al día</t>
        </is>
      </c>
      <c r="K523" t="inlineStr">
        <is>
          <t>Luis Bedoya</t>
        </is>
      </c>
    </row>
    <row r="524" ht="15.75" customHeight="1" s="25">
      <c r="A524" t="inlineStr">
        <is>
          <t>PAG-0522</t>
        </is>
      </c>
      <c r="B524" t="inlineStr">
        <is>
          <t>Mauricio Cardona Higuita</t>
        </is>
      </c>
      <c r="C524" t="inlineStr">
        <is>
          <t>PRY-007</t>
        </is>
      </c>
      <c r="D524" t="inlineStr">
        <is>
          <t>Cuota inicial</t>
        </is>
      </c>
      <c r="E524" t="n">
        <v>221000000</v>
      </c>
      <c r="F524" t="n">
        <v>107384615</v>
      </c>
      <c r="G524">
        <f>E524-F524</f>
        <v/>
      </c>
      <c r="H524">
        <f>IF(E524&gt;0,F524/E524,0)</f>
        <v/>
      </c>
      <c r="I524" s="28" t="n">
        <v>46219</v>
      </c>
      <c r="J524" t="inlineStr">
        <is>
          <t>Al día</t>
        </is>
      </c>
      <c r="K524" t="inlineStr">
        <is>
          <t>Juliana Vélez</t>
        </is>
      </c>
    </row>
    <row r="525" ht="15.75" customHeight="1" s="25">
      <c r="A525" t="inlineStr">
        <is>
          <t>PAG-0523</t>
        </is>
      </c>
      <c r="B525" t="inlineStr">
        <is>
          <t>Laura Cano Sánchez</t>
        </is>
      </c>
      <c r="C525" t="inlineStr">
        <is>
          <t>PRY-008</t>
        </is>
      </c>
      <c r="D525" t="inlineStr">
        <is>
          <t>Cuota inicial</t>
        </is>
      </c>
      <c r="E525" t="n">
        <v>35000000</v>
      </c>
      <c r="F525" t="n">
        <v>35000000</v>
      </c>
      <c r="G525">
        <f>E525-F525</f>
        <v/>
      </c>
      <c r="H525">
        <f>IF(E525&gt;0,F525/E525,0)</f>
        <v/>
      </c>
      <c r="I525" s="28" t="n">
        <v>46070</v>
      </c>
      <c r="J525" t="inlineStr">
        <is>
          <t>Pagado</t>
        </is>
      </c>
      <c r="K525" t="inlineStr">
        <is>
          <t>Daniela Ríos</t>
        </is>
      </c>
    </row>
    <row r="526" ht="15.75" customHeight="1" s="25">
      <c r="A526" t="inlineStr">
        <is>
          <t>PAG-0524</t>
        </is>
      </c>
      <c r="B526" t="inlineStr">
        <is>
          <t>Laura Cano Sánchez</t>
        </is>
      </c>
      <c r="C526" t="inlineStr">
        <is>
          <t>PRY-008</t>
        </is>
      </c>
      <c r="D526" t="inlineStr">
        <is>
          <t>Escrituración</t>
        </is>
      </c>
      <c r="E526" t="n">
        <v>139000000</v>
      </c>
      <c r="F526" t="n">
        <v>0</v>
      </c>
      <c r="G526">
        <f>E526-F526</f>
        <v/>
      </c>
      <c r="H526">
        <f>IF(E526&gt;0,F526/E526,0)</f>
        <v/>
      </c>
      <c r="I526" s="28" t="n">
        <v>46241</v>
      </c>
      <c r="J526" t="inlineStr">
        <is>
          <t>Pendiente</t>
        </is>
      </c>
      <c r="K526" t="inlineStr">
        <is>
          <t>Daniela Ríos</t>
        </is>
      </c>
    </row>
    <row r="527" ht="15.75" customHeight="1" s="25">
      <c r="A527" t="inlineStr">
        <is>
          <t>PAG-0525</t>
        </is>
      </c>
      <c r="B527" t="inlineStr">
        <is>
          <t>Santiago Montoya Vásquez</t>
        </is>
      </c>
      <c r="C527" t="inlineStr">
        <is>
          <t>PRY-005</t>
        </is>
      </c>
      <c r="D527" t="inlineStr">
        <is>
          <t>Cuota inicial</t>
        </is>
      </c>
      <c r="E527" t="n">
        <v>123000000</v>
      </c>
      <c r="F527" t="n">
        <v>77800000</v>
      </c>
      <c r="G527">
        <f>E527-F527</f>
        <v/>
      </c>
      <c r="H527">
        <f>IF(E527&gt;0,F527/E527,0)</f>
        <v/>
      </c>
      <c r="I527" s="28" t="n">
        <v>46221</v>
      </c>
      <c r="J527" t="inlineStr">
        <is>
          <t>Al día</t>
        </is>
      </c>
      <c r="K527" t="inlineStr">
        <is>
          <t>Ana Quintero</t>
        </is>
      </c>
    </row>
    <row r="528" ht="15.75" customHeight="1" s="25">
      <c r="A528" t="inlineStr">
        <is>
          <t>PAG-0526</t>
        </is>
      </c>
      <c r="B528" t="inlineStr">
        <is>
          <t>Tomás Cifuentes Bedoya</t>
        </is>
      </c>
      <c r="C528" t="inlineStr">
        <is>
          <t>PRY-006</t>
        </is>
      </c>
      <c r="D528" t="inlineStr">
        <is>
          <t>Cuota inicial</t>
        </is>
      </c>
      <c r="E528" t="n">
        <v>160000000</v>
      </c>
      <c r="F528" t="n">
        <v>70000000</v>
      </c>
      <c r="G528">
        <f>E528-F528</f>
        <v/>
      </c>
      <c r="H528">
        <f>IF(E528&gt;0,F528/E528,0)</f>
        <v/>
      </c>
      <c r="I528" s="28" t="n">
        <v>46222</v>
      </c>
      <c r="J528" t="inlineStr">
        <is>
          <t>Al día</t>
        </is>
      </c>
      <c r="K528" t="inlineStr">
        <is>
          <t>Sofía Prada</t>
        </is>
      </c>
    </row>
    <row r="529" ht="15.75" customHeight="1" s="25">
      <c r="A529" t="inlineStr">
        <is>
          <t>PAG-0527</t>
        </is>
      </c>
      <c r="B529" t="inlineStr">
        <is>
          <t>Sofía Ramírez Jaramillo</t>
        </is>
      </c>
      <c r="C529" t="inlineStr">
        <is>
          <t>PRY-005</t>
        </is>
      </c>
      <c r="D529" t="inlineStr">
        <is>
          <t>Cuota inicial</t>
        </is>
      </c>
      <c r="E529" t="n">
        <v>136000000</v>
      </c>
      <c r="F529" t="n">
        <v>85600000</v>
      </c>
      <c r="G529">
        <f>E529-F529</f>
        <v/>
      </c>
      <c r="H529">
        <f>IF(E529&gt;0,F529/E529,0)</f>
        <v/>
      </c>
      <c r="I529" s="28" t="n">
        <v>46225</v>
      </c>
      <c r="J529" t="inlineStr">
        <is>
          <t>Al día</t>
        </is>
      </c>
      <c r="K529" t="inlineStr">
        <is>
          <t>Ana Quintero</t>
        </is>
      </c>
    </row>
    <row r="530" ht="15.75" customHeight="1" s="25">
      <c r="A530" t="inlineStr">
        <is>
          <t>PAG-0528</t>
        </is>
      </c>
      <c r="B530" t="inlineStr">
        <is>
          <t>Alejandra Álvarez Peláez</t>
        </is>
      </c>
      <c r="C530" t="inlineStr">
        <is>
          <t>PRY-001</t>
        </is>
      </c>
      <c r="D530" t="inlineStr">
        <is>
          <t>Cuota inicial</t>
        </is>
      </c>
      <c r="E530" t="n">
        <v>195000000</v>
      </c>
      <c r="F530" t="n">
        <v>98478261</v>
      </c>
      <c r="G530">
        <f>E530-F530</f>
        <v/>
      </c>
      <c r="H530">
        <f>IF(E530&gt;0,F530/E530,0)</f>
        <v/>
      </c>
      <c r="I530" s="28" t="n">
        <v>46195</v>
      </c>
      <c r="J530" t="inlineStr">
        <is>
          <t>En mora</t>
        </is>
      </c>
      <c r="K530" t="inlineStr">
        <is>
          <t>Ana Quintero</t>
        </is>
      </c>
    </row>
    <row r="531" ht="15.75" customHeight="1" s="25">
      <c r="A531" t="inlineStr">
        <is>
          <t>PAG-0529</t>
        </is>
      </c>
      <c r="B531" t="inlineStr">
        <is>
          <t>Alejandro Peláez Henao</t>
        </is>
      </c>
      <c r="C531" t="inlineStr">
        <is>
          <t>PRY-006</t>
        </is>
      </c>
      <c r="D531" t="inlineStr">
        <is>
          <t>Cuota inicial</t>
        </is>
      </c>
      <c r="E531" t="n">
        <v>216000000</v>
      </c>
      <c r="F531" t="n">
        <v>92400000</v>
      </c>
      <c r="G531">
        <f>E531-F531</f>
        <v/>
      </c>
      <c r="H531">
        <f>IF(E531&gt;0,F531/E531,0)</f>
        <v/>
      </c>
      <c r="I531" s="28" t="n">
        <v>46226</v>
      </c>
      <c r="J531" t="inlineStr">
        <is>
          <t>Al día</t>
        </is>
      </c>
      <c r="K531" t="inlineStr">
        <is>
          <t>Paula Arenas</t>
        </is>
      </c>
    </row>
    <row r="532" ht="15.75" customHeight="1" s="25">
      <c r="A532" t="inlineStr">
        <is>
          <t>PAG-0530</t>
        </is>
      </c>
      <c r="B532" t="inlineStr">
        <is>
          <t>Camila Espinosa Vargas</t>
        </is>
      </c>
      <c r="C532" t="inlineStr">
        <is>
          <t>PRY-003</t>
        </is>
      </c>
      <c r="D532" t="inlineStr">
        <is>
          <t>Cuota inicial</t>
        </is>
      </c>
      <c r="E532" t="n">
        <v>123000000</v>
      </c>
      <c r="F532" t="n">
        <v>89764706</v>
      </c>
      <c r="G532">
        <f>E532-F532</f>
        <v/>
      </c>
      <c r="H532">
        <f>IF(E532&gt;0,F532/E532,0)</f>
        <v/>
      </c>
      <c r="I532" s="28" t="n">
        <v>46226</v>
      </c>
      <c r="J532" t="inlineStr">
        <is>
          <t>Al día</t>
        </is>
      </c>
      <c r="K532" t="inlineStr">
        <is>
          <t>Sofía Prada</t>
        </is>
      </c>
    </row>
    <row r="533" ht="15.75" customHeight="1" s="25">
      <c r="A533" t="inlineStr">
        <is>
          <t>PAG-0531</t>
        </is>
      </c>
      <c r="B533" t="inlineStr">
        <is>
          <t>María Echeverri Zapata</t>
        </is>
      </c>
      <c r="C533" t="inlineStr">
        <is>
          <t>PRY-003</t>
        </is>
      </c>
      <c r="D533" t="inlineStr">
        <is>
          <t>Cuota inicial</t>
        </is>
      </c>
      <c r="E533" t="n">
        <v>97000000</v>
      </c>
      <c r="F533" t="n">
        <v>71411765</v>
      </c>
      <c r="G533">
        <f>E533-F533</f>
        <v/>
      </c>
      <c r="H533">
        <f>IF(E533&gt;0,F533/E533,0)</f>
        <v/>
      </c>
      <c r="I533" s="28" t="n">
        <v>46226</v>
      </c>
      <c r="J533" t="inlineStr">
        <is>
          <t>Al día</t>
        </is>
      </c>
      <c r="K533" t="inlineStr">
        <is>
          <t>Santiago Muñoz</t>
        </is>
      </c>
    </row>
    <row r="534" ht="15.75" customHeight="1" s="25">
      <c r="A534" t="inlineStr">
        <is>
          <t>PAG-0532</t>
        </is>
      </c>
      <c r="B534" t="inlineStr">
        <is>
          <t>Carolina Gaviria Vargas</t>
        </is>
      </c>
      <c r="C534" t="inlineStr">
        <is>
          <t>PRY-003</t>
        </is>
      </c>
      <c r="D534" t="inlineStr">
        <is>
          <t>Cuota inicial</t>
        </is>
      </c>
      <c r="E534" t="n">
        <v>111000000</v>
      </c>
      <c r="F534" t="n">
        <v>81294118</v>
      </c>
      <c r="G534">
        <f>E534-F534</f>
        <v/>
      </c>
      <c r="H534">
        <f>IF(E534&gt;0,F534/E534,0)</f>
        <v/>
      </c>
      <c r="I534" s="28" t="n">
        <v>46226</v>
      </c>
      <c r="J534" t="inlineStr">
        <is>
          <t>Al día</t>
        </is>
      </c>
      <c r="K534" t="inlineStr">
        <is>
          <t>Ana Quintero</t>
        </is>
      </c>
    </row>
    <row r="535" ht="15.75" customHeight="1" s="25">
      <c r="A535" t="inlineStr">
        <is>
          <t>PAG-0533</t>
        </is>
      </c>
      <c r="B535" t="inlineStr">
        <is>
          <t>Sara Restrepo Henao</t>
        </is>
      </c>
      <c r="C535" t="inlineStr">
        <is>
          <t>PRY-002</t>
        </is>
      </c>
      <c r="D535" t="inlineStr">
        <is>
          <t>Cuota inicial</t>
        </is>
      </c>
      <c r="E535" t="n">
        <v>212000000</v>
      </c>
      <c r="F535" t="n">
        <v>93586207</v>
      </c>
      <c r="G535">
        <f>E535-F535</f>
        <v/>
      </c>
      <c r="H535">
        <f>IF(E535&gt;0,F535/E535,0)</f>
        <v/>
      </c>
      <c r="I535" s="28" t="n">
        <v>46227</v>
      </c>
      <c r="J535" t="inlineStr">
        <is>
          <t>Al día</t>
        </is>
      </c>
      <c r="K535" t="inlineStr">
        <is>
          <t>Miguel Salazar</t>
        </is>
      </c>
    </row>
    <row r="536" ht="15.75" customHeight="1" s="25">
      <c r="A536" t="inlineStr">
        <is>
          <t>PAG-0534</t>
        </is>
      </c>
      <c r="B536" t="inlineStr">
        <is>
          <t>Paola Hernández López</t>
        </is>
      </c>
      <c r="C536" t="inlineStr">
        <is>
          <t>PRY-002</t>
        </is>
      </c>
      <c r="D536" t="inlineStr">
        <is>
          <t>Cuota inicial</t>
        </is>
      </c>
      <c r="E536" t="n">
        <v>228000000</v>
      </c>
      <c r="F536" t="n">
        <v>100206897</v>
      </c>
      <c r="G536">
        <f>E536-F536</f>
        <v/>
      </c>
      <c r="H536">
        <f>IF(E536&gt;0,F536/E536,0)</f>
        <v/>
      </c>
      <c r="I536" s="28" t="n">
        <v>46229</v>
      </c>
      <c r="J536" t="inlineStr">
        <is>
          <t>Al día</t>
        </is>
      </c>
      <c r="K536" t="inlineStr">
        <is>
          <t>Miguel Salazar</t>
        </is>
      </c>
    </row>
    <row r="537" ht="15.75" customHeight="1" s="25">
      <c r="A537" t="inlineStr">
        <is>
          <t>PAG-0535</t>
        </is>
      </c>
      <c r="B537" t="inlineStr">
        <is>
          <t>Simón Vargas Sánchez</t>
        </is>
      </c>
      <c r="C537" t="inlineStr">
        <is>
          <t>PRY-001</t>
        </is>
      </c>
      <c r="D537" t="inlineStr">
        <is>
          <t>Cuota inicial</t>
        </is>
      </c>
      <c r="E537" t="n">
        <v>184000000</v>
      </c>
      <c r="F537" t="n">
        <v>100782609</v>
      </c>
      <c r="G537">
        <f>E537-F537</f>
        <v/>
      </c>
      <c r="H537">
        <f>IF(E537&gt;0,F537/E537,0)</f>
        <v/>
      </c>
      <c r="I537" s="28" t="n">
        <v>46229</v>
      </c>
      <c r="J537" t="inlineStr">
        <is>
          <t>Al día</t>
        </is>
      </c>
      <c r="K537" t="inlineStr">
        <is>
          <t>Paula Arenas</t>
        </is>
      </c>
    </row>
    <row r="538" ht="15.75" customHeight="1" s="25">
      <c r="A538" t="inlineStr">
        <is>
          <t>PAG-0536</t>
        </is>
      </c>
      <c r="B538" t="inlineStr">
        <is>
          <t>José Sánchez Palacio</t>
        </is>
      </c>
      <c r="C538" t="inlineStr">
        <is>
          <t>PRY-008</t>
        </is>
      </c>
      <c r="D538" t="inlineStr">
        <is>
          <t>Cuota inicial</t>
        </is>
      </c>
      <c r="E538" t="n">
        <v>35000000</v>
      </c>
      <c r="F538" t="n">
        <v>35000000</v>
      </c>
      <c r="G538">
        <f>E538-F538</f>
        <v/>
      </c>
      <c r="H538">
        <f>IF(E538&gt;0,F538/E538,0)</f>
        <v/>
      </c>
      <c r="I538" s="28" t="n">
        <v>46079</v>
      </c>
      <c r="J538" t="inlineStr">
        <is>
          <t>Pagado</t>
        </is>
      </c>
      <c r="K538" t="inlineStr">
        <is>
          <t>Juliana Vélez</t>
        </is>
      </c>
    </row>
    <row r="539" ht="15.75" customHeight="1" s="25">
      <c r="A539" t="inlineStr">
        <is>
          <t>PAG-0537</t>
        </is>
      </c>
      <c r="B539" t="inlineStr">
        <is>
          <t>José Sánchez Palacio</t>
        </is>
      </c>
      <c r="C539" t="inlineStr">
        <is>
          <t>PRY-008</t>
        </is>
      </c>
      <c r="D539" t="inlineStr">
        <is>
          <t>Escrituración</t>
        </is>
      </c>
      <c r="E539" t="n">
        <v>142000000</v>
      </c>
      <c r="F539" t="n">
        <v>0</v>
      </c>
      <c r="G539">
        <f>E539-F539</f>
        <v/>
      </c>
      <c r="H539">
        <f>IF(E539&gt;0,F539/E539,0)</f>
        <v/>
      </c>
      <c r="I539" s="28" t="n">
        <v>46257</v>
      </c>
      <c r="J539" t="inlineStr">
        <is>
          <t>Pendiente</t>
        </is>
      </c>
      <c r="K539" t="inlineStr">
        <is>
          <t>Juliana Vélez</t>
        </is>
      </c>
    </row>
    <row r="540" ht="15.75" customHeight="1" s="25">
      <c r="A540" t="inlineStr">
        <is>
          <t>PAG-0538</t>
        </is>
      </c>
      <c r="B540" t="inlineStr">
        <is>
          <t>Emilio Cifuentes Bedoya</t>
        </is>
      </c>
      <c r="C540" t="inlineStr">
        <is>
          <t>PRY-003</t>
        </is>
      </c>
      <c r="D540" t="inlineStr">
        <is>
          <t>Cuota inicial</t>
        </is>
      </c>
      <c r="E540" t="n">
        <v>86000000</v>
      </c>
      <c r="F540" t="n">
        <v>63647059</v>
      </c>
      <c r="G540">
        <f>E540-F540</f>
        <v/>
      </c>
      <c r="H540">
        <f>IF(E540&gt;0,F540/E540,0)</f>
        <v/>
      </c>
      <c r="I540" s="28" t="n">
        <v>46230</v>
      </c>
      <c r="J540" t="inlineStr">
        <is>
          <t>Al día</t>
        </is>
      </c>
      <c r="K540" t="inlineStr">
        <is>
          <t>Ana Quintero</t>
        </is>
      </c>
    </row>
    <row r="541" ht="15.75" customHeight="1" s="25">
      <c r="A541" t="inlineStr">
        <is>
          <t>PAG-0539</t>
        </is>
      </c>
      <c r="B541" t="inlineStr">
        <is>
          <t>Valeria Ríos Espinosa</t>
        </is>
      </c>
      <c r="C541" t="inlineStr">
        <is>
          <t>PRY-002</t>
        </is>
      </c>
      <c r="D541" t="inlineStr">
        <is>
          <t>Cuota inicial</t>
        </is>
      </c>
      <c r="E541" t="n">
        <v>234000000</v>
      </c>
      <c r="F541" t="n">
        <v>98000000</v>
      </c>
      <c r="G541">
        <f>E541-F541</f>
        <v/>
      </c>
      <c r="H541">
        <f>IF(E541&gt;0,F541/E541,0)</f>
        <v/>
      </c>
      <c r="I541" s="28" t="n">
        <v>46204</v>
      </c>
      <c r="J541" t="inlineStr">
        <is>
          <t>Al día</t>
        </is>
      </c>
      <c r="K541" t="inlineStr">
        <is>
          <t>Juliana Vélez</t>
        </is>
      </c>
    </row>
    <row r="542" ht="15.75" customHeight="1" s="25">
      <c r="A542" t="inlineStr">
        <is>
          <t>PAG-0540</t>
        </is>
      </c>
      <c r="B542" t="inlineStr">
        <is>
          <t>Valentina Montes Restrepo</t>
        </is>
      </c>
      <c r="C542" t="inlineStr">
        <is>
          <t>PRY-006</t>
        </is>
      </c>
      <c r="D542" t="inlineStr">
        <is>
          <t>Cuota inicial</t>
        </is>
      </c>
      <c r="E542" t="n">
        <v>146000000</v>
      </c>
      <c r="F542" t="n">
        <v>61586207</v>
      </c>
      <c r="G542">
        <f>E542-F542</f>
        <v/>
      </c>
      <c r="H542">
        <f>IF(E542&gt;0,F542/E542,0)</f>
        <v/>
      </c>
      <c r="I542" s="28" t="n">
        <v>46210</v>
      </c>
      <c r="J542" t="inlineStr">
        <is>
          <t>Al día</t>
        </is>
      </c>
      <c r="K542" t="inlineStr">
        <is>
          <t>Miguel Salazar</t>
        </is>
      </c>
    </row>
    <row r="543" ht="15.75" customHeight="1" s="25">
      <c r="A543" t="inlineStr">
        <is>
          <t>PAG-0541</t>
        </is>
      </c>
      <c r="B543" t="inlineStr">
        <is>
          <t>Paola Palacio Zapata</t>
        </is>
      </c>
      <c r="C543" t="inlineStr">
        <is>
          <t>PRY-005</t>
        </is>
      </c>
      <c r="D543" t="inlineStr">
        <is>
          <t>Cuota inicial</t>
        </is>
      </c>
      <c r="E543" t="n">
        <v>120000000</v>
      </c>
      <c r="F543" t="n">
        <v>73684211</v>
      </c>
      <c r="G543">
        <f>E543-F543</f>
        <v/>
      </c>
      <c r="H543">
        <f>IF(E543&gt;0,F543/E543,0)</f>
        <v/>
      </c>
      <c r="I543" s="28" t="n">
        <v>46210</v>
      </c>
      <c r="J543" t="inlineStr">
        <is>
          <t>Al día</t>
        </is>
      </c>
      <c r="K543" t="inlineStr">
        <is>
          <t>Paula Arenas</t>
        </is>
      </c>
    </row>
    <row r="544" ht="15.75" customHeight="1" s="25">
      <c r="A544" t="inlineStr">
        <is>
          <t>PAG-0542</t>
        </is>
      </c>
      <c r="B544" t="inlineStr">
        <is>
          <t>Jhon Vargas Henao</t>
        </is>
      </c>
      <c r="C544" t="inlineStr">
        <is>
          <t>PRY-007</t>
        </is>
      </c>
      <c r="D544" t="inlineStr">
        <is>
          <t>Cuota inicial</t>
        </is>
      </c>
      <c r="E544" t="n">
        <v>166000000</v>
      </c>
      <c r="F544" t="n">
        <v>78640000</v>
      </c>
      <c r="G544">
        <f>E544-F544</f>
        <v/>
      </c>
      <c r="H544">
        <f>IF(E544&gt;0,F544/E544,0)</f>
        <v/>
      </c>
      <c r="I544" s="28" t="n">
        <v>46213</v>
      </c>
      <c r="J544" t="inlineStr">
        <is>
          <t>Al día</t>
        </is>
      </c>
      <c r="K544" t="inlineStr">
        <is>
          <t>Luis Bedoya</t>
        </is>
      </c>
    </row>
    <row r="545" ht="15.75" customHeight="1" s="25">
      <c r="A545" t="inlineStr">
        <is>
          <t>PAG-0543</t>
        </is>
      </c>
      <c r="B545" t="inlineStr">
        <is>
          <t>Carolina Ríos Higuita</t>
        </is>
      </c>
      <c r="C545" t="inlineStr">
        <is>
          <t>PRY-003</t>
        </is>
      </c>
      <c r="D545" t="inlineStr">
        <is>
          <t>Cuota inicial</t>
        </is>
      </c>
      <c r="E545" t="n">
        <v>94000000</v>
      </c>
      <c r="F545" t="n">
        <v>67750000</v>
      </c>
      <c r="G545">
        <f>E545-F545</f>
        <v/>
      </c>
      <c r="H545">
        <f>IF(E545&gt;0,F545/E545,0)</f>
        <v/>
      </c>
      <c r="I545" s="28" t="n">
        <v>46214</v>
      </c>
      <c r="J545" t="inlineStr">
        <is>
          <t>Al día</t>
        </is>
      </c>
      <c r="K545" t="inlineStr">
        <is>
          <t>Miguel Salazar</t>
        </is>
      </c>
    </row>
    <row r="546" ht="15.75" customHeight="1" s="25">
      <c r="A546" t="inlineStr">
        <is>
          <t>PAG-0544</t>
        </is>
      </c>
      <c r="B546" t="inlineStr">
        <is>
          <t>Juliana López Jaramillo</t>
        </is>
      </c>
      <c r="C546" t="inlineStr">
        <is>
          <t>PRY-001</t>
        </is>
      </c>
      <c r="D546" t="inlineStr">
        <is>
          <t>Cuota inicial</t>
        </is>
      </c>
      <c r="E546" t="n">
        <v>244000000</v>
      </c>
      <c r="F546" t="n">
        <v>127000000</v>
      </c>
      <c r="G546">
        <f>E546-F546</f>
        <v/>
      </c>
      <c r="H546">
        <f>IF(E546&gt;0,F546/E546,0)</f>
        <v/>
      </c>
      <c r="I546" s="28" t="n">
        <v>46216</v>
      </c>
      <c r="J546" t="inlineStr">
        <is>
          <t>Al día</t>
        </is>
      </c>
      <c r="K546" t="inlineStr">
        <is>
          <t>Santiago Muñoz</t>
        </is>
      </c>
    </row>
    <row r="547" ht="15.75" customHeight="1" s="25">
      <c r="A547" t="inlineStr">
        <is>
          <t>PAG-0545</t>
        </is>
      </c>
      <c r="B547" t="inlineStr">
        <is>
          <t>Laura Montes Montes</t>
        </is>
      </c>
      <c r="C547" t="inlineStr">
        <is>
          <t>PRY-003</t>
        </is>
      </c>
      <c r="D547" t="inlineStr">
        <is>
          <t>Cuota inicial</t>
        </is>
      </c>
      <c r="E547" t="n">
        <v>120000000</v>
      </c>
      <c r="F547" t="n">
        <v>85625000</v>
      </c>
      <c r="G547">
        <f>E547-F547</f>
        <v/>
      </c>
      <c r="H547">
        <f>IF(E547&gt;0,F547/E547,0)</f>
        <v/>
      </c>
      <c r="I547" s="28" t="n">
        <v>46217</v>
      </c>
      <c r="J547" t="inlineStr">
        <is>
          <t>Al día</t>
        </is>
      </c>
      <c r="K547" t="inlineStr">
        <is>
          <t>Luis Bedoya</t>
        </is>
      </c>
    </row>
    <row r="548" ht="15.75" customHeight="1" s="25">
      <c r="A548" t="inlineStr">
        <is>
          <t>PAG-0546</t>
        </is>
      </c>
      <c r="B548" t="inlineStr">
        <is>
          <t>Paula Ramírez Palacio</t>
        </is>
      </c>
      <c r="C548" t="inlineStr">
        <is>
          <t>PRY-007</t>
        </is>
      </c>
      <c r="D548" t="inlineStr">
        <is>
          <t>Cuota inicial</t>
        </is>
      </c>
      <c r="E548" t="n">
        <v>188000000</v>
      </c>
      <c r="F548" t="n">
        <v>88320000</v>
      </c>
      <c r="G548">
        <f>E548-F548</f>
        <v/>
      </c>
      <c r="H548">
        <f>IF(E548&gt;0,F548/E548,0)</f>
        <v/>
      </c>
      <c r="I548" s="28" t="n">
        <v>46220</v>
      </c>
      <c r="J548" t="inlineStr">
        <is>
          <t>Al día</t>
        </is>
      </c>
      <c r="K548" t="inlineStr">
        <is>
          <t>Santiago Muñoz</t>
        </is>
      </c>
    </row>
    <row r="549" ht="15.75" customHeight="1" s="25">
      <c r="A549" t="inlineStr">
        <is>
          <t>PAG-0547</t>
        </is>
      </c>
      <c r="B549" t="inlineStr">
        <is>
          <t>David Álvarez Agudelo</t>
        </is>
      </c>
      <c r="C549" t="inlineStr">
        <is>
          <t>PRY-003</t>
        </is>
      </c>
      <c r="D549" t="inlineStr">
        <is>
          <t>Cuota inicial</t>
        </is>
      </c>
      <c r="E549" t="n">
        <v>88000000</v>
      </c>
      <c r="F549" t="n">
        <v>63625000</v>
      </c>
      <c r="G549">
        <f>E549-F549</f>
        <v/>
      </c>
      <c r="H549">
        <f>IF(E549&gt;0,F549/E549,0)</f>
        <v/>
      </c>
      <c r="I549" s="28" t="n">
        <v>46221</v>
      </c>
      <c r="J549" t="inlineStr">
        <is>
          <t>Al día</t>
        </is>
      </c>
      <c r="K549" t="inlineStr">
        <is>
          <t>Luis Bedoya</t>
        </is>
      </c>
    </row>
    <row r="550" ht="15.75" customHeight="1" s="25">
      <c r="A550" t="inlineStr">
        <is>
          <t>PAG-0548</t>
        </is>
      </c>
      <c r="B550" t="inlineStr">
        <is>
          <t>Mateo Duque Betancur</t>
        </is>
      </c>
      <c r="C550" t="inlineStr">
        <is>
          <t>PRY-003</t>
        </is>
      </c>
      <c r="D550" t="inlineStr">
        <is>
          <t>Cuota inicial</t>
        </is>
      </c>
      <c r="E550" t="n">
        <v>121000000</v>
      </c>
      <c r="F550" t="n">
        <v>86312500</v>
      </c>
      <c r="G550">
        <f>E550-F550</f>
        <v/>
      </c>
      <c r="H550">
        <f>IF(E550&gt;0,F550/E550,0)</f>
        <v/>
      </c>
      <c r="I550" s="28" t="n">
        <v>46221</v>
      </c>
      <c r="J550" t="inlineStr">
        <is>
          <t>Al día</t>
        </is>
      </c>
      <c r="K550" t="inlineStr">
        <is>
          <t>Paula Arenas</t>
        </is>
      </c>
    </row>
    <row r="551" ht="15.75" customHeight="1" s="25">
      <c r="A551" t="inlineStr">
        <is>
          <t>PAG-0549</t>
        </is>
      </c>
      <c r="B551" t="inlineStr">
        <is>
          <t>Simón Rojas Escobar</t>
        </is>
      </c>
      <c r="C551" t="inlineStr">
        <is>
          <t>PRY-006</t>
        </is>
      </c>
      <c r="D551" t="inlineStr">
        <is>
          <t>Cuota inicial</t>
        </is>
      </c>
      <c r="E551" t="n">
        <v>240000000</v>
      </c>
      <c r="F551" t="n">
        <v>97241379</v>
      </c>
      <c r="G551">
        <f>E551-F551</f>
        <v/>
      </c>
      <c r="H551">
        <f>IF(E551&gt;0,F551/E551,0)</f>
        <v/>
      </c>
      <c r="I551" s="28" t="n">
        <v>46221</v>
      </c>
      <c r="J551" t="inlineStr">
        <is>
          <t>Al día</t>
        </is>
      </c>
      <c r="K551" t="inlineStr">
        <is>
          <t>Miguel Salazar</t>
        </is>
      </c>
    </row>
    <row r="552" ht="15.75" customHeight="1" s="25">
      <c r="A552" t="inlineStr">
        <is>
          <t>PAG-0550</t>
        </is>
      </c>
      <c r="B552" t="inlineStr">
        <is>
          <t>Iván Sánchez Salazar</t>
        </is>
      </c>
      <c r="C552" t="inlineStr">
        <is>
          <t>PRY-001</t>
        </is>
      </c>
      <c r="D552" t="inlineStr">
        <is>
          <t>Cuota inicial</t>
        </is>
      </c>
      <c r="E552" t="n">
        <v>209000000</v>
      </c>
      <c r="F552" t="n">
        <v>109500000</v>
      </c>
      <c r="G552">
        <f>E552-F552</f>
        <v/>
      </c>
      <c r="H552">
        <f>IF(E552&gt;0,F552/E552,0)</f>
        <v/>
      </c>
      <c r="I552" s="28" t="n">
        <v>46222</v>
      </c>
      <c r="J552" t="inlineStr">
        <is>
          <t>Al día</t>
        </is>
      </c>
      <c r="K552" t="inlineStr">
        <is>
          <t>Paula Arenas</t>
        </is>
      </c>
    </row>
    <row r="553" ht="15.75" customHeight="1" s="25">
      <c r="A553" t="inlineStr">
        <is>
          <t>PAG-0551</t>
        </is>
      </c>
      <c r="B553" t="inlineStr">
        <is>
          <t>Mateo Cifuentes Ríos</t>
        </is>
      </c>
      <c r="C553" t="inlineStr">
        <is>
          <t>PRY-001</t>
        </is>
      </c>
      <c r="D553" t="inlineStr">
        <is>
          <t>Cuota inicial</t>
        </is>
      </c>
      <c r="E553" t="n">
        <v>195000000</v>
      </c>
      <c r="F553" t="n">
        <v>102500000</v>
      </c>
      <c r="G553">
        <f>E553-F553</f>
        <v/>
      </c>
      <c r="H553">
        <f>IF(E553&gt;0,F553/E553,0)</f>
        <v/>
      </c>
      <c r="I553" s="28" t="n">
        <v>46222</v>
      </c>
      <c r="J553" t="inlineStr">
        <is>
          <t>Al día</t>
        </is>
      </c>
      <c r="K553" t="inlineStr">
        <is>
          <t>Santiago Muñoz</t>
        </is>
      </c>
    </row>
    <row r="554" ht="15.75" customHeight="1" s="25">
      <c r="A554" t="inlineStr">
        <is>
          <t>PAG-0552</t>
        </is>
      </c>
      <c r="B554" t="inlineStr">
        <is>
          <t>Simón Sánchez Vásquez</t>
        </is>
      </c>
      <c r="C554" t="inlineStr">
        <is>
          <t>PRY-005</t>
        </is>
      </c>
      <c r="D554" t="inlineStr">
        <is>
          <t>Cuota inicial</t>
        </is>
      </c>
      <c r="E554" t="n">
        <v>110000000</v>
      </c>
      <c r="F554" t="n">
        <v>67894737</v>
      </c>
      <c r="G554">
        <f>E554-F554</f>
        <v/>
      </c>
      <c r="H554">
        <f>IF(E554&gt;0,F554/E554,0)</f>
        <v/>
      </c>
      <c r="I554" s="28" t="n">
        <v>46225</v>
      </c>
      <c r="J554" t="inlineStr">
        <is>
          <t>Al día</t>
        </is>
      </c>
      <c r="K554" t="inlineStr">
        <is>
          <t>Luis Bedoya</t>
        </is>
      </c>
    </row>
    <row r="555" ht="15.75" customHeight="1" s="25">
      <c r="A555" t="inlineStr">
        <is>
          <t>PAG-0553</t>
        </is>
      </c>
      <c r="B555" t="inlineStr">
        <is>
          <t>Sandra Betancur Toro</t>
        </is>
      </c>
      <c r="C555" t="inlineStr">
        <is>
          <t>PRY-002</t>
        </is>
      </c>
      <c r="D555" t="inlineStr">
        <is>
          <t>Cuota inicial</t>
        </is>
      </c>
      <c r="E555" t="n">
        <v>213000000</v>
      </c>
      <c r="F555" t="n">
        <v>89750000</v>
      </c>
      <c r="G555">
        <f>E555-F555</f>
        <v/>
      </c>
      <c r="H555">
        <f>IF(E555&gt;0,F555/E555,0)</f>
        <v/>
      </c>
      <c r="I555" s="28" t="n">
        <v>46226</v>
      </c>
      <c r="J555" t="inlineStr">
        <is>
          <t>Al día</t>
        </is>
      </c>
      <c r="K555" t="inlineStr">
        <is>
          <t>Santiago Muñoz</t>
        </is>
      </c>
    </row>
    <row r="556" ht="15.75" customHeight="1" s="25">
      <c r="A556" t="inlineStr">
        <is>
          <t>PAG-0554</t>
        </is>
      </c>
      <c r="B556" t="inlineStr">
        <is>
          <t>Gloria Cano Vélez</t>
        </is>
      </c>
      <c r="C556" t="inlineStr">
        <is>
          <t>PRY-003</t>
        </is>
      </c>
      <c r="D556" t="inlineStr">
        <is>
          <t>Cuota inicial</t>
        </is>
      </c>
      <c r="E556" t="n">
        <v>112000000</v>
      </c>
      <c r="F556" t="n">
        <v>80125000</v>
      </c>
      <c r="G556">
        <f>E556-F556</f>
        <v/>
      </c>
      <c r="H556">
        <f>IF(E556&gt;0,F556/E556,0)</f>
        <v/>
      </c>
      <c r="I556" s="28" t="n">
        <v>46226</v>
      </c>
      <c r="J556" t="inlineStr">
        <is>
          <t>Al día</t>
        </is>
      </c>
      <c r="K556" t="inlineStr">
        <is>
          <t>Sofía Prada</t>
        </is>
      </c>
    </row>
    <row r="557" ht="15.75" customHeight="1" s="25">
      <c r="A557" t="inlineStr">
        <is>
          <t>PAG-0555</t>
        </is>
      </c>
      <c r="B557" t="inlineStr">
        <is>
          <t>Natalia Vargas Pérez</t>
        </is>
      </c>
      <c r="C557" t="inlineStr">
        <is>
          <t>PRY-008</t>
        </is>
      </c>
      <c r="D557" t="inlineStr">
        <is>
          <t>Cuota inicial</t>
        </is>
      </c>
      <c r="E557" t="n">
        <v>33000000</v>
      </c>
      <c r="F557" t="n">
        <v>33000000</v>
      </c>
      <c r="G557">
        <f>E557-F557</f>
        <v/>
      </c>
      <c r="H557">
        <f>IF(E557&gt;0,F557/E557,0)</f>
        <v/>
      </c>
      <c r="I557" s="28" t="n">
        <v>46077</v>
      </c>
      <c r="J557" t="inlineStr">
        <is>
          <t>Pagado</t>
        </is>
      </c>
      <c r="K557" t="inlineStr">
        <is>
          <t>Andrés Torres</t>
        </is>
      </c>
    </row>
    <row r="558" ht="15.75" customHeight="1" s="25">
      <c r="A558" t="inlineStr">
        <is>
          <t>PAG-0556</t>
        </is>
      </c>
      <c r="B558" t="inlineStr">
        <is>
          <t>Natalia Vargas Pérez</t>
        </is>
      </c>
      <c r="C558" t="inlineStr">
        <is>
          <t>PRY-008</t>
        </is>
      </c>
      <c r="D558" t="inlineStr">
        <is>
          <t>Escrituración</t>
        </is>
      </c>
      <c r="E558" t="n">
        <v>132000000</v>
      </c>
      <c r="F558" t="n">
        <v>0</v>
      </c>
      <c r="G558">
        <f>E558-F558</f>
        <v/>
      </c>
      <c r="H558">
        <f>IF(E558&gt;0,F558/E558,0)</f>
        <v/>
      </c>
      <c r="I558" s="28" t="n">
        <v>46241</v>
      </c>
      <c r="J558" t="inlineStr">
        <is>
          <t>Pendiente</t>
        </is>
      </c>
      <c r="K558" t="inlineStr">
        <is>
          <t>Andrés Torres</t>
        </is>
      </c>
    </row>
    <row r="559" ht="15.75" customHeight="1" s="25">
      <c r="A559" t="inlineStr">
        <is>
          <t>PAG-0557</t>
        </is>
      </c>
      <c r="B559" t="inlineStr">
        <is>
          <t>Sofía Giraldo Escobar</t>
        </is>
      </c>
      <c r="C559" t="inlineStr">
        <is>
          <t>PRY-003</t>
        </is>
      </c>
      <c r="D559" t="inlineStr">
        <is>
          <t>Cuota inicial</t>
        </is>
      </c>
      <c r="E559" t="n">
        <v>91000000</v>
      </c>
      <c r="F559" t="n">
        <v>65687500</v>
      </c>
      <c r="G559">
        <f>E559-F559</f>
        <v/>
      </c>
      <c r="H559">
        <f>IF(E559&gt;0,F559/E559,0)</f>
        <v/>
      </c>
      <c r="I559" s="28" t="n">
        <v>46230</v>
      </c>
      <c r="J559" t="inlineStr">
        <is>
          <t>Al día</t>
        </is>
      </c>
      <c r="K559" t="inlineStr">
        <is>
          <t>Sofía Prada</t>
        </is>
      </c>
    </row>
    <row r="560" ht="15.75" customHeight="1" s="25">
      <c r="A560" t="inlineStr">
        <is>
          <t>PAG-0558</t>
        </is>
      </c>
      <c r="B560" t="inlineStr">
        <is>
          <t>Lorena Gómez Zuluaga</t>
        </is>
      </c>
      <c r="C560" t="inlineStr">
        <is>
          <t>PRY-008</t>
        </is>
      </c>
      <c r="D560" t="inlineStr">
        <is>
          <t>Cuota inicial</t>
        </is>
      </c>
      <c r="E560" t="n">
        <v>34000000</v>
      </c>
      <c r="F560" t="n">
        <v>34000000</v>
      </c>
      <c r="G560">
        <f>E560-F560</f>
        <v/>
      </c>
      <c r="H560">
        <f>IF(E560&gt;0,F560/E560,0)</f>
        <v/>
      </c>
      <c r="I560" s="28" t="n">
        <v>46080</v>
      </c>
      <c r="J560" t="inlineStr">
        <is>
          <t>Pagado</t>
        </is>
      </c>
      <c r="K560" t="inlineStr">
        <is>
          <t>Ana Quintero</t>
        </is>
      </c>
    </row>
    <row r="561" ht="15.75" customHeight="1" s="25">
      <c r="A561" t="inlineStr">
        <is>
          <t>PAG-0559</t>
        </is>
      </c>
      <c r="B561" t="inlineStr">
        <is>
          <t>Lorena Gómez Zuluaga</t>
        </is>
      </c>
      <c r="C561" t="inlineStr">
        <is>
          <t>PRY-008</t>
        </is>
      </c>
      <c r="D561" t="inlineStr">
        <is>
          <t>Escrituración</t>
        </is>
      </c>
      <c r="E561" t="n">
        <v>134000000</v>
      </c>
      <c r="F561" t="n">
        <v>134000000</v>
      </c>
      <c r="G561">
        <f>E561-F561</f>
        <v/>
      </c>
      <c r="H561">
        <f>IF(E561&gt;0,F561/E561,0)</f>
        <v/>
      </c>
      <c r="I561" s="28" t="n">
        <v>46168</v>
      </c>
      <c r="J561" t="inlineStr">
        <is>
          <t>Pagado</t>
        </is>
      </c>
      <c r="K561" t="inlineStr">
        <is>
          <t>Ana Quintero</t>
        </is>
      </c>
    </row>
    <row r="562" ht="15.75" customHeight="1" s="25">
      <c r="A562" t="inlineStr">
        <is>
          <t>PAG-0560</t>
        </is>
      </c>
      <c r="B562" t="inlineStr">
        <is>
          <t>Sebastián Bedoya Ríos</t>
        </is>
      </c>
      <c r="C562" t="inlineStr">
        <is>
          <t>PRY-001</t>
        </is>
      </c>
      <c r="D562" t="inlineStr">
        <is>
          <t>Cuota inicial</t>
        </is>
      </c>
      <c r="E562" t="n">
        <v>217000000</v>
      </c>
      <c r="F562" t="n">
        <v>113500000</v>
      </c>
      <c r="G562">
        <f>E562-F562</f>
        <v/>
      </c>
      <c r="H562">
        <f>IF(E562&gt;0,F562/E562,0)</f>
        <v/>
      </c>
      <c r="I562" s="28" t="n">
        <v>46231</v>
      </c>
      <c r="J562" t="inlineStr">
        <is>
          <t>Al día</t>
        </is>
      </c>
      <c r="K562" t="inlineStr">
        <is>
          <t>Juliana Vélez</t>
        </is>
      </c>
    </row>
    <row r="563" ht="15.75" customHeight="1" s="25">
      <c r="A563" t="inlineStr">
        <is>
          <t>PAG-0561</t>
        </is>
      </c>
      <c r="B563" t="inlineStr">
        <is>
          <t>Cristian Uribe Jaramillo</t>
        </is>
      </c>
      <c r="C563" t="inlineStr">
        <is>
          <t>PRY-005</t>
        </is>
      </c>
      <c r="D563" t="inlineStr">
        <is>
          <t>Cuota inicial</t>
        </is>
      </c>
      <c r="E563" t="n">
        <v>144000000</v>
      </c>
      <c r="F563" t="n">
        <v>87578947</v>
      </c>
      <c r="G563">
        <f>E563-F563</f>
        <v/>
      </c>
      <c r="H563">
        <f>IF(E563&gt;0,F563/E563,0)</f>
        <v/>
      </c>
      <c r="I563" s="28" t="n">
        <v>46232</v>
      </c>
      <c r="J563" t="inlineStr">
        <is>
          <t>Al día</t>
        </is>
      </c>
      <c r="K563" t="inlineStr">
        <is>
          <t>Daniela Ríos</t>
        </is>
      </c>
    </row>
    <row r="564" ht="15.75" customHeight="1" s="25">
      <c r="A564" t="inlineStr">
        <is>
          <t>PAG-0562</t>
        </is>
      </c>
      <c r="B564" t="inlineStr">
        <is>
          <t>Iván Sánchez Bedoya</t>
        </is>
      </c>
      <c r="C564" t="inlineStr">
        <is>
          <t>PRY-005</t>
        </is>
      </c>
      <c r="D564" t="inlineStr">
        <is>
          <t>Cuota inicial</t>
        </is>
      </c>
      <c r="E564" t="n">
        <v>118000000</v>
      </c>
      <c r="F564" t="n">
        <v>72526316</v>
      </c>
      <c r="G564">
        <f>E564-F564</f>
        <v/>
      </c>
      <c r="H564">
        <f>IF(E564&gt;0,F564/E564,0)</f>
        <v/>
      </c>
      <c r="I564" s="28" t="n">
        <v>46233</v>
      </c>
      <c r="J564" t="inlineStr">
        <is>
          <t>Al día</t>
        </is>
      </c>
      <c r="K564" t="inlineStr">
        <is>
          <t>Daniela Ríos</t>
        </is>
      </c>
    </row>
    <row r="565" ht="15.75" customHeight="1" s="25">
      <c r="A565" t="inlineStr">
        <is>
          <t>PAG-0563</t>
        </is>
      </c>
      <c r="B565" t="inlineStr">
        <is>
          <t>José Betancur Bedoya</t>
        </is>
      </c>
      <c r="C565" t="inlineStr">
        <is>
          <t>PRY-008</t>
        </is>
      </c>
      <c r="D565" t="inlineStr">
        <is>
          <t>Cuota inicial</t>
        </is>
      </c>
      <c r="E565" t="n">
        <v>28000000</v>
      </c>
      <c r="F565" t="n">
        <v>28000000</v>
      </c>
      <c r="G565">
        <f>E565-F565</f>
        <v/>
      </c>
      <c r="H565">
        <f>IF(E565&gt;0,F565/E565,0)</f>
        <v/>
      </c>
      <c r="I565" s="28" t="n">
        <v>46081</v>
      </c>
      <c r="J565" t="inlineStr">
        <is>
          <t>Pagado</t>
        </is>
      </c>
      <c r="K565" t="inlineStr">
        <is>
          <t>Juliana Vélez</t>
        </is>
      </c>
    </row>
    <row r="566" ht="15.75" customHeight="1" s="25">
      <c r="A566" t="inlineStr">
        <is>
          <t>PAG-0564</t>
        </is>
      </c>
      <c r="B566" t="inlineStr">
        <is>
          <t>José Betancur Bedoya</t>
        </is>
      </c>
      <c r="C566" t="inlineStr">
        <is>
          <t>PRY-008</t>
        </is>
      </c>
      <c r="D566" t="inlineStr">
        <is>
          <t>Escrituración</t>
        </is>
      </c>
      <c r="E566" t="n">
        <v>113000000</v>
      </c>
      <c r="F566" t="n">
        <v>113000000</v>
      </c>
      <c r="G566">
        <f>E566-F566</f>
        <v/>
      </c>
      <c r="H566">
        <f>IF(E566&gt;0,F566/E566,0)</f>
        <v/>
      </c>
      <c r="I566" s="28" t="n">
        <v>46140</v>
      </c>
      <c r="J566" t="inlineStr">
        <is>
          <t>Pagado</t>
        </is>
      </c>
      <c r="K566" t="inlineStr">
        <is>
          <t>Juliana Vélez</t>
        </is>
      </c>
    </row>
    <row r="567" ht="15.75" customHeight="1" s="25">
      <c r="A567" t="inlineStr">
        <is>
          <t>PAG-0565</t>
        </is>
      </c>
      <c r="B567" t="inlineStr">
        <is>
          <t>Gloria Giraldo Vargas</t>
        </is>
      </c>
      <c r="C567" t="inlineStr">
        <is>
          <t>PRY-003</t>
        </is>
      </c>
      <c r="D567" t="inlineStr">
        <is>
          <t>Cuota inicial</t>
        </is>
      </c>
      <c r="E567" t="n">
        <v>99000000</v>
      </c>
      <c r="F567" t="n">
        <v>69333333</v>
      </c>
      <c r="G567">
        <f>E567-F567</f>
        <v/>
      </c>
      <c r="H567">
        <f>IF(E567&gt;0,F567/E567,0)</f>
        <v/>
      </c>
      <c r="I567" s="28" t="n">
        <v>46204</v>
      </c>
      <c r="J567" t="inlineStr">
        <is>
          <t>Al día</t>
        </is>
      </c>
      <c r="K567" t="inlineStr">
        <is>
          <t>Paula Arenas</t>
        </is>
      </c>
    </row>
    <row r="568" ht="15.75" customHeight="1" s="25">
      <c r="A568" t="inlineStr">
        <is>
          <t>PAG-0566</t>
        </is>
      </c>
      <c r="B568" t="inlineStr">
        <is>
          <t>Sofía Agudelo Cifuentes</t>
        </is>
      </c>
      <c r="C568" t="inlineStr">
        <is>
          <t>PRY-003</t>
        </is>
      </c>
      <c r="D568" t="inlineStr">
        <is>
          <t>Cuota inicial</t>
        </is>
      </c>
      <c r="E568" t="n">
        <v>92000000</v>
      </c>
      <c r="F568" t="n">
        <v>64666667</v>
      </c>
      <c r="G568">
        <f>E568-F568</f>
        <v/>
      </c>
      <c r="H568">
        <f>IF(E568&gt;0,F568/E568,0)</f>
        <v/>
      </c>
      <c r="I568" s="28" t="n">
        <v>46210</v>
      </c>
      <c r="J568" t="inlineStr">
        <is>
          <t>Al día</t>
        </is>
      </c>
      <c r="K568" t="inlineStr">
        <is>
          <t>Luis Bedoya</t>
        </is>
      </c>
    </row>
    <row r="569" ht="15.75" customHeight="1" s="25">
      <c r="A569" t="inlineStr">
        <is>
          <t>PAG-0567</t>
        </is>
      </c>
      <c r="B569" t="inlineStr">
        <is>
          <t>Julián Cano Quintero</t>
        </is>
      </c>
      <c r="C569" t="inlineStr">
        <is>
          <t>PRY-003</t>
        </is>
      </c>
      <c r="D569" t="inlineStr">
        <is>
          <t>Cuota inicial</t>
        </is>
      </c>
      <c r="E569" t="n">
        <v>106000000</v>
      </c>
      <c r="F569" t="n">
        <v>74000000</v>
      </c>
      <c r="G569">
        <f>E569-F569</f>
        <v/>
      </c>
      <c r="H569">
        <f>IF(E569&gt;0,F569/E569,0)</f>
        <v/>
      </c>
      <c r="I569" s="28" t="n">
        <v>46212</v>
      </c>
      <c r="J569" t="inlineStr">
        <is>
          <t>Al día</t>
        </is>
      </c>
      <c r="K569" t="inlineStr">
        <is>
          <t>Andrés Torres</t>
        </is>
      </c>
    </row>
    <row r="570" ht="15.75" customHeight="1" s="25">
      <c r="A570" t="inlineStr">
        <is>
          <t>PAG-0568</t>
        </is>
      </c>
      <c r="B570" t="inlineStr">
        <is>
          <t>Óscar Mejía Agudelo</t>
        </is>
      </c>
      <c r="C570" t="inlineStr">
        <is>
          <t>PRY-007</t>
        </is>
      </c>
      <c r="D570" t="inlineStr">
        <is>
          <t>Cuota inicial</t>
        </is>
      </c>
      <c r="E570" t="n">
        <v>205000000</v>
      </c>
      <c r="F570" t="n">
        <v>91250000</v>
      </c>
      <c r="G570">
        <f>E570-F570</f>
        <v/>
      </c>
      <c r="H570">
        <f>IF(E570&gt;0,F570/E570,0)</f>
        <v/>
      </c>
      <c r="I570" s="28" t="n">
        <v>46212</v>
      </c>
      <c r="J570" t="inlineStr">
        <is>
          <t>Al día</t>
        </is>
      </c>
      <c r="K570" t="inlineStr">
        <is>
          <t>Miguel Salazar</t>
        </is>
      </c>
    </row>
    <row r="571" ht="15.75" customHeight="1" s="25">
      <c r="A571" t="inlineStr">
        <is>
          <t>PAG-0569</t>
        </is>
      </c>
      <c r="B571" t="inlineStr">
        <is>
          <t>Patricia Rojas Montes</t>
        </is>
      </c>
      <c r="C571" t="inlineStr">
        <is>
          <t>PRY-003</t>
        </is>
      </c>
      <c r="D571" t="inlineStr">
        <is>
          <t>Cuota inicial</t>
        </is>
      </c>
      <c r="E571" t="n">
        <v>120000000</v>
      </c>
      <c r="F571" t="n">
        <v>83333333</v>
      </c>
      <c r="G571">
        <f>E571-F571</f>
        <v/>
      </c>
      <c r="H571">
        <f>IF(E571&gt;0,F571/E571,0)</f>
        <v/>
      </c>
      <c r="I571" s="28" t="n">
        <v>46212</v>
      </c>
      <c r="J571" t="inlineStr">
        <is>
          <t>Al día</t>
        </is>
      </c>
      <c r="K571" t="inlineStr">
        <is>
          <t>Daniela Ríos</t>
        </is>
      </c>
    </row>
    <row r="572" ht="15.75" customHeight="1" s="25">
      <c r="A572" t="inlineStr">
        <is>
          <t>PAG-0570</t>
        </is>
      </c>
      <c r="B572" t="inlineStr">
        <is>
          <t>Alejandra Montoya Agudelo</t>
        </is>
      </c>
      <c r="C572" t="inlineStr">
        <is>
          <t>PRY-006</t>
        </is>
      </c>
      <c r="D572" t="inlineStr">
        <is>
          <t>Cuota inicial</t>
        </is>
      </c>
      <c r="E572" t="n">
        <v>170000000</v>
      </c>
      <c r="F572" t="n">
        <v>67142857</v>
      </c>
      <c r="G572">
        <f>E572-F572</f>
        <v/>
      </c>
      <c r="H572">
        <f>IF(E572&gt;0,F572/E572,0)</f>
        <v/>
      </c>
      <c r="I572" s="28" t="n">
        <v>46214</v>
      </c>
      <c r="J572" t="inlineStr">
        <is>
          <t>Al día</t>
        </is>
      </c>
      <c r="K572" t="inlineStr">
        <is>
          <t>Sofía Prada</t>
        </is>
      </c>
    </row>
    <row r="573" ht="15.75" customHeight="1" s="25">
      <c r="A573" t="inlineStr">
        <is>
          <t>PAG-0571</t>
        </is>
      </c>
      <c r="B573" t="inlineStr">
        <is>
          <t>Fernando Ochoa Zuluaga</t>
        </is>
      </c>
      <c r="C573" t="inlineStr">
        <is>
          <t>PRY-008</t>
        </is>
      </c>
      <c r="D573" t="inlineStr">
        <is>
          <t>Cuota inicial</t>
        </is>
      </c>
      <c r="E573" t="n">
        <v>36000000</v>
      </c>
      <c r="F573" t="n">
        <v>36000000</v>
      </c>
      <c r="G573">
        <f>E573-F573</f>
        <v/>
      </c>
      <c r="H573">
        <f>IF(E573&gt;0,F573/E573,0)</f>
        <v/>
      </c>
      <c r="I573" s="28" t="n">
        <v>46064</v>
      </c>
      <c r="J573" t="inlineStr">
        <is>
          <t>Pagado</t>
        </is>
      </c>
      <c r="K573" t="inlineStr">
        <is>
          <t>Mateo Herrera</t>
        </is>
      </c>
    </row>
    <row r="574" ht="15.75" customHeight="1" s="25">
      <c r="A574" t="inlineStr">
        <is>
          <t>PAG-0572</t>
        </is>
      </c>
      <c r="B574" t="inlineStr">
        <is>
          <t>Fernando Ochoa Zuluaga</t>
        </is>
      </c>
      <c r="C574" t="inlineStr">
        <is>
          <t>PRY-008</t>
        </is>
      </c>
      <c r="D574" t="inlineStr">
        <is>
          <t>Escrituración</t>
        </is>
      </c>
      <c r="E574" t="n">
        <v>142000000</v>
      </c>
      <c r="F574" t="n">
        <v>0</v>
      </c>
      <c r="G574">
        <f>E574-F574</f>
        <v/>
      </c>
      <c r="H574">
        <f>IF(E574&gt;0,F574/E574,0)</f>
        <v/>
      </c>
      <c r="I574" s="28" t="n">
        <v>46228</v>
      </c>
      <c r="J574" t="inlineStr">
        <is>
          <t>En mora</t>
        </is>
      </c>
      <c r="K574" t="inlineStr">
        <is>
          <t>Mateo Herrera</t>
        </is>
      </c>
    </row>
    <row r="575" ht="15.75" customHeight="1" s="25">
      <c r="A575" t="inlineStr">
        <is>
          <t>PAG-0573</t>
        </is>
      </c>
      <c r="B575" t="inlineStr">
        <is>
          <t>Jorge Henao Quintero</t>
        </is>
      </c>
      <c r="C575" t="inlineStr">
        <is>
          <t>PRY-007</t>
        </is>
      </c>
      <c r="D575" t="inlineStr">
        <is>
          <t>Cuota inicial</t>
        </is>
      </c>
      <c r="E575" t="n">
        <v>249000000</v>
      </c>
      <c r="F575" t="n">
        <v>109583333</v>
      </c>
      <c r="G575">
        <f>E575-F575</f>
        <v/>
      </c>
      <c r="H575">
        <f>IF(E575&gt;0,F575/E575,0)</f>
        <v/>
      </c>
      <c r="I575" s="28" t="n">
        <v>46215</v>
      </c>
      <c r="J575" t="inlineStr">
        <is>
          <t>Al día</t>
        </is>
      </c>
      <c r="K575" t="inlineStr">
        <is>
          <t>Miguel Salazar</t>
        </is>
      </c>
    </row>
    <row r="576" ht="15.75" customHeight="1" s="25">
      <c r="A576" t="inlineStr">
        <is>
          <t>PAG-0574</t>
        </is>
      </c>
      <c r="B576" t="inlineStr">
        <is>
          <t>María Echeverri Toro</t>
        </is>
      </c>
      <c r="C576" t="inlineStr">
        <is>
          <t>PRY-008</t>
        </is>
      </c>
      <c r="D576" t="inlineStr">
        <is>
          <t>Cuota inicial</t>
        </is>
      </c>
      <c r="E576" t="n">
        <v>29000000</v>
      </c>
      <c r="F576" t="n">
        <v>29000000</v>
      </c>
      <c r="G576">
        <f>E576-F576</f>
        <v/>
      </c>
      <c r="H576">
        <f>IF(E576&gt;0,F576/E576,0)</f>
        <v/>
      </c>
      <c r="I576" s="28" t="n">
        <v>46066</v>
      </c>
      <c r="J576" t="inlineStr">
        <is>
          <t>Pagado</t>
        </is>
      </c>
      <c r="K576" t="inlineStr">
        <is>
          <t>Sofía Prada</t>
        </is>
      </c>
    </row>
    <row r="577" ht="15.75" customHeight="1" s="25">
      <c r="A577" t="inlineStr">
        <is>
          <t>PAG-0575</t>
        </is>
      </c>
      <c r="B577" t="inlineStr">
        <is>
          <t>María Echeverri Toro</t>
        </is>
      </c>
      <c r="C577" t="inlineStr">
        <is>
          <t>PRY-008</t>
        </is>
      </c>
      <c r="D577" t="inlineStr">
        <is>
          <t>Escrituración</t>
        </is>
      </c>
      <c r="E577" t="n">
        <v>116000000</v>
      </c>
      <c r="F577" t="n">
        <v>0</v>
      </c>
      <c r="G577">
        <f>E577-F577</f>
        <v/>
      </c>
      <c r="H577">
        <f>IF(E577&gt;0,F577/E577,0)</f>
        <v/>
      </c>
      <c r="I577" s="28" t="n">
        <v>46241</v>
      </c>
      <c r="J577" t="inlineStr">
        <is>
          <t>Pendiente</t>
        </is>
      </c>
      <c r="K577" t="inlineStr">
        <is>
          <t>Sofía Prada</t>
        </is>
      </c>
    </row>
    <row r="578" ht="15.75" customHeight="1" s="25">
      <c r="A578" t="inlineStr">
        <is>
          <t>PAG-0576</t>
        </is>
      </c>
      <c r="B578" t="inlineStr">
        <is>
          <t>Iván Giraldo López</t>
        </is>
      </c>
      <c r="C578" t="inlineStr">
        <is>
          <t>PRY-005</t>
        </is>
      </c>
      <c r="D578" t="inlineStr">
        <is>
          <t>Cuota inicial</t>
        </is>
      </c>
      <c r="E578" t="n">
        <v>123000000</v>
      </c>
      <c r="F578" t="n">
        <v>72777778</v>
      </c>
      <c r="G578">
        <f>E578-F578</f>
        <v/>
      </c>
      <c r="H578">
        <f>IF(E578&gt;0,F578/E578,0)</f>
        <v/>
      </c>
      <c r="I578" s="28" t="n">
        <v>46217</v>
      </c>
      <c r="J578" t="inlineStr">
        <is>
          <t>Al día</t>
        </is>
      </c>
      <c r="K578" t="inlineStr">
        <is>
          <t>Santiago Muñoz</t>
        </is>
      </c>
    </row>
    <row r="579" ht="15.75" customHeight="1" s="25">
      <c r="A579" t="inlineStr">
        <is>
          <t>PAG-0577</t>
        </is>
      </c>
      <c r="B579" t="inlineStr">
        <is>
          <t>Alejandra Toro Escobar</t>
        </is>
      </c>
      <c r="C579" t="inlineStr">
        <is>
          <t>PRY-008</t>
        </is>
      </c>
      <c r="D579" t="inlineStr">
        <is>
          <t>Cuota inicial</t>
        </is>
      </c>
      <c r="E579" t="n">
        <v>32000000</v>
      </c>
      <c r="F579" t="n">
        <v>32000000</v>
      </c>
      <c r="G579">
        <f>E579-F579</f>
        <v/>
      </c>
      <c r="H579">
        <f>IF(E579&gt;0,F579/E579,0)</f>
        <v/>
      </c>
      <c r="I579" s="28" t="n">
        <v>46073</v>
      </c>
      <c r="J579" t="inlineStr">
        <is>
          <t>Pagado</t>
        </is>
      </c>
      <c r="K579" t="inlineStr">
        <is>
          <t>Andrés Torres</t>
        </is>
      </c>
    </row>
    <row r="580" ht="15.75" customHeight="1" s="25">
      <c r="A580" t="inlineStr">
        <is>
          <t>PAG-0578</t>
        </is>
      </c>
      <c r="B580" t="inlineStr">
        <is>
          <t>Alejandra Toro Escobar</t>
        </is>
      </c>
      <c r="C580" t="inlineStr">
        <is>
          <t>PRY-008</t>
        </is>
      </c>
      <c r="D580" t="inlineStr">
        <is>
          <t>Escrituración</t>
        </is>
      </c>
      <c r="E580" t="n">
        <v>128000000</v>
      </c>
      <c r="F580" t="n">
        <v>128000000</v>
      </c>
      <c r="G580">
        <f>E580-F580</f>
        <v/>
      </c>
      <c r="H580">
        <f>IF(E580&gt;0,F580/E580,0)</f>
        <v/>
      </c>
      <c r="I580" s="28" t="n">
        <v>46112</v>
      </c>
      <c r="J580" t="inlineStr">
        <is>
          <t>Pagado</t>
        </is>
      </c>
      <c r="K580" t="inlineStr">
        <is>
          <t>Andrés Torres</t>
        </is>
      </c>
    </row>
    <row r="581" ht="15.75" customHeight="1" s="25">
      <c r="A581" t="inlineStr">
        <is>
          <t>PAG-0579</t>
        </is>
      </c>
      <c r="B581" t="inlineStr">
        <is>
          <t>Camila Sánchez Mejía</t>
        </is>
      </c>
      <c r="C581" t="inlineStr">
        <is>
          <t>PRY-005</t>
        </is>
      </c>
      <c r="D581" t="inlineStr">
        <is>
          <t>Cuota inicial</t>
        </is>
      </c>
      <c r="E581" t="n">
        <v>118000000</v>
      </c>
      <c r="F581" t="n">
        <v>70000000</v>
      </c>
      <c r="G581">
        <f>E581-F581</f>
        <v/>
      </c>
      <c r="H581">
        <f>IF(E581&gt;0,F581/E581,0)</f>
        <v/>
      </c>
      <c r="I581" s="28" t="n">
        <v>46225</v>
      </c>
      <c r="J581" t="inlineStr">
        <is>
          <t>Al día</t>
        </is>
      </c>
      <c r="K581" t="inlineStr">
        <is>
          <t>Miguel Salazar</t>
        </is>
      </c>
    </row>
    <row r="582" ht="15.75" customHeight="1" s="25">
      <c r="A582" t="inlineStr">
        <is>
          <t>PAG-0580</t>
        </is>
      </c>
      <c r="B582" t="inlineStr">
        <is>
          <t>Manuela Mejía Mejía</t>
        </is>
      </c>
      <c r="C582" t="inlineStr">
        <is>
          <t>PRY-003</t>
        </is>
      </c>
      <c r="D582" t="inlineStr">
        <is>
          <t>Cuota inicial</t>
        </is>
      </c>
      <c r="E582" t="n">
        <v>118000000</v>
      </c>
      <c r="F582" t="n">
        <v>53200000</v>
      </c>
      <c r="G582">
        <f>E582-F582</f>
        <v/>
      </c>
      <c r="H582">
        <f>IF(E582&gt;0,F582/E582,0)</f>
        <v/>
      </c>
      <c r="I582" s="28" t="n">
        <v>46103</v>
      </c>
      <c r="J582" t="inlineStr">
        <is>
          <t>En mora</t>
        </is>
      </c>
      <c r="K582" t="inlineStr">
        <is>
          <t>Daniela Ríos</t>
        </is>
      </c>
    </row>
    <row r="583" ht="15.75" customHeight="1" s="25">
      <c r="A583" t="inlineStr">
        <is>
          <t>PAG-0581</t>
        </is>
      </c>
      <c r="B583" t="inlineStr">
        <is>
          <t>Wilson Vélez Valencia</t>
        </is>
      </c>
      <c r="C583" t="inlineStr">
        <is>
          <t>PRY-001</t>
        </is>
      </c>
      <c r="D583" t="inlineStr">
        <is>
          <t>Cuota inicial</t>
        </is>
      </c>
      <c r="E583" t="n">
        <v>209000000</v>
      </c>
      <c r="F583" t="n">
        <v>95285714</v>
      </c>
      <c r="G583">
        <f>E583-F583</f>
        <v/>
      </c>
      <c r="H583">
        <f>IF(E583&gt;0,F583/E583,0)</f>
        <v/>
      </c>
      <c r="I583" s="28" t="n">
        <v>46196</v>
      </c>
      <c r="J583" t="inlineStr">
        <is>
          <t>En mora</t>
        </is>
      </c>
      <c r="K583" t="inlineStr">
        <is>
          <t>Andrés Torres</t>
        </is>
      </c>
    </row>
    <row r="584" ht="15.75" customHeight="1" s="25">
      <c r="A584" t="inlineStr">
        <is>
          <t>PAG-0582</t>
        </is>
      </c>
      <c r="B584" t="inlineStr">
        <is>
          <t>Carlos Duque Betancur</t>
        </is>
      </c>
      <c r="C584" t="inlineStr">
        <is>
          <t>PRY-006</t>
        </is>
      </c>
      <c r="D584" t="inlineStr">
        <is>
          <t>Cuota inicial</t>
        </is>
      </c>
      <c r="E584" t="n">
        <v>170000000</v>
      </c>
      <c r="F584" t="n">
        <v>67142857</v>
      </c>
      <c r="G584">
        <f>E584-F584</f>
        <v/>
      </c>
      <c r="H584">
        <f>IF(E584&gt;0,F584/E584,0)</f>
        <v/>
      </c>
      <c r="I584" s="28" t="n">
        <v>46227</v>
      </c>
      <c r="J584" t="inlineStr">
        <is>
          <t>Al día</t>
        </is>
      </c>
      <c r="K584" t="inlineStr">
        <is>
          <t>Paula Arenas</t>
        </is>
      </c>
    </row>
    <row r="585" ht="15.75" customHeight="1" s="25">
      <c r="A585" t="inlineStr">
        <is>
          <t>PAG-0583</t>
        </is>
      </c>
      <c r="B585" t="inlineStr">
        <is>
          <t>Alejandra Montoya Muñoz</t>
        </is>
      </c>
      <c r="C585" t="inlineStr">
        <is>
          <t>PRY-005</t>
        </is>
      </c>
      <c r="D585" t="inlineStr">
        <is>
          <t>Cuota inicial</t>
        </is>
      </c>
      <c r="E585" t="n">
        <v>147000000</v>
      </c>
      <c r="F585" t="n">
        <v>86111111</v>
      </c>
      <c r="G585">
        <f>E585-F585</f>
        <v/>
      </c>
      <c r="H585">
        <f>IF(E585&gt;0,F585/E585,0)</f>
        <v/>
      </c>
      <c r="I585" s="28" t="n">
        <v>46229</v>
      </c>
      <c r="J585" t="inlineStr">
        <is>
          <t>Al día</t>
        </is>
      </c>
      <c r="K585" t="inlineStr">
        <is>
          <t>Luis Bedoya</t>
        </is>
      </c>
    </row>
    <row r="586" ht="15.75" customHeight="1" s="25">
      <c r="A586" t="inlineStr">
        <is>
          <t>PAG-0584</t>
        </is>
      </c>
      <c r="B586" t="inlineStr">
        <is>
          <t>Alejandra Muñoz Arango</t>
        </is>
      </c>
      <c r="C586" t="inlineStr">
        <is>
          <t>PRY-006</t>
        </is>
      </c>
      <c r="D586" t="inlineStr">
        <is>
          <t>Cuota inicial</t>
        </is>
      </c>
      <c r="E586" t="n">
        <v>183000000</v>
      </c>
      <c r="F586" t="n">
        <v>71785714</v>
      </c>
      <c r="G586">
        <f>E586-F586</f>
        <v/>
      </c>
      <c r="H586">
        <f>IF(E586&gt;0,F586/E586,0)</f>
        <v/>
      </c>
      <c r="I586" s="28" t="n">
        <v>46230</v>
      </c>
      <c r="J586" t="inlineStr">
        <is>
          <t>Al día</t>
        </is>
      </c>
      <c r="K586" t="inlineStr">
        <is>
          <t>Luis Bedoya</t>
        </is>
      </c>
    </row>
    <row r="587" ht="15.75" customHeight="1" s="25">
      <c r="A587" t="inlineStr">
        <is>
          <t>PAG-0585</t>
        </is>
      </c>
      <c r="B587" t="inlineStr">
        <is>
          <t>Daniela Quintero Bedoya</t>
        </is>
      </c>
      <c r="C587" t="inlineStr">
        <is>
          <t>PRY-001</t>
        </is>
      </c>
      <c r="D587" t="inlineStr">
        <is>
          <t>Cuota inicial</t>
        </is>
      </c>
      <c r="E587" t="n">
        <v>212000000</v>
      </c>
      <c r="F587" t="n">
        <v>106190476</v>
      </c>
      <c r="G587">
        <f>E587-F587</f>
        <v/>
      </c>
      <c r="H587">
        <f>IF(E587&gt;0,F587/E587,0)</f>
        <v/>
      </c>
      <c r="I587" s="28" t="n">
        <v>46230</v>
      </c>
      <c r="J587" t="inlineStr">
        <is>
          <t>Al día</t>
        </is>
      </c>
      <c r="K587" t="inlineStr">
        <is>
          <t>Sofía Prada</t>
        </is>
      </c>
    </row>
    <row r="588" ht="15.75" customHeight="1" s="25">
      <c r="A588" t="inlineStr">
        <is>
          <t>PAG-0586</t>
        </is>
      </c>
      <c r="B588" t="inlineStr">
        <is>
          <t>Sara Pérez Betancur</t>
        </is>
      </c>
      <c r="C588" t="inlineStr">
        <is>
          <t>PRY-005</t>
        </is>
      </c>
      <c r="D588" t="inlineStr">
        <is>
          <t>Cuota inicial</t>
        </is>
      </c>
      <c r="E588" t="n">
        <v>119000000</v>
      </c>
      <c r="F588" t="n">
        <v>70555556</v>
      </c>
      <c r="G588">
        <f>E588-F588</f>
        <v/>
      </c>
      <c r="H588">
        <f>IF(E588&gt;0,F588/E588,0)</f>
        <v/>
      </c>
      <c r="I588" s="28" t="n">
        <v>46230</v>
      </c>
      <c r="J588" t="inlineStr">
        <is>
          <t>Al día</t>
        </is>
      </c>
      <c r="K588" t="inlineStr">
        <is>
          <t>Juliana Vélez</t>
        </is>
      </c>
    </row>
    <row r="589" ht="15.75" customHeight="1" s="25">
      <c r="A589" t="inlineStr">
        <is>
          <t>PAG-0587</t>
        </is>
      </c>
      <c r="B589" t="inlineStr">
        <is>
          <t>Mónica Toro Echeverri</t>
        </is>
      </c>
      <c r="C589" t="inlineStr">
        <is>
          <t>PRY-001</t>
        </is>
      </c>
      <c r="D589" t="inlineStr">
        <is>
          <t>Cuota inicial</t>
        </is>
      </c>
      <c r="E589" t="n">
        <v>208000000</v>
      </c>
      <c r="F589" t="n">
        <v>104285714</v>
      </c>
      <c r="G589">
        <f>E589-F589</f>
        <v/>
      </c>
      <c r="H589">
        <f>IF(E589&gt;0,F589/E589,0)</f>
        <v/>
      </c>
      <c r="I589" s="28" t="n">
        <v>46232</v>
      </c>
      <c r="J589" t="inlineStr">
        <is>
          <t>Al día</t>
        </is>
      </c>
      <c r="K589" t="inlineStr">
        <is>
          <t>Sofía Prada</t>
        </is>
      </c>
    </row>
    <row r="590" ht="15.75" customHeight="1" s="25">
      <c r="A590" t="inlineStr">
        <is>
          <t>PAG-0588</t>
        </is>
      </c>
      <c r="B590" t="inlineStr">
        <is>
          <t>Emilio Londoño Vargas</t>
        </is>
      </c>
      <c r="C590" t="inlineStr">
        <is>
          <t>PRY-008</t>
        </is>
      </c>
      <c r="D590" t="inlineStr">
        <is>
          <t>Cuota inicial</t>
        </is>
      </c>
      <c r="E590" t="n">
        <v>37000000</v>
      </c>
      <c r="F590" t="n">
        <v>37000000</v>
      </c>
      <c r="G590">
        <f>E590-F590</f>
        <v/>
      </c>
      <c r="H590">
        <f>IF(E590&gt;0,F590/E590,0)</f>
        <v/>
      </c>
      <c r="I590" s="28" t="n">
        <v>46081</v>
      </c>
      <c r="J590" t="inlineStr">
        <is>
          <t>Pagado</t>
        </is>
      </c>
      <c r="K590" t="inlineStr">
        <is>
          <t>Andrés Torres</t>
        </is>
      </c>
    </row>
    <row r="591" ht="15.75" customHeight="1" s="25">
      <c r="A591" t="inlineStr">
        <is>
          <t>PAG-0589</t>
        </is>
      </c>
      <c r="B591" t="inlineStr">
        <is>
          <t>Emilio Londoño Vargas</t>
        </is>
      </c>
      <c r="C591" t="inlineStr">
        <is>
          <t>PRY-008</t>
        </is>
      </c>
      <c r="D591" t="inlineStr">
        <is>
          <t>Escrituración</t>
        </is>
      </c>
      <c r="E591" t="n">
        <v>147000000</v>
      </c>
      <c r="F591" t="n">
        <v>0</v>
      </c>
      <c r="G591">
        <f>E591-F591</f>
        <v/>
      </c>
      <c r="H591">
        <f>IF(E591&gt;0,F591/E591,0)</f>
        <v/>
      </c>
      <c r="I591" s="28" t="n">
        <v>46243</v>
      </c>
      <c r="J591" t="inlineStr">
        <is>
          <t>Pendiente</t>
        </is>
      </c>
      <c r="K591" t="inlineStr">
        <is>
          <t>Andrés Torres</t>
        </is>
      </c>
    </row>
    <row r="592" ht="15.75" customHeight="1" s="25">
      <c r="A592" t="inlineStr">
        <is>
          <t>PAG-0590</t>
        </is>
      </c>
      <c r="B592" t="inlineStr">
        <is>
          <t>Sofía Osorio Palacio</t>
        </is>
      </c>
      <c r="C592" t="inlineStr">
        <is>
          <t>PRY-002</t>
        </is>
      </c>
      <c r="D592" t="inlineStr">
        <is>
          <t>Cuota inicial</t>
        </is>
      </c>
      <c r="E592" t="n">
        <v>218000000</v>
      </c>
      <c r="F592" t="n">
        <v>87037037</v>
      </c>
      <c r="G592">
        <f>E592-F592</f>
        <v/>
      </c>
      <c r="H592">
        <f>IF(E592&gt;0,F592/E592,0)</f>
        <v/>
      </c>
      <c r="I592" s="28" t="n">
        <v>46233</v>
      </c>
      <c r="J592" t="inlineStr">
        <is>
          <t>Al día</t>
        </is>
      </c>
      <c r="K592" t="inlineStr">
        <is>
          <t>Santiago Muñoz</t>
        </is>
      </c>
    </row>
    <row r="593" ht="15.75" customHeight="1" s="25">
      <c r="A593" t="inlineStr">
        <is>
          <t>PAG-0591</t>
        </is>
      </c>
      <c r="B593" t="inlineStr">
        <is>
          <t>Juliana Arango Vargas</t>
        </is>
      </c>
      <c r="C593" t="inlineStr">
        <is>
          <t>PRY-002</t>
        </is>
      </c>
      <c r="D593" t="inlineStr">
        <is>
          <t>Cuota inicial</t>
        </is>
      </c>
      <c r="E593" t="n">
        <v>213000000</v>
      </c>
      <c r="F593" t="n">
        <v>85185185</v>
      </c>
      <c r="G593">
        <f>E593-F593</f>
        <v/>
      </c>
      <c r="H593">
        <f>IF(E593&gt;0,F593/E593,0)</f>
        <v/>
      </c>
      <c r="I593" s="28" t="n">
        <v>46234</v>
      </c>
      <c r="J593" t="inlineStr">
        <is>
          <t>Al día</t>
        </is>
      </c>
      <c r="K593" t="inlineStr">
        <is>
          <t>Paula Arenas</t>
        </is>
      </c>
    </row>
    <row r="594" ht="15.75" customHeight="1" s="25">
      <c r="A594" t="inlineStr">
        <is>
          <t>PAG-0592</t>
        </is>
      </c>
      <c r="B594" t="inlineStr">
        <is>
          <t>Sebastián Osorio Toro</t>
        </is>
      </c>
      <c r="C594" t="inlineStr">
        <is>
          <t>PRY-006</t>
        </is>
      </c>
      <c r="D594" t="inlineStr">
        <is>
          <t>Cuota inicial</t>
        </is>
      </c>
      <c r="E594" t="n">
        <v>219000000</v>
      </c>
      <c r="F594" t="n">
        <v>79666667</v>
      </c>
      <c r="G594">
        <f>E594-F594</f>
        <v/>
      </c>
      <c r="H594">
        <f>IF(E594&gt;0,F594/E594,0)</f>
        <v/>
      </c>
      <c r="I594" s="28" t="n">
        <v>46204</v>
      </c>
      <c r="J594" t="inlineStr">
        <is>
          <t>Al día</t>
        </is>
      </c>
      <c r="K594" t="inlineStr">
        <is>
          <t>Paula Arenas</t>
        </is>
      </c>
    </row>
    <row r="595" ht="15.75" customHeight="1" s="25">
      <c r="A595" t="inlineStr">
        <is>
          <t>PAG-0593</t>
        </is>
      </c>
      <c r="B595" t="inlineStr">
        <is>
          <t>Simón Ramírez Cano</t>
        </is>
      </c>
      <c r="C595" t="inlineStr">
        <is>
          <t>PRY-003</t>
        </is>
      </c>
      <c r="D595" t="inlineStr">
        <is>
          <t>Cuota inicial</t>
        </is>
      </c>
      <c r="E595" t="n">
        <v>97000000</v>
      </c>
      <c r="F595" t="n">
        <v>65928571</v>
      </c>
      <c r="G595">
        <f>E595-F595</f>
        <v/>
      </c>
      <c r="H595">
        <f>IF(E595&gt;0,F595/E595,0)</f>
        <v/>
      </c>
      <c r="I595" s="28" t="n">
        <v>46204</v>
      </c>
      <c r="J595" t="inlineStr">
        <is>
          <t>Al día</t>
        </is>
      </c>
      <c r="K595" t="inlineStr">
        <is>
          <t>Luis Bedoya</t>
        </is>
      </c>
    </row>
    <row r="596" ht="15.75" customHeight="1" s="25">
      <c r="A596" t="inlineStr">
        <is>
          <t>PAG-0594</t>
        </is>
      </c>
      <c r="B596" t="inlineStr">
        <is>
          <t>Gabriel Muñoz Peláez</t>
        </is>
      </c>
      <c r="C596" t="inlineStr">
        <is>
          <t>PRY-003</t>
        </is>
      </c>
      <c r="D596" t="inlineStr">
        <is>
          <t>Cuota inicial</t>
        </is>
      </c>
      <c r="E596" t="n">
        <v>107000000</v>
      </c>
      <c r="F596" t="n">
        <v>72357143</v>
      </c>
      <c r="G596">
        <f>E596-F596</f>
        <v/>
      </c>
      <c r="H596">
        <f>IF(E596&gt;0,F596/E596,0)</f>
        <v/>
      </c>
      <c r="I596" s="28" t="n">
        <v>46207</v>
      </c>
      <c r="J596" t="inlineStr">
        <is>
          <t>Al día</t>
        </is>
      </c>
      <c r="K596" t="inlineStr">
        <is>
          <t>Paula Arenas</t>
        </is>
      </c>
    </row>
    <row r="597" ht="15.75" customHeight="1" s="25">
      <c r="A597" t="inlineStr">
        <is>
          <t>PAG-0595</t>
        </is>
      </c>
      <c r="B597" t="inlineStr">
        <is>
          <t>Diego Gaviria Osorio</t>
        </is>
      </c>
      <c r="C597" t="inlineStr">
        <is>
          <t>PRY-003</t>
        </is>
      </c>
      <c r="D597" t="inlineStr">
        <is>
          <t>Cuota inicial</t>
        </is>
      </c>
      <c r="E597" t="n">
        <v>93000000</v>
      </c>
      <c r="F597" t="n">
        <v>63357143</v>
      </c>
      <c r="G597">
        <f>E597-F597</f>
        <v/>
      </c>
      <c r="H597">
        <f>IF(E597&gt;0,F597/E597,0)</f>
        <v/>
      </c>
      <c r="I597" s="28" t="n">
        <v>46208</v>
      </c>
      <c r="J597" t="inlineStr">
        <is>
          <t>Al día</t>
        </is>
      </c>
      <c r="K597" t="inlineStr">
        <is>
          <t>Paula Arenas</t>
        </is>
      </c>
    </row>
    <row r="598" ht="15.75" customHeight="1" s="25">
      <c r="A598" t="inlineStr">
        <is>
          <t>PAG-0596</t>
        </is>
      </c>
      <c r="B598" t="inlineStr">
        <is>
          <t>Carolina Correa Montoya</t>
        </is>
      </c>
      <c r="C598" t="inlineStr">
        <is>
          <t>PRY-002</t>
        </is>
      </c>
      <c r="D598" t="inlineStr">
        <is>
          <t>Cuota inicial</t>
        </is>
      </c>
      <c r="E598" t="n">
        <v>249000000</v>
      </c>
      <c r="F598" t="n">
        <v>83538462</v>
      </c>
      <c r="G598">
        <f>E598-F598</f>
        <v/>
      </c>
      <c r="H598">
        <f>IF(E598&gt;0,F598/E598,0)</f>
        <v/>
      </c>
      <c r="I598" s="28" t="n">
        <v>46180</v>
      </c>
      <c r="J598" t="inlineStr">
        <is>
          <t>En mora</t>
        </is>
      </c>
      <c r="K598" t="inlineStr">
        <is>
          <t>Miguel Salazar</t>
        </is>
      </c>
    </row>
    <row r="599" ht="15.75" customHeight="1" s="25">
      <c r="A599" t="inlineStr">
        <is>
          <t>PAG-0597</t>
        </is>
      </c>
      <c r="B599" t="inlineStr">
        <is>
          <t>Laura Ríos Cardona</t>
        </is>
      </c>
      <c r="C599" t="inlineStr">
        <is>
          <t>PRY-008</t>
        </is>
      </c>
      <c r="D599" t="inlineStr">
        <is>
          <t>Cuota inicial</t>
        </is>
      </c>
      <c r="E599" t="n">
        <v>35000000</v>
      </c>
      <c r="F599" t="n">
        <v>35000000</v>
      </c>
      <c r="G599">
        <f>E599-F599</f>
        <v/>
      </c>
      <c r="H599">
        <f>IF(E599&gt;0,F599/E599,0)</f>
        <v/>
      </c>
      <c r="I599" s="28" t="n">
        <v>46060</v>
      </c>
      <c r="J599" t="inlineStr">
        <is>
          <t>Pagado</t>
        </is>
      </c>
      <c r="K599" t="inlineStr">
        <is>
          <t>Sofía Prada</t>
        </is>
      </c>
    </row>
    <row r="600" ht="15.75" customHeight="1" s="25">
      <c r="A600" t="inlineStr">
        <is>
          <t>PAG-0598</t>
        </is>
      </c>
      <c r="B600" t="inlineStr">
        <is>
          <t>Laura Ríos Cardona</t>
        </is>
      </c>
      <c r="C600" t="inlineStr">
        <is>
          <t>PRY-008</t>
        </is>
      </c>
      <c r="D600" t="inlineStr">
        <is>
          <t>Escrituración</t>
        </is>
      </c>
      <c r="E600" t="n">
        <v>138000000</v>
      </c>
      <c r="F600" t="n">
        <v>0</v>
      </c>
      <c r="G600">
        <f>E600-F600</f>
        <v/>
      </c>
      <c r="H600">
        <f>IF(E600&gt;0,F600/E600,0)</f>
        <v/>
      </c>
      <c r="I600" s="28" t="n">
        <v>46221</v>
      </c>
      <c r="J600" t="inlineStr">
        <is>
          <t>Pendiente</t>
        </is>
      </c>
      <c r="K600" t="inlineStr">
        <is>
          <t>Sofía Prada</t>
        </is>
      </c>
    </row>
    <row r="601" ht="15.75" customHeight="1" s="25">
      <c r="A601" t="inlineStr">
        <is>
          <t>PAG-0599</t>
        </is>
      </c>
      <c r="B601" t="inlineStr">
        <is>
          <t>Nicolás Pérez Franco</t>
        </is>
      </c>
      <c r="C601" t="inlineStr">
        <is>
          <t>PRY-008</t>
        </is>
      </c>
      <c r="D601" t="inlineStr">
        <is>
          <t>Cuota inicial</t>
        </is>
      </c>
      <c r="E601" t="n">
        <v>35000000</v>
      </c>
      <c r="F601" t="n">
        <v>35000000</v>
      </c>
      <c r="G601">
        <f>E601-F601</f>
        <v/>
      </c>
      <c r="H601">
        <f>IF(E601&gt;0,F601/E601,0)</f>
        <v/>
      </c>
      <c r="I601" s="28" t="n">
        <v>46061</v>
      </c>
      <c r="J601" t="inlineStr">
        <is>
          <t>Pagado</t>
        </is>
      </c>
      <c r="K601" t="inlineStr">
        <is>
          <t>Ana Quintero</t>
        </is>
      </c>
    </row>
    <row r="602" ht="15.75" customHeight="1" s="25">
      <c r="A602" t="inlineStr">
        <is>
          <t>PAG-0600</t>
        </is>
      </c>
      <c r="B602" t="inlineStr">
        <is>
          <t>Nicolás Pérez Franco</t>
        </is>
      </c>
      <c r="C602" t="inlineStr">
        <is>
          <t>PRY-008</t>
        </is>
      </c>
      <c r="D602" t="inlineStr">
        <is>
          <t>Escrituración</t>
        </is>
      </c>
      <c r="E602" t="n">
        <v>141000000</v>
      </c>
      <c r="F602" t="n">
        <v>141000000</v>
      </c>
      <c r="G602">
        <f>E602-F602</f>
        <v/>
      </c>
      <c r="H602">
        <f>IF(E602&gt;0,F602/E602,0)</f>
        <v/>
      </c>
      <c r="I602" s="28" t="n">
        <v>46154</v>
      </c>
      <c r="J602" t="inlineStr">
        <is>
          <t>Pagado</t>
        </is>
      </c>
      <c r="K602" t="inlineStr">
        <is>
          <t>Ana Quintero</t>
        </is>
      </c>
    </row>
    <row r="603" ht="15.75" customHeight="1" s="25">
      <c r="A603" t="inlineStr">
        <is>
          <t>PAG-0601</t>
        </is>
      </c>
      <c r="B603" t="inlineStr">
        <is>
          <t>José Álvarez Álvarez</t>
        </is>
      </c>
      <c r="C603" t="inlineStr">
        <is>
          <t>PRY-007</t>
        </is>
      </c>
      <c r="D603" t="inlineStr">
        <is>
          <t>Cuota inicial</t>
        </is>
      </c>
      <c r="E603" t="n">
        <v>195000000</v>
      </c>
      <c r="F603" t="n">
        <v>82391304</v>
      </c>
      <c r="G603">
        <f>E603-F603</f>
        <v/>
      </c>
      <c r="H603">
        <f>IF(E603&gt;0,F603/E603,0)</f>
        <v/>
      </c>
      <c r="I603" s="28" t="n">
        <v>46212</v>
      </c>
      <c r="J603" t="inlineStr">
        <is>
          <t>Al día</t>
        </is>
      </c>
      <c r="K603" t="inlineStr">
        <is>
          <t>Miguel Salazar</t>
        </is>
      </c>
    </row>
    <row r="604" ht="15.75" customHeight="1" s="25">
      <c r="A604" t="inlineStr">
        <is>
          <t>PAG-0602</t>
        </is>
      </c>
      <c r="B604" t="inlineStr">
        <is>
          <t>Sandra Gómez Ramírez</t>
        </is>
      </c>
      <c r="C604" t="inlineStr">
        <is>
          <t>PRY-007</t>
        </is>
      </c>
      <c r="D604" t="inlineStr">
        <is>
          <t>Cuota inicial</t>
        </is>
      </c>
      <c r="E604" t="n">
        <v>244000000</v>
      </c>
      <c r="F604" t="n">
        <v>101565217</v>
      </c>
      <c r="G604">
        <f>E604-F604</f>
        <v/>
      </c>
      <c r="H604">
        <f>IF(E604&gt;0,F604/E604,0)</f>
        <v/>
      </c>
      <c r="I604" s="28" t="n">
        <v>46213</v>
      </c>
      <c r="J604" t="inlineStr">
        <is>
          <t>Al día</t>
        </is>
      </c>
      <c r="K604" t="inlineStr">
        <is>
          <t>Luis Bedoya</t>
        </is>
      </c>
    </row>
    <row r="605" ht="15.75" customHeight="1" s="25">
      <c r="A605" t="inlineStr">
        <is>
          <t>PAG-0603</t>
        </is>
      </c>
      <c r="B605" t="inlineStr">
        <is>
          <t>Carolina Muñoz Palacio</t>
        </is>
      </c>
      <c r="C605" t="inlineStr">
        <is>
          <t>PRY-008</t>
        </is>
      </c>
      <c r="D605" t="inlineStr">
        <is>
          <t>Cuota inicial</t>
        </is>
      </c>
      <c r="E605" t="n">
        <v>28000000</v>
      </c>
      <c r="F605" t="n">
        <v>28000000</v>
      </c>
      <c r="G605">
        <f>E605-F605</f>
        <v/>
      </c>
      <c r="H605">
        <f>IF(E605&gt;0,F605/E605,0)</f>
        <v/>
      </c>
      <c r="I605" s="28" t="n">
        <v>46064</v>
      </c>
      <c r="J605" t="inlineStr">
        <is>
          <t>Pagado</t>
        </is>
      </c>
      <c r="K605" t="inlineStr">
        <is>
          <t>Luis Bedoya</t>
        </is>
      </c>
    </row>
    <row r="606" ht="15.75" customHeight="1" s="25">
      <c r="A606" t="inlineStr">
        <is>
          <t>PAG-0604</t>
        </is>
      </c>
      <c r="B606" t="inlineStr">
        <is>
          <t>Carolina Muñoz Palacio</t>
        </is>
      </c>
      <c r="C606" t="inlineStr">
        <is>
          <t>PRY-008</t>
        </is>
      </c>
      <c r="D606" t="inlineStr">
        <is>
          <t>Escrituración</t>
        </is>
      </c>
      <c r="E606" t="n">
        <v>114000000</v>
      </c>
      <c r="F606" t="n">
        <v>114000000</v>
      </c>
      <c r="G606">
        <f>E606-F606</f>
        <v/>
      </c>
      <c r="H606">
        <f>IF(E606&gt;0,F606/E606,0)</f>
        <v/>
      </c>
      <c r="I606" s="28" t="n">
        <v>46160</v>
      </c>
      <c r="J606" t="inlineStr">
        <is>
          <t>Pagado</t>
        </is>
      </c>
      <c r="K606" t="inlineStr">
        <is>
          <t>Luis Bedoya</t>
        </is>
      </c>
    </row>
    <row r="607" ht="15.75" customHeight="1" s="25">
      <c r="A607" t="inlineStr">
        <is>
          <t>PAG-0605</t>
        </is>
      </c>
      <c r="B607" t="inlineStr">
        <is>
          <t>Carolina Toro Londoño</t>
        </is>
      </c>
      <c r="C607" t="inlineStr">
        <is>
          <t>PRY-005</t>
        </is>
      </c>
      <c r="D607" t="inlineStr">
        <is>
          <t>Cuota inicial</t>
        </is>
      </c>
      <c r="E607" t="n">
        <v>134000000</v>
      </c>
      <c r="F607" t="n">
        <v>75647059</v>
      </c>
      <c r="G607">
        <f>E607-F607</f>
        <v/>
      </c>
      <c r="H607">
        <f>IF(E607&gt;0,F607/E607,0)</f>
        <v/>
      </c>
      <c r="I607" s="28" t="n">
        <v>46219</v>
      </c>
      <c r="J607" t="inlineStr">
        <is>
          <t>Al día</t>
        </is>
      </c>
      <c r="K607" t="inlineStr">
        <is>
          <t>Andrés Torres</t>
        </is>
      </c>
    </row>
    <row r="608" ht="15.75" customHeight="1" s="25">
      <c r="A608" t="inlineStr">
        <is>
          <t>PAG-0606</t>
        </is>
      </c>
      <c r="B608" t="inlineStr">
        <is>
          <t>Daniel Bedoya Agudelo</t>
        </is>
      </c>
      <c r="C608" t="inlineStr">
        <is>
          <t>PRY-001</t>
        </is>
      </c>
      <c r="D608" t="inlineStr">
        <is>
          <t>Cuota inicial</t>
        </is>
      </c>
      <c r="E608" t="n">
        <v>193000000</v>
      </c>
      <c r="F608" t="n">
        <v>92350000</v>
      </c>
      <c r="G608">
        <f>E608-F608</f>
        <v/>
      </c>
      <c r="H608">
        <f>IF(E608&gt;0,F608/E608,0)</f>
        <v/>
      </c>
      <c r="I608" s="28" t="n">
        <v>46219</v>
      </c>
      <c r="J608" t="inlineStr">
        <is>
          <t>Al día</t>
        </is>
      </c>
      <c r="K608" t="inlineStr">
        <is>
          <t>Andrés Torres</t>
        </is>
      </c>
    </row>
    <row r="609" ht="15.75" customHeight="1" s="25">
      <c r="A609" t="inlineStr">
        <is>
          <t>PAG-0607</t>
        </is>
      </c>
      <c r="B609" t="inlineStr">
        <is>
          <t>Sofía Sánchez Cano</t>
        </is>
      </c>
      <c r="C609" t="inlineStr">
        <is>
          <t>PRY-008</t>
        </is>
      </c>
      <c r="D609" t="inlineStr">
        <is>
          <t>Cuota inicial</t>
        </is>
      </c>
      <c r="E609" t="n">
        <v>28000000</v>
      </c>
      <c r="F609" t="n">
        <v>28000000</v>
      </c>
      <c r="G609">
        <f>E609-F609</f>
        <v/>
      </c>
      <c r="H609">
        <f>IF(E609&gt;0,F609/E609,0)</f>
        <v/>
      </c>
      <c r="I609" s="28" t="n">
        <v>46069</v>
      </c>
      <c r="J609" t="inlineStr">
        <is>
          <t>Pagado</t>
        </is>
      </c>
      <c r="K609" t="inlineStr">
        <is>
          <t>Daniela Ríos</t>
        </is>
      </c>
    </row>
    <row r="610" ht="15.75" customHeight="1" s="25">
      <c r="A610" t="inlineStr">
        <is>
          <t>PAG-0608</t>
        </is>
      </c>
      <c r="B610" t="inlineStr">
        <is>
          <t>Sofía Sánchez Cano</t>
        </is>
      </c>
      <c r="C610" t="inlineStr">
        <is>
          <t>PRY-008</t>
        </is>
      </c>
      <c r="D610" t="inlineStr">
        <is>
          <t>Escrituración</t>
        </is>
      </c>
      <c r="E610" t="n">
        <v>114000000</v>
      </c>
      <c r="F610" t="n">
        <v>114000000</v>
      </c>
      <c r="G610">
        <f>E610-F610</f>
        <v/>
      </c>
      <c r="H610">
        <f>IF(E610&gt;0,F610/E610,0)</f>
        <v/>
      </c>
      <c r="I610" s="28" t="n">
        <v>46133</v>
      </c>
      <c r="J610" t="inlineStr">
        <is>
          <t>Pagado</t>
        </is>
      </c>
      <c r="K610" t="inlineStr">
        <is>
          <t>Daniela Ríos</t>
        </is>
      </c>
    </row>
    <row r="611" ht="15.75" customHeight="1" s="25">
      <c r="A611" t="inlineStr">
        <is>
          <t>PAG-0609</t>
        </is>
      </c>
      <c r="B611" t="inlineStr">
        <is>
          <t>Catalina Osorio Álvarez</t>
        </is>
      </c>
      <c r="C611" t="inlineStr">
        <is>
          <t>PRY-005</t>
        </is>
      </c>
      <c r="D611" t="inlineStr">
        <is>
          <t>Cuota inicial</t>
        </is>
      </c>
      <c r="E611" t="n">
        <v>142000000</v>
      </c>
      <c r="F611" t="n">
        <v>79882353</v>
      </c>
      <c r="G611">
        <f>E611-F611</f>
        <v/>
      </c>
      <c r="H611">
        <f>IF(E611&gt;0,F611/E611,0)</f>
        <v/>
      </c>
      <c r="I611" s="28" t="n">
        <v>46220</v>
      </c>
      <c r="J611" t="inlineStr">
        <is>
          <t>Al día</t>
        </is>
      </c>
      <c r="K611" t="inlineStr">
        <is>
          <t>Mateo Herrera</t>
        </is>
      </c>
    </row>
    <row r="612" ht="15.75" customHeight="1" s="25">
      <c r="A612" t="inlineStr">
        <is>
          <t>PAG-0610</t>
        </is>
      </c>
      <c r="B612" t="inlineStr">
        <is>
          <t>Verónica Valencia Ramírez</t>
        </is>
      </c>
      <c r="C612" t="inlineStr">
        <is>
          <t>PRY-005</t>
        </is>
      </c>
      <c r="D612" t="inlineStr">
        <is>
          <t>Cuota inicial</t>
        </is>
      </c>
      <c r="E612" t="n">
        <v>139000000</v>
      </c>
      <c r="F612" t="n">
        <v>78294118</v>
      </c>
      <c r="G612">
        <f>E612-F612</f>
        <v/>
      </c>
      <c r="H612">
        <f>IF(E612&gt;0,F612/E612,0)</f>
        <v/>
      </c>
      <c r="I612" s="28" t="n">
        <v>46222</v>
      </c>
      <c r="J612" t="inlineStr">
        <is>
          <t>Al día</t>
        </is>
      </c>
      <c r="K612" t="inlineStr">
        <is>
          <t>Luis Bedoya</t>
        </is>
      </c>
    </row>
    <row r="613" ht="15.75" customHeight="1" s="25">
      <c r="A613" t="inlineStr">
        <is>
          <t>PAG-0611</t>
        </is>
      </c>
      <c r="B613" t="inlineStr">
        <is>
          <t>Fernando Vargas Salazar</t>
        </is>
      </c>
      <c r="C613" t="inlineStr">
        <is>
          <t>PRY-001</t>
        </is>
      </c>
      <c r="D613" t="inlineStr">
        <is>
          <t>Cuota inicial</t>
        </is>
      </c>
      <c r="E613" t="n">
        <v>244000000</v>
      </c>
      <c r="F613" t="n">
        <v>115300000</v>
      </c>
      <c r="G613">
        <f>E613-F613</f>
        <v/>
      </c>
      <c r="H613">
        <f>IF(E613&gt;0,F613/E613,0)</f>
        <v/>
      </c>
      <c r="I613" s="28" t="n">
        <v>46222</v>
      </c>
      <c r="J613" t="inlineStr">
        <is>
          <t>Al día</t>
        </is>
      </c>
      <c r="K613" t="inlineStr">
        <is>
          <t>Andrés Torres</t>
        </is>
      </c>
    </row>
    <row r="614" ht="15.75" customHeight="1" s="25">
      <c r="A614" t="inlineStr">
        <is>
          <t>PAG-0612</t>
        </is>
      </c>
      <c r="B614" t="inlineStr">
        <is>
          <t>Katherine Giraldo Franco</t>
        </is>
      </c>
      <c r="C614" t="inlineStr">
        <is>
          <t>PRY-002</t>
        </is>
      </c>
      <c r="D614" t="inlineStr">
        <is>
          <t>Cuota inicial</t>
        </is>
      </c>
      <c r="E614" t="n">
        <v>245000000</v>
      </c>
      <c r="F614" t="n">
        <v>91346154</v>
      </c>
      <c r="G614">
        <f>E614-F614</f>
        <v/>
      </c>
      <c r="H614">
        <f>IF(E614&gt;0,F614/E614,0)</f>
        <v/>
      </c>
      <c r="I614" s="28" t="n">
        <v>46225</v>
      </c>
      <c r="J614" t="inlineStr">
        <is>
          <t>Al día</t>
        </is>
      </c>
      <c r="K614" t="inlineStr">
        <is>
          <t>Miguel Salazar</t>
        </is>
      </c>
    </row>
    <row r="615" ht="15.75" customHeight="1" s="25">
      <c r="A615" t="inlineStr">
        <is>
          <t>PAG-0613</t>
        </is>
      </c>
      <c r="B615" t="inlineStr">
        <is>
          <t>Juan Pablo Quintero López</t>
        </is>
      </c>
      <c r="C615" t="inlineStr">
        <is>
          <t>PRY-001</t>
        </is>
      </c>
      <c r="D615" t="inlineStr">
        <is>
          <t>Cuota inicial</t>
        </is>
      </c>
      <c r="E615" t="n">
        <v>237000000</v>
      </c>
      <c r="F615" t="n">
        <v>112150000</v>
      </c>
      <c r="G615">
        <f>E615-F615</f>
        <v/>
      </c>
      <c r="H615">
        <f>IF(E615&gt;0,F615/E615,0)</f>
        <v/>
      </c>
      <c r="I615" s="28" t="n">
        <v>46226</v>
      </c>
      <c r="J615" t="inlineStr">
        <is>
          <t>Al día</t>
        </is>
      </c>
      <c r="K615" t="inlineStr">
        <is>
          <t>Luis Bedoya</t>
        </is>
      </c>
    </row>
    <row r="616" ht="15.75" customHeight="1" s="25">
      <c r="A616" t="inlineStr">
        <is>
          <t>PAG-0614</t>
        </is>
      </c>
      <c r="B616" t="inlineStr">
        <is>
          <t>Cristian Escobar Zuluaga</t>
        </is>
      </c>
      <c r="C616" t="inlineStr">
        <is>
          <t>PRY-001</t>
        </is>
      </c>
      <c r="D616" t="inlineStr">
        <is>
          <t>Cuota inicial</t>
        </is>
      </c>
      <c r="E616" t="n">
        <v>200000000</v>
      </c>
      <c r="F616" t="n">
        <v>95500000</v>
      </c>
      <c r="G616">
        <f>E616-F616</f>
        <v/>
      </c>
      <c r="H616">
        <f>IF(E616&gt;0,F616/E616,0)</f>
        <v/>
      </c>
      <c r="I616" s="28" t="n">
        <v>46226</v>
      </c>
      <c r="J616" t="inlineStr">
        <is>
          <t>Al día</t>
        </is>
      </c>
      <c r="K616" t="inlineStr">
        <is>
          <t>Paula Arenas</t>
        </is>
      </c>
    </row>
    <row r="617" ht="15.75" customHeight="1" s="25">
      <c r="A617" t="inlineStr">
        <is>
          <t>PAG-0615</t>
        </is>
      </c>
      <c r="B617" t="inlineStr">
        <is>
          <t>Wilson Rojas Ochoa</t>
        </is>
      </c>
      <c r="C617" t="inlineStr">
        <is>
          <t>PRY-003</t>
        </is>
      </c>
      <c r="D617" t="inlineStr">
        <is>
          <t>Cuota inicial</t>
        </is>
      </c>
      <c r="E617" t="n">
        <v>94000000</v>
      </c>
      <c r="F617" t="n">
        <v>64000000</v>
      </c>
      <c r="G617">
        <f>E617-F617</f>
        <v/>
      </c>
      <c r="H617">
        <f>IF(E617&gt;0,F617/E617,0)</f>
        <v/>
      </c>
      <c r="I617" s="28" t="n">
        <v>46226</v>
      </c>
      <c r="J617" t="inlineStr">
        <is>
          <t>Al día</t>
        </is>
      </c>
      <c r="K617" t="inlineStr">
        <is>
          <t>Luis Bedoya</t>
        </is>
      </c>
    </row>
    <row r="618" ht="15.75" customHeight="1" s="25">
      <c r="A618" t="inlineStr">
        <is>
          <t>PAG-0616</t>
        </is>
      </c>
      <c r="B618" t="inlineStr">
        <is>
          <t>Daniela Gaviria Henao</t>
        </is>
      </c>
      <c r="C618" t="inlineStr">
        <is>
          <t>PRY-007</t>
        </is>
      </c>
      <c r="D618" t="inlineStr">
        <is>
          <t>Cuota inicial</t>
        </is>
      </c>
      <c r="E618" t="n">
        <v>204000000</v>
      </c>
      <c r="F618" t="n">
        <v>85913043</v>
      </c>
      <c r="G618">
        <f>E618-F618</f>
        <v/>
      </c>
      <c r="H618">
        <f>IF(E618&gt;0,F618/E618,0)</f>
        <v/>
      </c>
      <c r="I618" s="28" t="n">
        <v>46227</v>
      </c>
      <c r="J618" t="inlineStr">
        <is>
          <t>Al día</t>
        </is>
      </c>
      <c r="K618" t="inlineStr">
        <is>
          <t>Daniela Ríos</t>
        </is>
      </c>
    </row>
    <row r="619" ht="15.75" customHeight="1" s="25">
      <c r="A619" t="inlineStr">
        <is>
          <t>PAG-0617</t>
        </is>
      </c>
      <c r="B619" t="inlineStr">
        <is>
          <t>Sofía Vargas Gómez</t>
        </is>
      </c>
      <c r="C619" t="inlineStr">
        <is>
          <t>PRY-005</t>
        </is>
      </c>
      <c r="D619" t="inlineStr">
        <is>
          <t>Cuota inicial</t>
        </is>
      </c>
      <c r="E619" t="n">
        <v>131000000</v>
      </c>
      <c r="F619" t="n">
        <v>74058824</v>
      </c>
      <c r="G619">
        <f>E619-F619</f>
        <v/>
      </c>
      <c r="H619">
        <f>IF(E619&gt;0,F619/E619,0)</f>
        <v/>
      </c>
      <c r="I619" s="28" t="n">
        <v>46227</v>
      </c>
      <c r="J619" t="inlineStr">
        <is>
          <t>Al día</t>
        </is>
      </c>
      <c r="K619" t="inlineStr">
        <is>
          <t>Juliana Vélez</t>
        </is>
      </c>
    </row>
    <row r="620" ht="15.75" customHeight="1" s="25">
      <c r="A620" t="inlineStr">
        <is>
          <t>PAG-0618</t>
        </is>
      </c>
      <c r="B620" t="inlineStr">
        <is>
          <t>Patricia Montoya Quintero</t>
        </is>
      </c>
      <c r="C620" t="inlineStr">
        <is>
          <t>PRY-003</t>
        </is>
      </c>
      <c r="D620" t="inlineStr">
        <is>
          <t>Cuota inicial</t>
        </is>
      </c>
      <c r="E620" t="n">
        <v>131000000</v>
      </c>
      <c r="F620" t="n">
        <v>87785714</v>
      </c>
      <c r="G620">
        <f>E620-F620</f>
        <v/>
      </c>
      <c r="H620">
        <f>IF(E620&gt;0,F620/E620,0)</f>
        <v/>
      </c>
      <c r="I620" s="28" t="n">
        <v>46230</v>
      </c>
      <c r="J620" t="inlineStr">
        <is>
          <t>Al día</t>
        </is>
      </c>
      <c r="K620" t="inlineStr">
        <is>
          <t>Santiago Muñoz</t>
        </is>
      </c>
    </row>
    <row r="621" ht="15.75" customHeight="1" s="25">
      <c r="A621" t="inlineStr">
        <is>
          <t>PAG-0619</t>
        </is>
      </c>
      <c r="B621" t="inlineStr">
        <is>
          <t>Iván Escobar Sánchez</t>
        </is>
      </c>
      <c r="C621" t="inlineStr">
        <is>
          <t>PRY-003</t>
        </is>
      </c>
      <c r="D621" t="inlineStr">
        <is>
          <t>Cuota inicial</t>
        </is>
      </c>
      <c r="E621" t="n">
        <v>130000000</v>
      </c>
      <c r="F621" t="n">
        <v>87142857</v>
      </c>
      <c r="G621">
        <f>E621-F621</f>
        <v/>
      </c>
      <c r="H621">
        <f>IF(E621&gt;0,F621/E621,0)</f>
        <v/>
      </c>
      <c r="I621" s="28" t="n">
        <v>46233</v>
      </c>
      <c r="J621" t="inlineStr">
        <is>
          <t>Al día</t>
        </is>
      </c>
      <c r="K621" t="inlineStr">
        <is>
          <t>Miguel Salazar</t>
        </is>
      </c>
    </row>
    <row r="622" ht="15.75" customHeight="1" s="25">
      <c r="A622" t="inlineStr">
        <is>
          <t>PAG-0620</t>
        </is>
      </c>
      <c r="B622" t="inlineStr">
        <is>
          <t>Sebastián Palacio Salazar</t>
        </is>
      </c>
      <c r="C622" t="inlineStr">
        <is>
          <t>PRY-006</t>
        </is>
      </c>
      <c r="D622" t="inlineStr">
        <is>
          <t>Cuota inicial</t>
        </is>
      </c>
      <c r="E622" t="n">
        <v>198000000</v>
      </c>
      <c r="F622" t="n">
        <v>72666667</v>
      </c>
      <c r="G622">
        <f>E622-F622</f>
        <v/>
      </c>
      <c r="H622">
        <f>IF(E622&gt;0,F622/E622,0)</f>
        <v/>
      </c>
      <c r="I622" s="28" t="n">
        <v>46233</v>
      </c>
      <c r="J622" t="inlineStr">
        <is>
          <t>Al día</t>
        </is>
      </c>
      <c r="K622" t="inlineStr">
        <is>
          <t>Daniela Ríos</t>
        </is>
      </c>
    </row>
    <row r="623" ht="15.75" customHeight="1" s="25">
      <c r="A623" t="inlineStr">
        <is>
          <t>PAG-0621</t>
        </is>
      </c>
      <c r="B623" t="inlineStr">
        <is>
          <t>Liliana López Ríos</t>
        </is>
      </c>
      <c r="C623" t="inlineStr">
        <is>
          <t>PRY-005</t>
        </is>
      </c>
      <c r="D623" t="inlineStr">
        <is>
          <t>Cuota inicial</t>
        </is>
      </c>
      <c r="E623" t="n">
        <v>107000000</v>
      </c>
      <c r="F623" t="n">
        <v>58500000</v>
      </c>
      <c r="G623">
        <f>E623-F623</f>
        <v/>
      </c>
      <c r="H623">
        <f>IF(E623&gt;0,F623/E623,0)</f>
        <v/>
      </c>
      <c r="I623" s="28" t="n">
        <v>46204</v>
      </c>
      <c r="J623" t="inlineStr">
        <is>
          <t>Al día</t>
        </is>
      </c>
      <c r="K623" t="inlineStr">
        <is>
          <t>Sofía Prada</t>
        </is>
      </c>
    </row>
    <row r="624" ht="15.75" customHeight="1" s="25">
      <c r="A624" t="inlineStr">
        <is>
          <t>PAG-0622</t>
        </is>
      </c>
      <c r="B624" t="inlineStr">
        <is>
          <t>Laura Castaño Ramírez</t>
        </is>
      </c>
      <c r="C624" t="inlineStr">
        <is>
          <t>PRY-008</t>
        </is>
      </c>
      <c r="D624" t="inlineStr">
        <is>
          <t>Cuota inicial</t>
        </is>
      </c>
      <c r="E624" t="n">
        <v>29000000</v>
      </c>
      <c r="F624" t="n">
        <v>29000000</v>
      </c>
      <c r="G624">
        <f>E624-F624</f>
        <v/>
      </c>
      <c r="H624">
        <f>IF(E624&gt;0,F624/E624,0)</f>
        <v/>
      </c>
      <c r="I624" s="28" t="n">
        <v>46054</v>
      </c>
      <c r="J624" t="inlineStr">
        <is>
          <t>Pagado</t>
        </is>
      </c>
      <c r="K624" t="inlineStr">
        <is>
          <t>Santiago Muñoz</t>
        </is>
      </c>
    </row>
    <row r="625" ht="15.75" customHeight="1" s="25">
      <c r="A625" t="inlineStr">
        <is>
          <t>PAG-0623</t>
        </is>
      </c>
      <c r="B625" t="inlineStr">
        <is>
          <t>Laura Castaño Ramírez</t>
        </is>
      </c>
      <c r="C625" t="inlineStr">
        <is>
          <t>PRY-008</t>
        </is>
      </c>
      <c r="D625" t="inlineStr">
        <is>
          <t>Escrituración</t>
        </is>
      </c>
      <c r="E625" t="n">
        <v>117000000</v>
      </c>
      <c r="F625" t="n">
        <v>117000000</v>
      </c>
      <c r="G625">
        <f>E625-F625</f>
        <v/>
      </c>
      <c r="H625">
        <f>IF(E625&gt;0,F625/E625,0)</f>
        <v/>
      </c>
      <c r="I625" s="28" t="n">
        <v>46120</v>
      </c>
      <c r="J625" t="inlineStr">
        <is>
          <t>Pagado</t>
        </is>
      </c>
      <c r="K625" t="inlineStr">
        <is>
          <t>Santiago Muñoz</t>
        </is>
      </c>
    </row>
    <row r="626" ht="15.75" customHeight="1" s="25">
      <c r="A626" t="inlineStr">
        <is>
          <t>PAG-0624</t>
        </is>
      </c>
      <c r="B626" t="inlineStr">
        <is>
          <t>Alejandra Arango Vásquez</t>
        </is>
      </c>
      <c r="C626" t="inlineStr">
        <is>
          <t>PRY-003</t>
        </is>
      </c>
      <c r="D626" t="inlineStr">
        <is>
          <t>Cuota inicial</t>
        </is>
      </c>
      <c r="E626" t="n">
        <v>93000000</v>
      </c>
      <c r="F626" t="n">
        <v>61076923</v>
      </c>
      <c r="G626">
        <f>E626-F626</f>
        <v/>
      </c>
      <c r="H626">
        <f>IF(E626&gt;0,F626/E626,0)</f>
        <v/>
      </c>
      <c r="I626" s="28" t="n">
        <v>46205</v>
      </c>
      <c r="J626" t="inlineStr">
        <is>
          <t>Al día</t>
        </is>
      </c>
      <c r="K626" t="inlineStr">
        <is>
          <t>Luis Bedoya</t>
        </is>
      </c>
    </row>
    <row r="627" ht="15.75" customHeight="1" s="25">
      <c r="A627" t="inlineStr">
        <is>
          <t>PAG-0625</t>
        </is>
      </c>
      <c r="B627" t="inlineStr">
        <is>
          <t>Mariana Escobar Cardona</t>
        </is>
      </c>
      <c r="C627" t="inlineStr">
        <is>
          <t>PRY-007</t>
        </is>
      </c>
      <c r="D627" t="inlineStr">
        <is>
          <t>Cuota inicial</t>
        </is>
      </c>
      <c r="E627" t="n">
        <v>220000000</v>
      </c>
      <c r="F627" t="n">
        <v>86363636</v>
      </c>
      <c r="G627">
        <f>E627-F627</f>
        <v/>
      </c>
      <c r="H627">
        <f>IF(E627&gt;0,F627/E627,0)</f>
        <v/>
      </c>
      <c r="I627" s="28" t="n">
        <v>46206</v>
      </c>
      <c r="J627" t="inlineStr">
        <is>
          <t>Al día</t>
        </is>
      </c>
      <c r="K627" t="inlineStr">
        <is>
          <t>Andrés Torres</t>
        </is>
      </c>
    </row>
    <row r="628" ht="15.75" customHeight="1" s="25">
      <c r="A628" t="inlineStr">
        <is>
          <t>PAG-0626</t>
        </is>
      </c>
      <c r="B628" t="inlineStr">
        <is>
          <t>Natalia Zapata Zuluaga</t>
        </is>
      </c>
      <c r="C628" t="inlineStr">
        <is>
          <t>PRY-008</t>
        </is>
      </c>
      <c r="D628" t="inlineStr">
        <is>
          <t>Cuota inicial</t>
        </is>
      </c>
      <c r="E628" t="n">
        <v>32000000</v>
      </c>
      <c r="F628" t="n">
        <v>32000000</v>
      </c>
      <c r="G628">
        <f>E628-F628</f>
        <v/>
      </c>
      <c r="H628">
        <f>IF(E628&gt;0,F628/E628,0)</f>
        <v/>
      </c>
      <c r="I628" s="28" t="n">
        <v>46056</v>
      </c>
      <c r="J628" t="inlineStr">
        <is>
          <t>Pagado</t>
        </is>
      </c>
      <c r="K628" t="inlineStr">
        <is>
          <t>Miguel Salazar</t>
        </is>
      </c>
    </row>
    <row r="629" ht="15.75" customHeight="1" s="25">
      <c r="A629" t="inlineStr">
        <is>
          <t>PAG-0627</t>
        </is>
      </c>
      <c r="B629" t="inlineStr">
        <is>
          <t>Natalia Zapata Zuluaga</t>
        </is>
      </c>
      <c r="C629" t="inlineStr">
        <is>
          <t>PRY-008</t>
        </is>
      </c>
      <c r="D629" t="inlineStr">
        <is>
          <t>Escrituración</t>
        </is>
      </c>
      <c r="E629" t="n">
        <v>129000000</v>
      </c>
      <c r="F629" t="n">
        <v>0</v>
      </c>
      <c r="G629">
        <f>E629-F629</f>
        <v/>
      </c>
      <c r="H629">
        <f>IF(E629&gt;0,F629/E629,0)</f>
        <v/>
      </c>
      <c r="I629" s="28" t="n">
        <v>46234</v>
      </c>
      <c r="J629" t="inlineStr">
        <is>
          <t>En mora</t>
        </is>
      </c>
      <c r="K629" t="inlineStr">
        <is>
          <t>Miguel Salazar</t>
        </is>
      </c>
    </row>
    <row r="630" ht="15.75" customHeight="1" s="25">
      <c r="A630" t="inlineStr">
        <is>
          <t>PAG-0628</t>
        </is>
      </c>
      <c r="B630" t="inlineStr">
        <is>
          <t>Rodrigo Vélez Cardona</t>
        </is>
      </c>
      <c r="C630" t="inlineStr">
        <is>
          <t>PRY-001</t>
        </is>
      </c>
      <c r="D630" t="inlineStr">
        <is>
          <t>Cuota inicial</t>
        </is>
      </c>
      <c r="E630" t="n">
        <v>207000000</v>
      </c>
      <c r="F630" t="n">
        <v>51473684</v>
      </c>
      <c r="G630">
        <f>E630-F630</f>
        <v/>
      </c>
      <c r="H630">
        <f>IF(E630&gt;0,F630/E630,0)</f>
        <v/>
      </c>
      <c r="I630" s="28" t="n">
        <v>46086</v>
      </c>
      <c r="J630" t="inlineStr">
        <is>
          <t>En mora</t>
        </is>
      </c>
      <c r="K630" t="inlineStr">
        <is>
          <t>Sofía Prada</t>
        </is>
      </c>
    </row>
    <row r="631" ht="15.75" customHeight="1" s="25">
      <c r="A631" t="inlineStr">
        <is>
          <t>PAG-0629</t>
        </is>
      </c>
      <c r="B631" t="inlineStr">
        <is>
          <t>Manuela Hernández Echeverri</t>
        </is>
      </c>
      <c r="C631" t="inlineStr">
        <is>
          <t>PRY-003</t>
        </is>
      </c>
      <c r="D631" t="inlineStr">
        <is>
          <t>Cuota inicial</t>
        </is>
      </c>
      <c r="E631" t="n">
        <v>123000000</v>
      </c>
      <c r="F631" t="n">
        <v>79538462</v>
      </c>
      <c r="G631">
        <f>E631-F631</f>
        <v/>
      </c>
      <c r="H631">
        <f>IF(E631&gt;0,F631/E631,0)</f>
        <v/>
      </c>
      <c r="I631" s="28" t="n">
        <v>46208</v>
      </c>
      <c r="J631" t="inlineStr">
        <is>
          <t>Al día</t>
        </is>
      </c>
      <c r="K631" t="inlineStr">
        <is>
          <t>Ana Quintero</t>
        </is>
      </c>
    </row>
    <row r="632" ht="15.75" customHeight="1" s="25">
      <c r="A632" t="inlineStr">
        <is>
          <t>PAG-0630</t>
        </is>
      </c>
      <c r="B632" t="inlineStr">
        <is>
          <t>Catalina Vásquez Zapata</t>
        </is>
      </c>
      <c r="C632" t="inlineStr">
        <is>
          <t>PRY-008</t>
        </is>
      </c>
      <c r="D632" t="inlineStr">
        <is>
          <t>Cuota inicial</t>
        </is>
      </c>
      <c r="E632" t="n">
        <v>33000000</v>
      </c>
      <c r="F632" t="n">
        <v>33000000</v>
      </c>
      <c r="G632">
        <f>E632-F632</f>
        <v/>
      </c>
      <c r="H632">
        <f>IF(E632&gt;0,F632/E632,0)</f>
        <v/>
      </c>
      <c r="I632" s="28" t="n">
        <v>46058</v>
      </c>
      <c r="J632" t="inlineStr">
        <is>
          <t>Pagado</t>
        </is>
      </c>
      <c r="K632" t="inlineStr">
        <is>
          <t>Andrés Torres</t>
        </is>
      </c>
    </row>
    <row r="633" ht="15.75" customHeight="1" s="25">
      <c r="A633" t="inlineStr">
        <is>
          <t>PAG-0631</t>
        </is>
      </c>
      <c r="B633" t="inlineStr">
        <is>
          <t>Catalina Vásquez Zapata</t>
        </is>
      </c>
      <c r="C633" t="inlineStr">
        <is>
          <t>PRY-008</t>
        </is>
      </c>
      <c r="D633" t="inlineStr">
        <is>
          <t>Escrituración</t>
        </is>
      </c>
      <c r="E633" t="n">
        <v>131000000</v>
      </c>
      <c r="F633" t="n">
        <v>131000000</v>
      </c>
      <c r="G633">
        <f>E633-F633</f>
        <v/>
      </c>
      <c r="H633">
        <f>IF(E633&gt;0,F633/E633,0)</f>
        <v/>
      </c>
      <c r="I633" s="28" t="n">
        <v>46118</v>
      </c>
      <c r="J633" t="inlineStr">
        <is>
          <t>Pagado</t>
        </is>
      </c>
      <c r="K633" t="inlineStr">
        <is>
          <t>Andrés Torres</t>
        </is>
      </c>
    </row>
    <row r="634" ht="15.75" customHeight="1" s="25">
      <c r="A634" t="inlineStr">
        <is>
          <t>PAG-0632</t>
        </is>
      </c>
      <c r="B634" t="inlineStr">
        <is>
          <t>Isabel Marín Zapata</t>
        </is>
      </c>
      <c r="C634" t="inlineStr">
        <is>
          <t>PRY-003</t>
        </is>
      </c>
      <c r="D634" t="inlineStr">
        <is>
          <t>Cuota inicial</t>
        </is>
      </c>
      <c r="E634" t="n">
        <v>101000000</v>
      </c>
      <c r="F634" t="n">
        <v>66000000</v>
      </c>
      <c r="G634">
        <f>E634-F634</f>
        <v/>
      </c>
      <c r="H634">
        <f>IF(E634&gt;0,F634/E634,0)</f>
        <v/>
      </c>
      <c r="I634" s="28" t="n">
        <v>46209</v>
      </c>
      <c r="J634" t="inlineStr">
        <is>
          <t>Al día</t>
        </is>
      </c>
      <c r="K634" t="inlineStr">
        <is>
          <t>Luis Bedoya</t>
        </is>
      </c>
    </row>
    <row r="635" ht="15.75" customHeight="1" s="25">
      <c r="A635" t="inlineStr">
        <is>
          <t>PAG-0633</t>
        </is>
      </c>
      <c r="B635" t="inlineStr">
        <is>
          <t>Andrés Álvarez Salazar</t>
        </is>
      </c>
      <c r="C635" t="inlineStr">
        <is>
          <t>PRY-003</t>
        </is>
      </c>
      <c r="D635" t="inlineStr">
        <is>
          <t>Cuota inicial</t>
        </is>
      </c>
      <c r="E635" t="n">
        <v>105000000</v>
      </c>
      <c r="F635" t="n">
        <v>68461538</v>
      </c>
      <c r="G635">
        <f>E635-F635</f>
        <v/>
      </c>
      <c r="H635">
        <f>IF(E635&gt;0,F635/E635,0)</f>
        <v/>
      </c>
      <c r="I635" s="28" t="n">
        <v>46211</v>
      </c>
      <c r="J635" t="inlineStr">
        <is>
          <t>Al día</t>
        </is>
      </c>
      <c r="K635" t="inlineStr">
        <is>
          <t>Juliana Vélez</t>
        </is>
      </c>
    </row>
    <row r="636" ht="15.75" customHeight="1" s="25">
      <c r="A636" t="inlineStr">
        <is>
          <t>PAG-0634</t>
        </is>
      </c>
      <c r="B636" t="inlineStr">
        <is>
          <t>David Toro Álvarez</t>
        </is>
      </c>
      <c r="C636" t="inlineStr">
        <is>
          <t>PRY-002</t>
        </is>
      </c>
      <c r="D636" t="inlineStr">
        <is>
          <t>Cuota inicial</t>
        </is>
      </c>
      <c r="E636" t="n">
        <v>243000000</v>
      </c>
      <c r="F636" t="n">
        <v>84560000</v>
      </c>
      <c r="G636">
        <f>E636-F636</f>
        <v/>
      </c>
      <c r="H636">
        <f>IF(E636&gt;0,F636/E636,0)</f>
        <v/>
      </c>
      <c r="I636" s="28" t="n">
        <v>46214</v>
      </c>
      <c r="J636" t="inlineStr">
        <is>
          <t>Al día</t>
        </is>
      </c>
      <c r="K636" t="inlineStr">
        <is>
          <t>Luis Bedoya</t>
        </is>
      </c>
    </row>
    <row r="637" ht="15.75" customHeight="1" s="25">
      <c r="A637" t="inlineStr">
        <is>
          <t>PAG-0635</t>
        </is>
      </c>
      <c r="B637" t="inlineStr">
        <is>
          <t>Patricia Vásquez Zapata</t>
        </is>
      </c>
      <c r="C637" t="inlineStr">
        <is>
          <t>PRY-007</t>
        </is>
      </c>
      <c r="D637" t="inlineStr">
        <is>
          <t>Cuota inicial</t>
        </is>
      </c>
      <c r="E637" t="n">
        <v>219000000</v>
      </c>
      <c r="F637" t="n">
        <v>86000000</v>
      </c>
      <c r="G637">
        <f>E637-F637</f>
        <v/>
      </c>
      <c r="H637">
        <f>IF(E637&gt;0,F637/E637,0)</f>
        <v/>
      </c>
      <c r="I637" s="28" t="n">
        <v>46214</v>
      </c>
      <c r="J637" t="inlineStr">
        <is>
          <t>Al día</t>
        </is>
      </c>
      <c r="K637" t="inlineStr">
        <is>
          <t>Luis Bedoya</t>
        </is>
      </c>
    </row>
    <row r="638" ht="15.75" customHeight="1" s="25">
      <c r="A638" t="inlineStr">
        <is>
          <t>PAG-0636</t>
        </is>
      </c>
      <c r="B638" t="inlineStr">
        <is>
          <t>Simón Vásquez Quintero</t>
        </is>
      </c>
      <c r="C638" t="inlineStr">
        <is>
          <t>PRY-003</t>
        </is>
      </c>
      <c r="D638" t="inlineStr">
        <is>
          <t>Cuota inicial</t>
        </is>
      </c>
      <c r="E638" t="n">
        <v>135000000</v>
      </c>
      <c r="F638" t="n">
        <v>86923077</v>
      </c>
      <c r="G638">
        <f>E638-F638</f>
        <v/>
      </c>
      <c r="H638">
        <f>IF(E638&gt;0,F638/E638,0)</f>
        <v/>
      </c>
      <c r="I638" s="28" t="n">
        <v>46214</v>
      </c>
      <c r="J638" t="inlineStr">
        <is>
          <t>Al día</t>
        </is>
      </c>
      <c r="K638" t="inlineStr">
        <is>
          <t>Luis Bedoya</t>
        </is>
      </c>
    </row>
    <row r="639" ht="15.75" customHeight="1" s="25">
      <c r="A639" t="inlineStr">
        <is>
          <t>PAG-0637</t>
        </is>
      </c>
      <c r="B639" t="inlineStr">
        <is>
          <t>María Álvarez López</t>
        </is>
      </c>
      <c r="C639" t="inlineStr">
        <is>
          <t>PRY-006</t>
        </is>
      </c>
      <c r="D639" t="inlineStr">
        <is>
          <t>Cuota inicial</t>
        </is>
      </c>
      <c r="E639" t="n">
        <v>179000000</v>
      </c>
      <c r="F639" t="n">
        <v>62000000</v>
      </c>
      <c r="G639">
        <f>E639-F639</f>
        <v/>
      </c>
      <c r="H639">
        <f>IF(E639&gt;0,F639/E639,0)</f>
        <v/>
      </c>
      <c r="I639" s="28" t="n">
        <v>46215</v>
      </c>
      <c r="J639" t="inlineStr">
        <is>
          <t>Al día</t>
        </is>
      </c>
      <c r="K639" t="inlineStr">
        <is>
          <t>Ana Quintero</t>
        </is>
      </c>
    </row>
    <row r="640" ht="15.75" customHeight="1" s="25">
      <c r="A640" t="inlineStr">
        <is>
          <t>PAG-0638</t>
        </is>
      </c>
      <c r="B640" t="inlineStr">
        <is>
          <t>Mauricio Toro Montoya</t>
        </is>
      </c>
      <c r="C640" t="inlineStr">
        <is>
          <t>PRY-002</t>
        </is>
      </c>
      <c r="D640" t="inlineStr">
        <is>
          <t>Cuota inicial</t>
        </is>
      </c>
      <c r="E640" t="n">
        <v>237000000</v>
      </c>
      <c r="F640" t="n">
        <v>82640000</v>
      </c>
      <c r="G640">
        <f>E640-F640</f>
        <v/>
      </c>
      <c r="H640">
        <f>IF(E640&gt;0,F640/E640,0)</f>
        <v/>
      </c>
      <c r="I640" s="28" t="n">
        <v>46217</v>
      </c>
      <c r="J640" t="inlineStr">
        <is>
          <t>Al día</t>
        </is>
      </c>
      <c r="K640" t="inlineStr">
        <is>
          <t>Mateo Herrera</t>
        </is>
      </c>
    </row>
    <row r="641" ht="15.75" customHeight="1" s="25">
      <c r="A641" t="inlineStr">
        <is>
          <t>PAG-0639</t>
        </is>
      </c>
      <c r="B641" t="inlineStr">
        <is>
          <t>Gabriel Gómez Osorio</t>
        </is>
      </c>
      <c r="C641" t="inlineStr">
        <is>
          <t>PRY-005</t>
        </is>
      </c>
      <c r="D641" t="inlineStr">
        <is>
          <t>Cuota inicial</t>
        </is>
      </c>
      <c r="E641" t="n">
        <v>143000000</v>
      </c>
      <c r="F641" t="n">
        <v>76500000</v>
      </c>
      <c r="G641">
        <f>E641-F641</f>
        <v/>
      </c>
      <c r="H641">
        <f>IF(E641&gt;0,F641/E641,0)</f>
        <v/>
      </c>
      <c r="I641" s="28" t="n">
        <v>46219</v>
      </c>
      <c r="J641" t="inlineStr">
        <is>
          <t>Al día</t>
        </is>
      </c>
      <c r="K641" t="inlineStr">
        <is>
          <t>Luis Bedoya</t>
        </is>
      </c>
    </row>
    <row r="642" ht="15.75" customHeight="1" s="25">
      <c r="A642" t="inlineStr">
        <is>
          <t>PAG-0640</t>
        </is>
      </c>
      <c r="B642" t="inlineStr">
        <is>
          <t>Fernando Álvarez Cano</t>
        </is>
      </c>
      <c r="C642" t="inlineStr">
        <is>
          <t>PRY-001</t>
        </is>
      </c>
      <c r="D642" t="inlineStr">
        <is>
          <t>Cuota inicial</t>
        </is>
      </c>
      <c r="E642" t="n">
        <v>198000000</v>
      </c>
      <c r="F642" t="n">
        <v>89157895</v>
      </c>
      <c r="G642">
        <f>E642-F642</f>
        <v/>
      </c>
      <c r="H642">
        <f>IF(E642&gt;0,F642/E642,0)</f>
        <v/>
      </c>
      <c r="I642" s="28" t="n">
        <v>46219</v>
      </c>
      <c r="J642" t="inlineStr">
        <is>
          <t>Al día</t>
        </is>
      </c>
      <c r="K642" t="inlineStr">
        <is>
          <t>Santiago Muñoz</t>
        </is>
      </c>
    </row>
    <row r="643" ht="15.75" customHeight="1" s="25">
      <c r="A643" t="inlineStr">
        <is>
          <t>PAG-0641</t>
        </is>
      </c>
      <c r="B643" t="inlineStr">
        <is>
          <t>Emilio Zuluaga Jaramillo</t>
        </is>
      </c>
      <c r="C643" t="inlineStr">
        <is>
          <t>PRY-003</t>
        </is>
      </c>
      <c r="D643" t="inlineStr">
        <is>
          <t>Cuota inicial</t>
        </is>
      </c>
      <c r="E643" t="n">
        <v>91000000</v>
      </c>
      <c r="F643" t="n">
        <v>59846154</v>
      </c>
      <c r="G643">
        <f>E643-F643</f>
        <v/>
      </c>
      <c r="H643">
        <f>IF(E643&gt;0,F643/E643,0)</f>
        <v/>
      </c>
      <c r="I643" s="28" t="n">
        <v>46221</v>
      </c>
      <c r="J643" t="inlineStr">
        <is>
          <t>Al día</t>
        </is>
      </c>
      <c r="K643" t="inlineStr">
        <is>
          <t>Mateo Herrera</t>
        </is>
      </c>
    </row>
    <row r="644" ht="15.75" customHeight="1" s="25">
      <c r="A644" t="inlineStr">
        <is>
          <t>PAG-0642</t>
        </is>
      </c>
      <c r="B644" t="inlineStr">
        <is>
          <t>Iván Valencia Salcedo</t>
        </is>
      </c>
      <c r="C644" t="inlineStr">
        <is>
          <t>PRY-003</t>
        </is>
      </c>
      <c r="D644" t="inlineStr">
        <is>
          <t>Cuota inicial</t>
        </is>
      </c>
      <c r="E644" t="n">
        <v>103000000</v>
      </c>
      <c r="F644" t="n">
        <v>67230769</v>
      </c>
      <c r="G644">
        <f>E644-F644</f>
        <v/>
      </c>
      <c r="H644">
        <f>IF(E644&gt;0,F644/E644,0)</f>
        <v/>
      </c>
      <c r="I644" s="28" t="n">
        <v>46221</v>
      </c>
      <c r="J644" t="inlineStr">
        <is>
          <t>Al día</t>
        </is>
      </c>
      <c r="K644" t="inlineStr">
        <is>
          <t>Daniela Ríos</t>
        </is>
      </c>
    </row>
    <row r="645" ht="15.75" customHeight="1" s="25">
      <c r="A645" t="inlineStr">
        <is>
          <t>PAG-0643</t>
        </is>
      </c>
      <c r="B645" t="inlineStr">
        <is>
          <t>Ricardo Cano Betancur</t>
        </is>
      </c>
      <c r="C645" t="inlineStr">
        <is>
          <t>PRY-001</t>
        </is>
      </c>
      <c r="D645" t="inlineStr">
        <is>
          <t>Cuota inicial</t>
        </is>
      </c>
      <c r="E645" t="n">
        <v>221000000</v>
      </c>
      <c r="F645" t="n">
        <v>98842105</v>
      </c>
      <c r="G645">
        <f>E645-F645</f>
        <v/>
      </c>
      <c r="H645">
        <f>IF(E645&gt;0,F645/E645,0)</f>
        <v/>
      </c>
      <c r="I645" s="28" t="n">
        <v>46222</v>
      </c>
      <c r="J645" t="inlineStr">
        <is>
          <t>Al día</t>
        </is>
      </c>
      <c r="K645" t="inlineStr">
        <is>
          <t>Luis Bedoya</t>
        </is>
      </c>
    </row>
    <row r="646" ht="15.75" customHeight="1" s="25">
      <c r="A646" t="inlineStr">
        <is>
          <t>PAG-0644</t>
        </is>
      </c>
      <c r="B646" t="inlineStr">
        <is>
          <t>Esteban Zuluaga Palacio</t>
        </is>
      </c>
      <c r="C646" t="inlineStr">
        <is>
          <t>PRY-008</t>
        </is>
      </c>
      <c r="D646" t="inlineStr">
        <is>
          <t>Cuota inicial</t>
        </is>
      </c>
      <c r="E646" t="n">
        <v>33000000</v>
      </c>
      <c r="F646" t="n">
        <v>33000000</v>
      </c>
      <c r="G646">
        <f>E646-F646</f>
        <v/>
      </c>
      <c r="H646">
        <f>IF(E646&gt;0,F646/E646,0)</f>
        <v/>
      </c>
      <c r="I646" s="28" t="n">
        <v>46072</v>
      </c>
      <c r="J646" t="inlineStr">
        <is>
          <t>Pagado</t>
        </is>
      </c>
      <c r="K646" t="inlineStr">
        <is>
          <t>Paula Arenas</t>
        </is>
      </c>
    </row>
    <row r="647" ht="15.75" customHeight="1" s="25">
      <c r="A647" t="inlineStr">
        <is>
          <t>PAG-0645</t>
        </is>
      </c>
      <c r="B647" t="inlineStr">
        <is>
          <t>Esteban Zuluaga Palacio</t>
        </is>
      </c>
      <c r="C647" t="inlineStr">
        <is>
          <t>PRY-008</t>
        </is>
      </c>
      <c r="D647" t="inlineStr">
        <is>
          <t>Escrituración</t>
        </is>
      </c>
      <c r="E647" t="n">
        <v>131000000</v>
      </c>
      <c r="F647" t="n">
        <v>131000000</v>
      </c>
      <c r="G647">
        <f>E647-F647</f>
        <v/>
      </c>
      <c r="H647">
        <f>IF(E647&gt;0,F647/E647,0)</f>
        <v/>
      </c>
      <c r="I647" s="28" t="n">
        <v>46123</v>
      </c>
      <c r="J647" t="inlineStr">
        <is>
          <t>Pagado</t>
        </is>
      </c>
      <c r="K647" t="inlineStr">
        <is>
          <t>Paula Arenas</t>
        </is>
      </c>
    </row>
    <row r="648" ht="15.75" customHeight="1" s="25">
      <c r="A648" t="inlineStr">
        <is>
          <t>PAG-0646</t>
        </is>
      </c>
      <c r="B648" t="inlineStr">
        <is>
          <t>Julián Ramírez Pérez</t>
        </is>
      </c>
      <c r="C648" t="inlineStr">
        <is>
          <t>PRY-005</t>
        </is>
      </c>
      <c r="D648" t="inlineStr">
        <is>
          <t>Cuota inicial</t>
        </is>
      </c>
      <c r="E648" t="n">
        <v>132000000</v>
      </c>
      <c r="F648" t="n">
        <v>71000000</v>
      </c>
      <c r="G648">
        <f>E648-F648</f>
        <v/>
      </c>
      <c r="H648">
        <f>IF(E648&gt;0,F648/E648,0)</f>
        <v/>
      </c>
      <c r="I648" s="28" t="n">
        <v>46224</v>
      </c>
      <c r="J648" t="inlineStr">
        <is>
          <t>Al día</t>
        </is>
      </c>
      <c r="K648" t="inlineStr">
        <is>
          <t>Sofía Prada</t>
        </is>
      </c>
    </row>
    <row r="649" ht="15.75" customHeight="1" s="25">
      <c r="A649" t="inlineStr">
        <is>
          <t>PAG-0647</t>
        </is>
      </c>
      <c r="B649" t="inlineStr">
        <is>
          <t>Rodrigo Jaramillo Salcedo</t>
        </is>
      </c>
      <c r="C649" t="inlineStr">
        <is>
          <t>PRY-006</t>
        </is>
      </c>
      <c r="D649" t="inlineStr">
        <is>
          <t>Cuota inicial</t>
        </is>
      </c>
      <c r="E649" t="n">
        <v>227000000</v>
      </c>
      <c r="F649" t="n">
        <v>76769231</v>
      </c>
      <c r="G649">
        <f>E649-F649</f>
        <v/>
      </c>
      <c r="H649">
        <f>IF(E649&gt;0,F649/E649,0)</f>
        <v/>
      </c>
      <c r="I649" s="28" t="n">
        <v>46227</v>
      </c>
      <c r="J649" t="inlineStr">
        <is>
          <t>Al día</t>
        </is>
      </c>
      <c r="K649" t="inlineStr">
        <is>
          <t>Santiago Muñoz</t>
        </is>
      </c>
    </row>
    <row r="650" ht="15.75" customHeight="1" s="25">
      <c r="A650" t="inlineStr">
        <is>
          <t>PAG-0648</t>
        </is>
      </c>
      <c r="B650" t="inlineStr">
        <is>
          <t>Daniel Gaviria Castaño</t>
        </is>
      </c>
      <c r="C650" t="inlineStr">
        <is>
          <t>PRY-005</t>
        </is>
      </c>
      <c r="D650" t="inlineStr">
        <is>
          <t>Cuota inicial</t>
        </is>
      </c>
      <c r="E650" t="n">
        <v>137000000</v>
      </c>
      <c r="F650" t="n">
        <v>73500000</v>
      </c>
      <c r="G650">
        <f>E650-F650</f>
        <v/>
      </c>
      <c r="H650">
        <f>IF(E650&gt;0,F650/E650,0)</f>
        <v/>
      </c>
      <c r="I650" s="28" t="n">
        <v>46228</v>
      </c>
      <c r="J650" t="inlineStr">
        <is>
          <t>Al día</t>
        </is>
      </c>
      <c r="K650" t="inlineStr">
        <is>
          <t>Andrés Torres</t>
        </is>
      </c>
    </row>
    <row r="651" ht="15.75" customHeight="1" s="25">
      <c r="A651" t="inlineStr">
        <is>
          <t>PAG-0649</t>
        </is>
      </c>
      <c r="B651" t="inlineStr">
        <is>
          <t>Liliana Espinosa Salazar</t>
        </is>
      </c>
      <c r="C651" t="inlineStr">
        <is>
          <t>PRY-001</t>
        </is>
      </c>
      <c r="D651" t="inlineStr">
        <is>
          <t>Cuota inicial</t>
        </is>
      </c>
      <c r="E651" t="n">
        <v>247000000</v>
      </c>
      <c r="F651" t="n">
        <v>59894737</v>
      </c>
      <c r="G651">
        <f>E651-F651</f>
        <v/>
      </c>
      <c r="H651">
        <f>IF(E651&gt;0,F651/E651,0)</f>
        <v/>
      </c>
      <c r="I651" s="28" t="n">
        <v>46107</v>
      </c>
      <c r="J651" t="inlineStr">
        <is>
          <t>En mora</t>
        </is>
      </c>
      <c r="K651" t="inlineStr">
        <is>
          <t>Miguel Salazar</t>
        </is>
      </c>
    </row>
    <row r="652" ht="15.75" customHeight="1" s="25">
      <c r="A652" t="inlineStr">
        <is>
          <t>PAG-0650</t>
        </is>
      </c>
      <c r="B652" t="inlineStr">
        <is>
          <t>Juliana Salazar Henao</t>
        </is>
      </c>
      <c r="C652" t="inlineStr">
        <is>
          <t>PRY-005</t>
        </is>
      </c>
      <c r="D652" t="inlineStr">
        <is>
          <t>Cuota inicial</t>
        </is>
      </c>
      <c r="E652" t="n">
        <v>143000000</v>
      </c>
      <c r="F652" t="n">
        <v>76500000</v>
      </c>
      <c r="G652">
        <f>E652-F652</f>
        <v/>
      </c>
      <c r="H652">
        <f>IF(E652&gt;0,F652/E652,0)</f>
        <v/>
      </c>
      <c r="I652" s="28" t="n">
        <v>46230</v>
      </c>
      <c r="J652" t="inlineStr">
        <is>
          <t>Al día</t>
        </is>
      </c>
      <c r="K652" t="inlineStr">
        <is>
          <t>Sofía Prada</t>
        </is>
      </c>
    </row>
    <row r="653" ht="15.75" customHeight="1" s="25">
      <c r="A653" t="inlineStr">
        <is>
          <t>PAG-0651</t>
        </is>
      </c>
      <c r="B653" t="inlineStr">
        <is>
          <t>Gloria Salcedo Salazar</t>
        </is>
      </c>
      <c r="C653" t="inlineStr">
        <is>
          <t>PRY-007</t>
        </is>
      </c>
      <c r="D653" t="inlineStr">
        <is>
          <t>Cuota inicial</t>
        </is>
      </c>
      <c r="E653" t="n">
        <v>205000000</v>
      </c>
      <c r="F653" t="n">
        <v>80909091</v>
      </c>
      <c r="G653">
        <f>E653-F653</f>
        <v/>
      </c>
      <c r="H653">
        <f>IF(E653&gt;0,F653/E653,0)</f>
        <v/>
      </c>
      <c r="I653" s="28" t="n">
        <v>46234</v>
      </c>
      <c r="J653" t="inlineStr">
        <is>
          <t>Al día</t>
        </is>
      </c>
      <c r="K653" t="inlineStr">
        <is>
          <t>Daniela Ríos</t>
        </is>
      </c>
    </row>
    <row r="654" ht="15.75" customHeight="1" s="25">
      <c r="A654" t="inlineStr">
        <is>
          <t>PAG-0652</t>
        </is>
      </c>
      <c r="B654" t="inlineStr">
        <is>
          <t>María Arango Franco</t>
        </is>
      </c>
      <c r="C654" t="inlineStr">
        <is>
          <t>PRY-008</t>
        </is>
      </c>
      <c r="D654" t="inlineStr">
        <is>
          <t>Cuota inicial</t>
        </is>
      </c>
      <c r="E654" t="n">
        <v>32000000</v>
      </c>
      <c r="F654" t="n">
        <v>32000000</v>
      </c>
      <c r="G654">
        <f>E654-F654</f>
        <v/>
      </c>
      <c r="H654">
        <f>IF(E654&gt;0,F654/E654,0)</f>
        <v/>
      </c>
      <c r="I654" s="28" t="n">
        <v>46054</v>
      </c>
      <c r="J654" t="inlineStr">
        <is>
          <t>Pagado</t>
        </is>
      </c>
      <c r="K654" t="inlineStr">
        <is>
          <t>Miguel Salazar</t>
        </is>
      </c>
    </row>
    <row r="655" ht="15.75" customHeight="1" s="25">
      <c r="A655" t="inlineStr">
        <is>
          <t>PAG-0653</t>
        </is>
      </c>
      <c r="B655" t="inlineStr">
        <is>
          <t>María Arango Franco</t>
        </is>
      </c>
      <c r="C655" t="inlineStr">
        <is>
          <t>PRY-008</t>
        </is>
      </c>
      <c r="D655" t="inlineStr">
        <is>
          <t>Escrituración</t>
        </is>
      </c>
      <c r="E655" t="n">
        <v>127000000</v>
      </c>
      <c r="F655" t="n">
        <v>127000000</v>
      </c>
      <c r="G655">
        <f>E655-F655</f>
        <v/>
      </c>
      <c r="H655">
        <f>IF(E655&gt;0,F655/E655,0)</f>
        <v/>
      </c>
      <c r="I655" s="28" t="n">
        <v>46184</v>
      </c>
      <c r="J655" t="inlineStr">
        <is>
          <t>Pagado</t>
        </is>
      </c>
      <c r="K655" t="inlineStr">
        <is>
          <t>Miguel Salazar</t>
        </is>
      </c>
    </row>
    <row r="656" ht="15.75" customHeight="1" s="25">
      <c r="A656" t="inlineStr">
        <is>
          <t>PAG-0654</t>
        </is>
      </c>
      <c r="B656" t="inlineStr">
        <is>
          <t>Daniela Arango Ochoa</t>
        </is>
      </c>
      <c r="C656" t="inlineStr">
        <is>
          <t>PRY-002</t>
        </is>
      </c>
      <c r="D656" t="inlineStr">
        <is>
          <t>Cuota inicial</t>
        </is>
      </c>
      <c r="E656" t="n">
        <v>252000000</v>
      </c>
      <c r="F656" t="n">
        <v>80583333</v>
      </c>
      <c r="G656">
        <f>E656-F656</f>
        <v/>
      </c>
      <c r="H656">
        <f>IF(E656&gt;0,F656/E656,0)</f>
        <v/>
      </c>
      <c r="I656" s="28" t="n">
        <v>46205</v>
      </c>
      <c r="J656" t="inlineStr">
        <is>
          <t>Al día</t>
        </is>
      </c>
      <c r="K656" t="inlineStr">
        <is>
          <t>Sofía Prada</t>
        </is>
      </c>
    </row>
    <row r="657" ht="15.75" customHeight="1" s="25">
      <c r="A657" t="inlineStr">
        <is>
          <t>PAG-0655</t>
        </is>
      </c>
      <c r="B657" t="inlineStr">
        <is>
          <t>Daniela Restrepo Uribe</t>
        </is>
      </c>
      <c r="C657" t="inlineStr">
        <is>
          <t>PRY-003</t>
        </is>
      </c>
      <c r="D657" t="inlineStr">
        <is>
          <t>Cuota inicial</t>
        </is>
      </c>
      <c r="E657" t="n">
        <v>130000000</v>
      </c>
      <c r="F657" t="n">
        <v>80000000</v>
      </c>
      <c r="G657">
        <f>E657-F657</f>
        <v/>
      </c>
      <c r="H657">
        <f>IF(E657&gt;0,F657/E657,0)</f>
        <v/>
      </c>
      <c r="I657" s="28" t="n">
        <v>46205</v>
      </c>
      <c r="J657" t="inlineStr">
        <is>
          <t>Al día</t>
        </is>
      </c>
      <c r="K657" t="inlineStr">
        <is>
          <t>Paula Arenas</t>
        </is>
      </c>
    </row>
    <row r="658" ht="15.75" customHeight="1" s="25">
      <c r="A658" t="inlineStr">
        <is>
          <t>PAG-0656</t>
        </is>
      </c>
      <c r="B658" t="inlineStr">
        <is>
          <t>Esteban Cano Palacio</t>
        </is>
      </c>
      <c r="C658" t="inlineStr">
        <is>
          <t>PRY-005</t>
        </is>
      </c>
      <c r="D658" t="inlineStr">
        <is>
          <t>Cuota inicial</t>
        </is>
      </c>
      <c r="E658" t="n">
        <v>131000000</v>
      </c>
      <c r="F658" t="n">
        <v>66466667</v>
      </c>
      <c r="G658">
        <f>E658-F658</f>
        <v/>
      </c>
      <c r="H658">
        <f>IF(E658&gt;0,F658/E658,0)</f>
        <v/>
      </c>
      <c r="I658" s="28" t="n">
        <v>46206</v>
      </c>
      <c r="J658" t="inlineStr">
        <is>
          <t>Al día</t>
        </is>
      </c>
      <c r="K658" t="inlineStr">
        <is>
          <t>Juliana Vélez</t>
        </is>
      </c>
    </row>
    <row r="659" ht="15.75" customHeight="1" s="25">
      <c r="A659" t="inlineStr">
        <is>
          <t>PAG-0657</t>
        </is>
      </c>
      <c r="B659" t="inlineStr">
        <is>
          <t>Iván Restrepo Henao</t>
        </is>
      </c>
      <c r="C659" t="inlineStr">
        <is>
          <t>PRY-005</t>
        </is>
      </c>
      <c r="D659" t="inlineStr">
        <is>
          <t>Cuota inicial</t>
        </is>
      </c>
      <c r="E659" t="n">
        <v>110000000</v>
      </c>
      <c r="F659" t="n">
        <v>56666667</v>
      </c>
      <c r="G659">
        <f>E659-F659</f>
        <v/>
      </c>
      <c r="H659">
        <f>IF(E659&gt;0,F659/E659,0)</f>
        <v/>
      </c>
      <c r="I659" s="28" t="n">
        <v>46207</v>
      </c>
      <c r="J659" t="inlineStr">
        <is>
          <t>Al día</t>
        </is>
      </c>
      <c r="K659" t="inlineStr">
        <is>
          <t>Andrés Torres</t>
        </is>
      </c>
    </row>
    <row r="660" ht="15.75" customHeight="1" s="25">
      <c r="A660" t="inlineStr">
        <is>
          <t>PAG-0658</t>
        </is>
      </c>
      <c r="B660" t="inlineStr">
        <is>
          <t>Liliana Marín Henao</t>
        </is>
      </c>
      <c r="C660" t="inlineStr">
        <is>
          <t>PRY-003</t>
        </is>
      </c>
      <c r="D660" t="inlineStr">
        <is>
          <t>Cuota inicial</t>
        </is>
      </c>
      <c r="E660" t="n">
        <v>113000000</v>
      </c>
      <c r="F660" t="n">
        <v>70083333</v>
      </c>
      <c r="G660">
        <f>E660-F660</f>
        <v/>
      </c>
      <c r="H660">
        <f>IF(E660&gt;0,F660/E660,0)</f>
        <v/>
      </c>
      <c r="I660" s="28" t="n">
        <v>46207</v>
      </c>
      <c r="J660" t="inlineStr">
        <is>
          <t>Al día</t>
        </is>
      </c>
      <c r="K660" t="inlineStr">
        <is>
          <t>Sofía Prada</t>
        </is>
      </c>
    </row>
    <row r="661" ht="15.75" customHeight="1" s="25">
      <c r="A661" t="inlineStr">
        <is>
          <t>PAG-0659</t>
        </is>
      </c>
      <c r="B661" t="inlineStr">
        <is>
          <t>Juan Pablo Quintero Ríos</t>
        </is>
      </c>
      <c r="C661" t="inlineStr">
        <is>
          <t>PRY-003</t>
        </is>
      </c>
      <c r="D661" t="inlineStr">
        <is>
          <t>Cuota inicial</t>
        </is>
      </c>
      <c r="E661" t="n">
        <v>127000000</v>
      </c>
      <c r="F661" t="n">
        <v>78250000</v>
      </c>
      <c r="G661">
        <f>E661-F661</f>
        <v/>
      </c>
      <c r="H661">
        <f>IF(E661&gt;0,F661/E661,0)</f>
        <v/>
      </c>
      <c r="I661" s="28" t="n">
        <v>46208</v>
      </c>
      <c r="J661" t="inlineStr">
        <is>
          <t>Al día</t>
        </is>
      </c>
      <c r="K661" t="inlineStr">
        <is>
          <t>Sofía Prada</t>
        </is>
      </c>
    </row>
    <row r="662" ht="15.75" customHeight="1" s="25">
      <c r="A662" t="inlineStr">
        <is>
          <t>PAG-0660</t>
        </is>
      </c>
      <c r="B662" t="inlineStr">
        <is>
          <t>Iván Giraldo Vélez</t>
        </is>
      </c>
      <c r="C662" t="inlineStr">
        <is>
          <t>PRY-006</t>
        </is>
      </c>
      <c r="D662" t="inlineStr">
        <is>
          <t>Cuota inicial</t>
        </is>
      </c>
      <c r="E662" t="n">
        <v>152000000</v>
      </c>
      <c r="F662" t="n">
        <v>49760000</v>
      </c>
      <c r="G662">
        <f>E662-F662</f>
        <v/>
      </c>
      <c r="H662">
        <f>IF(E662&gt;0,F662/E662,0)</f>
        <v/>
      </c>
      <c r="I662" s="28" t="n">
        <v>46210</v>
      </c>
      <c r="J662" t="inlineStr">
        <is>
          <t>Al día</t>
        </is>
      </c>
      <c r="K662" t="inlineStr">
        <is>
          <t>Sofía Prada</t>
        </is>
      </c>
    </row>
    <row r="663" ht="15.75" customHeight="1" s="25">
      <c r="A663" t="inlineStr">
        <is>
          <t>PAG-0661</t>
        </is>
      </c>
      <c r="B663" t="inlineStr">
        <is>
          <t>Manuela Mejía Montoya</t>
        </is>
      </c>
      <c r="C663" t="inlineStr">
        <is>
          <t>PRY-006</t>
        </is>
      </c>
      <c r="D663" t="inlineStr">
        <is>
          <t>Cuota inicial</t>
        </is>
      </c>
      <c r="E663" t="n">
        <v>160000000</v>
      </c>
      <c r="F663" t="n">
        <v>52000000</v>
      </c>
      <c r="G663">
        <f>E663-F663</f>
        <v/>
      </c>
      <c r="H663">
        <f>IF(E663&gt;0,F663/E663,0)</f>
        <v/>
      </c>
      <c r="I663" s="28" t="n">
        <v>46211</v>
      </c>
      <c r="J663" t="inlineStr">
        <is>
          <t>Al día</t>
        </is>
      </c>
      <c r="K663" t="inlineStr">
        <is>
          <t>Mateo Herrera</t>
        </is>
      </c>
    </row>
    <row r="664" ht="15.75" customHeight="1" s="25">
      <c r="A664" t="inlineStr">
        <is>
          <t>PAG-0662</t>
        </is>
      </c>
      <c r="B664" t="inlineStr">
        <is>
          <t>Sandra Ramírez Ríos</t>
        </is>
      </c>
      <c r="C664" t="inlineStr">
        <is>
          <t>PRY-007</t>
        </is>
      </c>
      <c r="D664" t="inlineStr">
        <is>
          <t>Cuota inicial</t>
        </is>
      </c>
      <c r="E664" t="n">
        <v>191000000</v>
      </c>
      <c r="F664" t="n">
        <v>70333333</v>
      </c>
      <c r="G664">
        <f>E664-F664</f>
        <v/>
      </c>
      <c r="H664">
        <f>IF(E664&gt;0,F664/E664,0)</f>
        <v/>
      </c>
      <c r="I664" s="28" t="n">
        <v>46213</v>
      </c>
      <c r="J664" t="inlineStr">
        <is>
          <t>Al día</t>
        </is>
      </c>
      <c r="K664" t="inlineStr">
        <is>
          <t>Mateo Herrera</t>
        </is>
      </c>
    </row>
    <row r="665" ht="15.75" customHeight="1" s="25">
      <c r="A665" t="inlineStr">
        <is>
          <t>PAG-0663</t>
        </is>
      </c>
      <c r="B665" t="inlineStr">
        <is>
          <t>Lorena Bedoya Peláez</t>
        </is>
      </c>
      <c r="C665" t="inlineStr">
        <is>
          <t>PRY-003</t>
        </is>
      </c>
      <c r="D665" t="inlineStr">
        <is>
          <t>Cuota inicial</t>
        </is>
      </c>
      <c r="E665" t="n">
        <v>137000000</v>
      </c>
      <c r="F665" t="n">
        <v>84083333</v>
      </c>
      <c r="G665">
        <f>E665-F665</f>
        <v/>
      </c>
      <c r="H665">
        <f>IF(E665&gt;0,F665/E665,0)</f>
        <v/>
      </c>
      <c r="I665" s="28" t="n">
        <v>46214</v>
      </c>
      <c r="J665" t="inlineStr">
        <is>
          <t>Al día</t>
        </is>
      </c>
      <c r="K665" t="inlineStr">
        <is>
          <t>Miguel Salazar</t>
        </is>
      </c>
    </row>
    <row r="666" ht="15.75" customHeight="1" s="25">
      <c r="A666" t="inlineStr">
        <is>
          <t>PAG-0664</t>
        </is>
      </c>
      <c r="B666" t="inlineStr">
        <is>
          <t>Cristian Salcedo Ochoa</t>
        </is>
      </c>
      <c r="C666" t="inlineStr">
        <is>
          <t>PRY-008</t>
        </is>
      </c>
      <c r="D666" t="inlineStr">
        <is>
          <t>Cuota inicial</t>
        </is>
      </c>
      <c r="E666" t="n">
        <v>28000000</v>
      </c>
      <c r="F666" t="n">
        <v>28000000</v>
      </c>
      <c r="G666">
        <f>E666-F666</f>
        <v/>
      </c>
      <c r="H666">
        <f>IF(E666&gt;0,F666/E666,0)</f>
        <v/>
      </c>
      <c r="I666" s="28" t="n">
        <v>46064</v>
      </c>
      <c r="J666" t="inlineStr">
        <is>
          <t>Pagado</t>
        </is>
      </c>
      <c r="K666" t="inlineStr">
        <is>
          <t>Juliana Vélez</t>
        </is>
      </c>
    </row>
    <row r="667" ht="15.75" customHeight="1" s="25">
      <c r="A667" t="inlineStr">
        <is>
          <t>PAG-0665</t>
        </is>
      </c>
      <c r="B667" t="inlineStr">
        <is>
          <t>Cristian Salcedo Ochoa</t>
        </is>
      </c>
      <c r="C667" t="inlineStr">
        <is>
          <t>PRY-008</t>
        </is>
      </c>
      <c r="D667" t="inlineStr">
        <is>
          <t>Escrituración</t>
        </is>
      </c>
      <c r="E667" t="n">
        <v>112000000</v>
      </c>
      <c r="F667" t="n">
        <v>112000000</v>
      </c>
      <c r="G667">
        <f>E667-F667</f>
        <v/>
      </c>
      <c r="H667">
        <f>IF(E667&gt;0,F667/E667,0)</f>
        <v/>
      </c>
      <c r="I667" s="28" t="n">
        <v>46131</v>
      </c>
      <c r="J667" t="inlineStr">
        <is>
          <t>Pagado</t>
        </is>
      </c>
      <c r="K667" t="inlineStr">
        <is>
          <t>Juliana Vélez</t>
        </is>
      </c>
    </row>
    <row r="668" ht="15.75" customHeight="1" s="25">
      <c r="A668" t="inlineStr">
        <is>
          <t>PAG-0666</t>
        </is>
      </c>
      <c r="B668" t="inlineStr">
        <is>
          <t>Sandra Ramírez Cano</t>
        </is>
      </c>
      <c r="C668" t="inlineStr">
        <is>
          <t>PRY-005</t>
        </is>
      </c>
      <c r="D668" t="inlineStr">
        <is>
          <t>Cuota inicial</t>
        </is>
      </c>
      <c r="E668" t="n">
        <v>134000000</v>
      </c>
      <c r="F668" t="n">
        <v>67866667</v>
      </c>
      <c r="G668">
        <f>E668-F668</f>
        <v/>
      </c>
      <c r="H668">
        <f>IF(E668&gt;0,F668/E668,0)</f>
        <v/>
      </c>
      <c r="I668" s="28" t="n">
        <v>46215</v>
      </c>
      <c r="J668" t="inlineStr">
        <is>
          <t>Al día</t>
        </is>
      </c>
      <c r="K668" t="inlineStr">
        <is>
          <t>Miguel Salazar</t>
        </is>
      </c>
    </row>
    <row r="669" ht="15.75" customHeight="1" s="25">
      <c r="A669" t="inlineStr">
        <is>
          <t>PAG-0667</t>
        </is>
      </c>
      <c r="B669" t="inlineStr">
        <is>
          <t>Valeria Bedoya Marín</t>
        </is>
      </c>
      <c r="C669" t="inlineStr">
        <is>
          <t>PRY-001</t>
        </is>
      </c>
      <c r="D669" t="inlineStr">
        <is>
          <t>Cuota inicial</t>
        </is>
      </c>
      <c r="E669" t="n">
        <v>260000000</v>
      </c>
      <c r="F669" t="n">
        <v>107222222</v>
      </c>
      <c r="G669">
        <f>E669-F669</f>
        <v/>
      </c>
      <c r="H669">
        <f>IF(E669&gt;0,F669/E669,0)</f>
        <v/>
      </c>
      <c r="I669" s="28" t="n">
        <v>46215</v>
      </c>
      <c r="J669" t="inlineStr">
        <is>
          <t>Al día</t>
        </is>
      </c>
      <c r="K669" t="inlineStr">
        <is>
          <t>Sofía Prada</t>
        </is>
      </c>
    </row>
    <row r="670" ht="15.75" customHeight="1" s="25">
      <c r="A670" t="inlineStr">
        <is>
          <t>PAG-0668</t>
        </is>
      </c>
      <c r="B670" t="inlineStr">
        <is>
          <t>Cristian Henao Jaramillo</t>
        </is>
      </c>
      <c r="C670" t="inlineStr">
        <is>
          <t>PRY-001</t>
        </is>
      </c>
      <c r="D670" t="inlineStr">
        <is>
          <t>Cuota inicial</t>
        </is>
      </c>
      <c r="E670" t="n">
        <v>220000000</v>
      </c>
      <c r="F670" t="n">
        <v>68333333</v>
      </c>
      <c r="G670">
        <f>E670-F670</f>
        <v/>
      </c>
      <c r="H670">
        <f>IF(E670&gt;0,F670/E670,0)</f>
        <v/>
      </c>
      <c r="I670" s="28" t="n">
        <v>46156</v>
      </c>
      <c r="J670" t="inlineStr">
        <is>
          <t>En mora</t>
        </is>
      </c>
      <c r="K670" t="inlineStr">
        <is>
          <t>Ana Quintero</t>
        </is>
      </c>
    </row>
    <row r="671" ht="15.75" customHeight="1" s="25">
      <c r="A671" t="inlineStr">
        <is>
          <t>PAG-0669</t>
        </is>
      </c>
      <c r="B671" t="inlineStr">
        <is>
          <t>Tomás Rojas Higuita</t>
        </is>
      </c>
      <c r="C671" t="inlineStr">
        <is>
          <t>PRY-007</t>
        </is>
      </c>
      <c r="D671" t="inlineStr">
        <is>
          <t>Cuota inicial</t>
        </is>
      </c>
      <c r="E671" t="n">
        <v>213000000</v>
      </c>
      <c r="F671" t="n">
        <v>77666667</v>
      </c>
      <c r="G671">
        <f>E671-F671</f>
        <v/>
      </c>
      <c r="H671">
        <f>IF(E671&gt;0,F671/E671,0)</f>
        <v/>
      </c>
      <c r="I671" s="28" t="n">
        <v>46218</v>
      </c>
      <c r="J671" t="inlineStr">
        <is>
          <t>Al día</t>
        </is>
      </c>
      <c r="K671" t="inlineStr">
        <is>
          <t>Juliana Vélez</t>
        </is>
      </c>
    </row>
    <row r="672" ht="15.75" customHeight="1" s="25">
      <c r="A672" t="inlineStr">
        <is>
          <t>PAG-0670</t>
        </is>
      </c>
      <c r="B672" t="inlineStr">
        <is>
          <t>Carlos Peláez Castaño</t>
        </is>
      </c>
      <c r="C672" t="inlineStr">
        <is>
          <t>PRY-001</t>
        </is>
      </c>
      <c r="D672" t="inlineStr">
        <is>
          <t>Cuota inicial</t>
        </is>
      </c>
      <c r="E672" t="n">
        <v>198000000</v>
      </c>
      <c r="F672" t="n">
        <v>83111111</v>
      </c>
      <c r="G672">
        <f>E672-F672</f>
        <v/>
      </c>
      <c r="H672">
        <f>IF(E672&gt;0,F672/E672,0)</f>
        <v/>
      </c>
      <c r="I672" s="28" t="n">
        <v>46220</v>
      </c>
      <c r="J672" t="inlineStr">
        <is>
          <t>Al día</t>
        </is>
      </c>
      <c r="K672" t="inlineStr">
        <is>
          <t>Luis Bedoya</t>
        </is>
      </c>
    </row>
    <row r="673" ht="15.75" customHeight="1" s="25">
      <c r="A673" t="inlineStr">
        <is>
          <t>PAG-0671</t>
        </is>
      </c>
      <c r="B673" t="inlineStr">
        <is>
          <t>Gabriel Vélez Toro</t>
        </is>
      </c>
      <c r="C673" t="inlineStr">
        <is>
          <t>PRY-002</t>
        </is>
      </c>
      <c r="D673" t="inlineStr">
        <is>
          <t>Cuota inicial</t>
        </is>
      </c>
      <c r="E673" t="n">
        <v>250000000</v>
      </c>
      <c r="F673" t="n">
        <v>80000000</v>
      </c>
      <c r="G673">
        <f>E673-F673</f>
        <v/>
      </c>
      <c r="H673">
        <f>IF(E673&gt;0,F673/E673,0)</f>
        <v/>
      </c>
      <c r="I673" s="28" t="n">
        <v>46220</v>
      </c>
      <c r="J673" t="inlineStr">
        <is>
          <t>Al día</t>
        </is>
      </c>
      <c r="K673" t="inlineStr">
        <is>
          <t>Ana Quintero</t>
        </is>
      </c>
    </row>
    <row r="674" ht="15.75" customHeight="1" s="25">
      <c r="A674" t="inlineStr">
        <is>
          <t>PAG-0672</t>
        </is>
      </c>
      <c r="B674" t="inlineStr">
        <is>
          <t>Tomás Zuluaga Restrepo</t>
        </is>
      </c>
      <c r="C674" t="inlineStr">
        <is>
          <t>PRY-003</t>
        </is>
      </c>
      <c r="D674" t="inlineStr">
        <is>
          <t>Cuota inicial</t>
        </is>
      </c>
      <c r="E674" t="n">
        <v>128000000</v>
      </c>
      <c r="F674" t="n">
        <v>78833333</v>
      </c>
      <c r="G674">
        <f>E674-F674</f>
        <v/>
      </c>
      <c r="H674">
        <f>IF(E674&gt;0,F674/E674,0)</f>
        <v/>
      </c>
      <c r="I674" s="28" t="n">
        <v>46220</v>
      </c>
      <c r="J674" t="inlineStr">
        <is>
          <t>Al día</t>
        </is>
      </c>
      <c r="K674" t="inlineStr">
        <is>
          <t>Paula Arenas</t>
        </is>
      </c>
    </row>
    <row r="675" ht="15.75" customHeight="1" s="25">
      <c r="A675" t="inlineStr">
        <is>
          <t>PAG-0673</t>
        </is>
      </c>
      <c r="B675" t="inlineStr">
        <is>
          <t>Gloria Castaño Mejía</t>
        </is>
      </c>
      <c r="C675" t="inlineStr">
        <is>
          <t>PRY-003</t>
        </is>
      </c>
      <c r="D675" t="inlineStr">
        <is>
          <t>Cuota inicial</t>
        </is>
      </c>
      <c r="E675" t="n">
        <v>134000000</v>
      </c>
      <c r="F675" t="n">
        <v>82333333</v>
      </c>
      <c r="G675">
        <f>E675-F675</f>
        <v/>
      </c>
      <c r="H675">
        <f>IF(E675&gt;0,F675/E675,0)</f>
        <v/>
      </c>
      <c r="I675" s="28" t="n">
        <v>46222</v>
      </c>
      <c r="J675" t="inlineStr">
        <is>
          <t>Al día</t>
        </is>
      </c>
      <c r="K675" t="inlineStr">
        <is>
          <t>Mateo Herrera</t>
        </is>
      </c>
    </row>
    <row r="676" ht="15.75" customHeight="1" s="25">
      <c r="A676" t="inlineStr">
        <is>
          <t>PAG-0674</t>
        </is>
      </c>
      <c r="B676" t="inlineStr">
        <is>
          <t>Camila Castaño Cardona</t>
        </is>
      </c>
      <c r="C676" t="inlineStr">
        <is>
          <t>PRY-005</t>
        </is>
      </c>
      <c r="D676" t="inlineStr">
        <is>
          <t>Cuota inicial</t>
        </is>
      </c>
      <c r="E676" t="n">
        <v>120000000</v>
      </c>
      <c r="F676" t="n">
        <v>61333333</v>
      </c>
      <c r="G676">
        <f>E676-F676</f>
        <v/>
      </c>
      <c r="H676">
        <f>IF(E676&gt;0,F676/E676,0)</f>
        <v/>
      </c>
      <c r="I676" s="28" t="n">
        <v>46223</v>
      </c>
      <c r="J676" t="inlineStr">
        <is>
          <t>Al día</t>
        </is>
      </c>
      <c r="K676" t="inlineStr">
        <is>
          <t>Andrés Torres</t>
        </is>
      </c>
    </row>
    <row r="677" ht="15.75" customHeight="1" s="25">
      <c r="A677" t="inlineStr">
        <is>
          <t>PAG-0675</t>
        </is>
      </c>
      <c r="B677" t="inlineStr">
        <is>
          <t>Gloria Osorio Cano</t>
        </is>
      </c>
      <c r="C677" t="inlineStr">
        <is>
          <t>PRY-003</t>
        </is>
      </c>
      <c r="D677" t="inlineStr">
        <is>
          <t>Cuota inicial</t>
        </is>
      </c>
      <c r="E677" t="n">
        <v>112000000</v>
      </c>
      <c r="F677" t="n">
        <v>69500000</v>
      </c>
      <c r="G677">
        <f>E677-F677</f>
        <v/>
      </c>
      <c r="H677">
        <f>IF(E677&gt;0,F677/E677,0)</f>
        <v/>
      </c>
      <c r="I677" s="28" t="n">
        <v>46224</v>
      </c>
      <c r="J677" t="inlineStr">
        <is>
          <t>Al día</t>
        </is>
      </c>
      <c r="K677" t="inlineStr">
        <is>
          <t>Andrés Torres</t>
        </is>
      </c>
    </row>
    <row r="678" ht="15.75" customHeight="1" s="25">
      <c r="A678" t="inlineStr">
        <is>
          <t>PAG-0676</t>
        </is>
      </c>
      <c r="B678" t="inlineStr">
        <is>
          <t>Rodrigo Betancur Pérez</t>
        </is>
      </c>
      <c r="C678" t="inlineStr">
        <is>
          <t>PRY-005</t>
        </is>
      </c>
      <c r="D678" t="inlineStr">
        <is>
          <t>Cuota inicial</t>
        </is>
      </c>
      <c r="E678" t="n">
        <v>140000000</v>
      </c>
      <c r="F678" t="n">
        <v>70666667</v>
      </c>
      <c r="G678">
        <f>E678-F678</f>
        <v/>
      </c>
      <c r="H678">
        <f>IF(E678&gt;0,F678/E678,0)</f>
        <v/>
      </c>
      <c r="I678" s="28" t="n">
        <v>46226</v>
      </c>
      <c r="J678" t="inlineStr">
        <is>
          <t>Al día</t>
        </is>
      </c>
      <c r="K678" t="inlineStr">
        <is>
          <t>Luis Bedoya</t>
        </is>
      </c>
    </row>
    <row r="679" ht="15.75" customHeight="1" s="25">
      <c r="A679" t="inlineStr">
        <is>
          <t>PAG-0677</t>
        </is>
      </c>
      <c r="B679" t="inlineStr">
        <is>
          <t>Natalia Ríos Uribe</t>
        </is>
      </c>
      <c r="C679" t="inlineStr">
        <is>
          <t>PRY-001</t>
        </is>
      </c>
      <c r="D679" t="inlineStr">
        <is>
          <t>Cuota inicial</t>
        </is>
      </c>
      <c r="E679" t="n">
        <v>253000000</v>
      </c>
      <c r="F679" t="n">
        <v>104500000</v>
      </c>
      <c r="G679">
        <f>E679-F679</f>
        <v/>
      </c>
      <c r="H679">
        <f>IF(E679&gt;0,F679/E679,0)</f>
        <v/>
      </c>
      <c r="I679" s="28" t="n">
        <v>46227</v>
      </c>
      <c r="J679" t="inlineStr">
        <is>
          <t>Al día</t>
        </is>
      </c>
      <c r="K679" t="inlineStr">
        <is>
          <t>Juliana Vélez</t>
        </is>
      </c>
    </row>
    <row r="680" ht="15.75" customHeight="1" s="25">
      <c r="A680" t="inlineStr">
        <is>
          <t>PAG-0678</t>
        </is>
      </c>
      <c r="B680" t="inlineStr">
        <is>
          <t>Nicolás Restrepo Salazar</t>
        </is>
      </c>
      <c r="C680" t="inlineStr">
        <is>
          <t>PRY-007</t>
        </is>
      </c>
      <c r="D680" t="inlineStr">
        <is>
          <t>Cuota inicial</t>
        </is>
      </c>
      <c r="E680" t="n">
        <v>212000000</v>
      </c>
      <c r="F680" t="n">
        <v>77333333</v>
      </c>
      <c r="G680">
        <f>E680-F680</f>
        <v/>
      </c>
      <c r="H680">
        <f>IF(E680&gt;0,F680/E680,0)</f>
        <v/>
      </c>
      <c r="I680" s="28" t="n">
        <v>46228</v>
      </c>
      <c r="J680" t="inlineStr">
        <is>
          <t>Al día</t>
        </is>
      </c>
      <c r="K680" t="inlineStr">
        <is>
          <t>Juliana Vélez</t>
        </is>
      </c>
    </row>
    <row r="681" ht="15.75" customHeight="1" s="25">
      <c r="A681" t="inlineStr">
        <is>
          <t>PAG-0679</t>
        </is>
      </c>
      <c r="B681" t="inlineStr">
        <is>
          <t>Nicolás Ochoa Hernández</t>
        </is>
      </c>
      <c r="C681" t="inlineStr">
        <is>
          <t>PRY-008</t>
        </is>
      </c>
      <c r="D681" t="inlineStr">
        <is>
          <t>Cuota inicial</t>
        </is>
      </c>
      <c r="E681" t="n">
        <v>30000000</v>
      </c>
      <c r="F681" t="n">
        <v>30000000</v>
      </c>
      <c r="G681">
        <f>E681-F681</f>
        <v/>
      </c>
      <c r="H681">
        <f>IF(E681&gt;0,F681/E681,0)</f>
        <v/>
      </c>
      <c r="I681" s="28" t="n">
        <v>46078</v>
      </c>
      <c r="J681" t="inlineStr">
        <is>
          <t>Pagado</t>
        </is>
      </c>
      <c r="K681" t="inlineStr">
        <is>
          <t>Sofía Prada</t>
        </is>
      </c>
    </row>
    <row r="682" ht="15.75" customHeight="1" s="25">
      <c r="A682" t="inlineStr">
        <is>
          <t>PAG-0680</t>
        </is>
      </c>
      <c r="B682" t="inlineStr">
        <is>
          <t>Nicolás Ochoa Hernández</t>
        </is>
      </c>
      <c r="C682" t="inlineStr">
        <is>
          <t>PRY-008</t>
        </is>
      </c>
      <c r="D682" t="inlineStr">
        <is>
          <t>Escrituración</t>
        </is>
      </c>
      <c r="E682" t="n">
        <v>122000000</v>
      </c>
      <c r="F682" t="n">
        <v>122000000</v>
      </c>
      <c r="G682">
        <f>E682-F682</f>
        <v/>
      </c>
      <c r="H682">
        <f>IF(E682&gt;0,F682/E682,0)</f>
        <v/>
      </c>
      <c r="I682" s="28" t="n">
        <v>46155</v>
      </c>
      <c r="J682" t="inlineStr">
        <is>
          <t>Pagado</t>
        </is>
      </c>
      <c r="K682" t="inlineStr">
        <is>
          <t>Sofía Prada</t>
        </is>
      </c>
    </row>
    <row r="683" ht="15.75" customHeight="1" s="25">
      <c r="A683" t="inlineStr">
        <is>
          <t>PAG-0681</t>
        </is>
      </c>
      <c r="B683" t="inlineStr">
        <is>
          <t>Catalina Betancur Zuluaga</t>
        </is>
      </c>
      <c r="C683" t="inlineStr">
        <is>
          <t>PRY-008</t>
        </is>
      </c>
      <c r="D683" t="inlineStr">
        <is>
          <t>Cuota inicial</t>
        </is>
      </c>
      <c r="E683" t="n">
        <v>32000000</v>
      </c>
      <c r="F683" t="n">
        <v>32000000</v>
      </c>
      <c r="G683">
        <f>E683-F683</f>
        <v/>
      </c>
      <c r="H683">
        <f>IF(E683&gt;0,F683/E683,0)</f>
        <v/>
      </c>
      <c r="I683" s="28" t="n">
        <v>46081</v>
      </c>
      <c r="J683" t="inlineStr">
        <is>
          <t>Pagado</t>
        </is>
      </c>
      <c r="K683" t="inlineStr">
        <is>
          <t>Mateo Herrera</t>
        </is>
      </c>
    </row>
    <row r="684" ht="15.75" customHeight="1" s="25">
      <c r="A684" t="inlineStr">
        <is>
          <t>PAG-0682</t>
        </is>
      </c>
      <c r="B684" t="inlineStr">
        <is>
          <t>Catalina Betancur Zuluaga</t>
        </is>
      </c>
      <c r="C684" t="inlineStr">
        <is>
          <t>PRY-008</t>
        </is>
      </c>
      <c r="D684" t="inlineStr">
        <is>
          <t>Escrituración</t>
        </is>
      </c>
      <c r="E684" t="n">
        <v>130000000</v>
      </c>
      <c r="F684" t="n">
        <v>130000000</v>
      </c>
      <c r="G684">
        <f>E684-F684</f>
        <v/>
      </c>
      <c r="H684">
        <f>IF(E684&gt;0,F684/E684,0)</f>
        <v/>
      </c>
      <c r="I684" s="28" t="n">
        <v>46119</v>
      </c>
      <c r="J684" t="inlineStr">
        <is>
          <t>Pagado</t>
        </is>
      </c>
      <c r="K684" t="inlineStr">
        <is>
          <t>Mateo Herrera</t>
        </is>
      </c>
    </row>
    <row r="685" ht="15.75" customHeight="1" s="25">
      <c r="A685" t="inlineStr">
        <is>
          <t>PAG-0683</t>
        </is>
      </c>
      <c r="B685" t="inlineStr">
        <is>
          <t>Camila Osorio Valencia</t>
        </is>
      </c>
      <c r="C685" t="inlineStr">
        <is>
          <t>PRY-005</t>
        </is>
      </c>
      <c r="D685" t="inlineStr">
        <is>
          <t>Cuota inicial</t>
        </is>
      </c>
      <c r="E685" t="n">
        <v>117000000</v>
      </c>
      <c r="F685" t="n">
        <v>55857143</v>
      </c>
      <c r="G685">
        <f>E685-F685</f>
        <v/>
      </c>
      <c r="H685">
        <f>IF(E685&gt;0,F685/E685,0)</f>
        <v/>
      </c>
      <c r="I685" s="28" t="n">
        <v>46204</v>
      </c>
      <c r="J685" t="inlineStr">
        <is>
          <t>Al día</t>
        </is>
      </c>
      <c r="K685" t="inlineStr">
        <is>
          <t>Paula Arenas</t>
        </is>
      </c>
    </row>
    <row r="686" ht="15.75" customHeight="1" s="25">
      <c r="A686" t="inlineStr">
        <is>
          <t>PAG-0684</t>
        </is>
      </c>
      <c r="B686" t="inlineStr">
        <is>
          <t>Luisa Rojas Jaramillo</t>
        </is>
      </c>
      <c r="C686" t="inlineStr">
        <is>
          <t>PRY-008</t>
        </is>
      </c>
      <c r="D686" t="inlineStr">
        <is>
          <t>Cuota inicial</t>
        </is>
      </c>
      <c r="E686" t="n">
        <v>34000000</v>
      </c>
      <c r="F686" t="n">
        <v>34000000</v>
      </c>
      <c r="G686">
        <f>E686-F686</f>
        <v/>
      </c>
      <c r="H686">
        <f>IF(E686&gt;0,F686/E686,0)</f>
        <v/>
      </c>
      <c r="I686" s="28" t="n">
        <v>46054</v>
      </c>
      <c r="J686" t="inlineStr">
        <is>
          <t>Pagado</t>
        </is>
      </c>
      <c r="K686" t="inlineStr">
        <is>
          <t>Daniela Ríos</t>
        </is>
      </c>
    </row>
    <row r="687" ht="15.75" customHeight="1" s="25">
      <c r="A687" t="inlineStr">
        <is>
          <t>PAG-0685</t>
        </is>
      </c>
      <c r="B687" t="inlineStr">
        <is>
          <t>Luisa Rojas Jaramillo</t>
        </is>
      </c>
      <c r="C687" t="inlineStr">
        <is>
          <t>PRY-008</t>
        </is>
      </c>
      <c r="D687" t="inlineStr">
        <is>
          <t>Escrituración</t>
        </is>
      </c>
      <c r="E687" t="n">
        <v>135000000</v>
      </c>
      <c r="F687" t="n">
        <v>135000000</v>
      </c>
      <c r="G687">
        <f>E687-F687</f>
        <v/>
      </c>
      <c r="H687">
        <f>IF(E687&gt;0,F687/E687,0)</f>
        <v/>
      </c>
      <c r="I687" s="28" t="n">
        <v>46136</v>
      </c>
      <c r="J687" t="inlineStr">
        <is>
          <t>Pagado</t>
        </is>
      </c>
      <c r="K687" t="inlineStr">
        <is>
          <t>Daniela Ríos</t>
        </is>
      </c>
    </row>
    <row r="688" ht="15.75" customHeight="1" s="25">
      <c r="A688" t="inlineStr">
        <is>
          <t>PAG-0686</t>
        </is>
      </c>
      <c r="B688" t="inlineStr">
        <is>
          <t>Cristian Salazar Franco</t>
        </is>
      </c>
      <c r="C688" t="inlineStr">
        <is>
          <t>PRY-008</t>
        </is>
      </c>
      <c r="D688" t="inlineStr">
        <is>
          <t>Cuota inicial</t>
        </is>
      </c>
      <c r="E688" t="n">
        <v>34000000</v>
      </c>
      <c r="F688" t="n">
        <v>34000000</v>
      </c>
      <c r="G688">
        <f>E688-F688</f>
        <v/>
      </c>
      <c r="H688">
        <f>IF(E688&gt;0,F688/E688,0)</f>
        <v/>
      </c>
      <c r="I688" s="28" t="n">
        <v>46054</v>
      </c>
      <c r="J688" t="inlineStr">
        <is>
          <t>Pagado</t>
        </is>
      </c>
      <c r="K688" t="inlineStr">
        <is>
          <t>Ana Quintero</t>
        </is>
      </c>
    </row>
    <row r="689" ht="15.75" customHeight="1" s="25">
      <c r="A689" t="inlineStr">
        <is>
          <t>PAG-0687</t>
        </is>
      </c>
      <c r="B689" t="inlineStr">
        <is>
          <t>Cristian Salazar Franco</t>
        </is>
      </c>
      <c r="C689" t="inlineStr">
        <is>
          <t>PRY-008</t>
        </is>
      </c>
      <c r="D689" t="inlineStr">
        <is>
          <t>Escrituración</t>
        </is>
      </c>
      <c r="E689" t="n">
        <v>135000000</v>
      </c>
      <c r="F689" t="n">
        <v>135000000</v>
      </c>
      <c r="G689">
        <f>E689-F689</f>
        <v/>
      </c>
      <c r="H689">
        <f>IF(E689&gt;0,F689/E689,0)</f>
        <v/>
      </c>
      <c r="I689" s="28" t="n">
        <v>46147</v>
      </c>
      <c r="J689" t="inlineStr">
        <is>
          <t>Pagado</t>
        </is>
      </c>
      <c r="K689" t="inlineStr">
        <is>
          <t>Ana Quintero</t>
        </is>
      </c>
    </row>
    <row r="690" ht="15.75" customHeight="1" s="25">
      <c r="A690" t="inlineStr">
        <is>
          <t>PAG-0688</t>
        </is>
      </c>
      <c r="B690" t="inlineStr">
        <is>
          <t>Natalia Londoño Gaviria</t>
        </is>
      </c>
      <c r="C690" t="inlineStr">
        <is>
          <t>PRY-002</t>
        </is>
      </c>
      <c r="D690" t="inlineStr">
        <is>
          <t>Cuota inicial</t>
        </is>
      </c>
      <c r="E690" t="n">
        <v>238000000</v>
      </c>
      <c r="F690" t="n">
        <v>69478261</v>
      </c>
      <c r="G690">
        <f>E690-F690</f>
        <v/>
      </c>
      <c r="H690">
        <f>IF(E690&gt;0,F690/E690,0)</f>
        <v/>
      </c>
      <c r="I690" s="28" t="n">
        <v>46205</v>
      </c>
      <c r="J690" t="inlineStr">
        <is>
          <t>Al día</t>
        </is>
      </c>
      <c r="K690" t="inlineStr">
        <is>
          <t>Daniela Ríos</t>
        </is>
      </c>
    </row>
    <row r="691" ht="15.75" customHeight="1" s="25">
      <c r="A691" t="inlineStr">
        <is>
          <t>PAG-0689</t>
        </is>
      </c>
      <c r="B691" t="inlineStr">
        <is>
          <t>Mariana Zuluaga Mejía</t>
        </is>
      </c>
      <c r="C691" t="inlineStr">
        <is>
          <t>PRY-007</t>
        </is>
      </c>
      <c r="D691" t="inlineStr">
        <is>
          <t>Cuota inicial</t>
        </is>
      </c>
      <c r="E691" t="n">
        <v>196000000</v>
      </c>
      <c r="F691" t="n">
        <v>65800000</v>
      </c>
      <c r="G691">
        <f>E691-F691</f>
        <v/>
      </c>
      <c r="H691">
        <f>IF(E691&gt;0,F691/E691,0)</f>
        <v/>
      </c>
      <c r="I691" s="28" t="n">
        <v>46205</v>
      </c>
      <c r="J691" t="inlineStr">
        <is>
          <t>Al día</t>
        </is>
      </c>
      <c r="K691" t="inlineStr">
        <is>
          <t>Juliana Vélez</t>
        </is>
      </c>
    </row>
    <row r="692" ht="15.75" customHeight="1" s="25">
      <c r="A692" t="inlineStr">
        <is>
          <t>PAG-0690</t>
        </is>
      </c>
      <c r="B692" t="inlineStr">
        <is>
          <t>José Henao Peláez</t>
        </is>
      </c>
      <c r="C692" t="inlineStr">
        <is>
          <t>PRY-005</t>
        </is>
      </c>
      <c r="D692" t="inlineStr">
        <is>
          <t>Cuota inicial</t>
        </is>
      </c>
      <c r="E692" t="n">
        <v>154000000</v>
      </c>
      <c r="F692" t="n">
        <v>71714286</v>
      </c>
      <c r="G692">
        <f>E692-F692</f>
        <v/>
      </c>
      <c r="H692">
        <f>IF(E692&gt;0,F692/E692,0)</f>
        <v/>
      </c>
      <c r="I692" s="28" t="n">
        <v>46206</v>
      </c>
      <c r="J692" t="inlineStr">
        <is>
          <t>Al día</t>
        </is>
      </c>
      <c r="K692" t="inlineStr">
        <is>
          <t>Paula Arenas</t>
        </is>
      </c>
    </row>
    <row r="693" ht="15.75" customHeight="1" s="25">
      <c r="A693" t="inlineStr">
        <is>
          <t>PAG-0691</t>
        </is>
      </c>
      <c r="B693" t="inlineStr">
        <is>
          <t>Santiago Correa Vargas</t>
        </is>
      </c>
      <c r="C693" t="inlineStr">
        <is>
          <t>PRY-003</t>
        </is>
      </c>
      <c r="D693" t="inlineStr">
        <is>
          <t>Cuota inicial</t>
        </is>
      </c>
      <c r="E693" t="n">
        <v>104000000</v>
      </c>
      <c r="F693" t="n">
        <v>61272727</v>
      </c>
      <c r="G693">
        <f>E693-F693</f>
        <v/>
      </c>
      <c r="H693">
        <f>IF(E693&gt;0,F693/E693,0)</f>
        <v/>
      </c>
      <c r="I693" s="28" t="n">
        <v>46209</v>
      </c>
      <c r="J693" t="inlineStr">
        <is>
          <t>Al día</t>
        </is>
      </c>
      <c r="K693" t="inlineStr">
        <is>
          <t>Daniela Ríos</t>
        </is>
      </c>
    </row>
    <row r="694" ht="15.75" customHeight="1" s="25">
      <c r="A694" t="inlineStr">
        <is>
          <t>PAG-0692</t>
        </is>
      </c>
      <c r="B694" t="inlineStr">
        <is>
          <t>Laura Palacio Castaño</t>
        </is>
      </c>
      <c r="C694" t="inlineStr">
        <is>
          <t>PRY-002</t>
        </is>
      </c>
      <c r="D694" t="inlineStr">
        <is>
          <t>Cuota inicial</t>
        </is>
      </c>
      <c r="E694" t="n">
        <v>229000000</v>
      </c>
      <c r="F694" t="n">
        <v>67130435</v>
      </c>
      <c r="G694">
        <f>E694-F694</f>
        <v/>
      </c>
      <c r="H694">
        <f>IF(E694&gt;0,F694/E694,0)</f>
        <v/>
      </c>
      <c r="I694" s="28" t="n">
        <v>46212</v>
      </c>
      <c r="J694" t="inlineStr">
        <is>
          <t>Al día</t>
        </is>
      </c>
      <c r="K694" t="inlineStr">
        <is>
          <t>Juliana Vélez</t>
        </is>
      </c>
    </row>
    <row r="695" ht="15.75" customHeight="1" s="25">
      <c r="A695" t="inlineStr">
        <is>
          <t>PAG-0693</t>
        </is>
      </c>
      <c r="B695" t="inlineStr">
        <is>
          <t>Hernán Ramírez Uribe</t>
        </is>
      </c>
      <c r="C695" t="inlineStr">
        <is>
          <t>PRY-006</t>
        </is>
      </c>
      <c r="D695" t="inlineStr">
        <is>
          <t>Cuota inicial</t>
        </is>
      </c>
      <c r="E695" t="n">
        <v>200000000</v>
      </c>
      <c r="F695" t="n">
        <v>57500000</v>
      </c>
      <c r="G695">
        <f>E695-F695</f>
        <v/>
      </c>
      <c r="H695">
        <f>IF(E695&gt;0,F695/E695,0)</f>
        <v/>
      </c>
      <c r="I695" s="28" t="n">
        <v>46213</v>
      </c>
      <c r="J695" t="inlineStr">
        <is>
          <t>Al día</t>
        </is>
      </c>
      <c r="K695" t="inlineStr">
        <is>
          <t>Luis Bedoya</t>
        </is>
      </c>
    </row>
    <row r="696" ht="15.75" customHeight="1" s="25">
      <c r="A696" t="inlineStr">
        <is>
          <t>PAG-0694</t>
        </is>
      </c>
      <c r="B696" t="inlineStr">
        <is>
          <t>Rodrigo Gaviria Ríos</t>
        </is>
      </c>
      <c r="C696" t="inlineStr">
        <is>
          <t>PRY-003</t>
        </is>
      </c>
      <c r="D696" t="inlineStr">
        <is>
          <t>Cuota inicial</t>
        </is>
      </c>
      <c r="E696" t="n">
        <v>89000000</v>
      </c>
      <c r="F696" t="n">
        <v>53090909</v>
      </c>
      <c r="G696">
        <f>E696-F696</f>
        <v/>
      </c>
      <c r="H696">
        <f>IF(E696&gt;0,F696/E696,0)</f>
        <v/>
      </c>
      <c r="I696" s="28" t="n">
        <v>46213</v>
      </c>
      <c r="J696" t="inlineStr">
        <is>
          <t>Al día</t>
        </is>
      </c>
      <c r="K696" t="inlineStr">
        <is>
          <t>Miguel Salazar</t>
        </is>
      </c>
    </row>
    <row r="697" ht="15.75" customHeight="1" s="25">
      <c r="A697" t="inlineStr">
        <is>
          <t>PAG-0695</t>
        </is>
      </c>
      <c r="B697" t="inlineStr">
        <is>
          <t>Sandra Osorio Toro</t>
        </is>
      </c>
      <c r="C697" t="inlineStr">
        <is>
          <t>PRY-001</t>
        </is>
      </c>
      <c r="D697" t="inlineStr">
        <is>
          <t>Cuota inicial</t>
        </is>
      </c>
      <c r="E697" t="n">
        <v>217000000</v>
      </c>
      <c r="F697" t="n">
        <v>83058824</v>
      </c>
      <c r="G697">
        <f>E697-F697</f>
        <v/>
      </c>
      <c r="H697">
        <f>IF(E697&gt;0,F697/E697,0)</f>
        <v/>
      </c>
      <c r="I697" s="28" t="n">
        <v>46215</v>
      </c>
      <c r="J697" t="inlineStr">
        <is>
          <t>Al día</t>
        </is>
      </c>
      <c r="K697" t="inlineStr">
        <is>
          <t>Luis Bedoya</t>
        </is>
      </c>
    </row>
    <row r="698" ht="15.75" customHeight="1" s="25">
      <c r="A698" t="inlineStr">
        <is>
          <t>PAG-0696</t>
        </is>
      </c>
      <c r="B698" t="inlineStr">
        <is>
          <t>Santiago Jaramillo Londoño</t>
        </is>
      </c>
      <c r="C698" t="inlineStr">
        <is>
          <t>PRY-008</t>
        </is>
      </c>
      <c r="D698" t="inlineStr">
        <is>
          <t>Cuota inicial</t>
        </is>
      </c>
      <c r="E698" t="n">
        <v>28000000</v>
      </c>
      <c r="F698" t="n">
        <v>28000000</v>
      </c>
      <c r="G698">
        <f>E698-F698</f>
        <v/>
      </c>
      <c r="H698">
        <f>IF(E698&gt;0,F698/E698,0)</f>
        <v/>
      </c>
      <c r="I698" s="28" t="n">
        <v>46065</v>
      </c>
      <c r="J698" t="inlineStr">
        <is>
          <t>Pagado</t>
        </is>
      </c>
      <c r="K698" t="inlineStr">
        <is>
          <t>Daniela Ríos</t>
        </is>
      </c>
    </row>
    <row r="699" ht="15.75" customHeight="1" s="25">
      <c r="A699" t="inlineStr">
        <is>
          <t>PAG-0697</t>
        </is>
      </c>
      <c r="B699" t="inlineStr">
        <is>
          <t>Santiago Jaramillo Londoño</t>
        </is>
      </c>
      <c r="C699" t="inlineStr">
        <is>
          <t>PRY-008</t>
        </is>
      </c>
      <c r="D699" t="inlineStr">
        <is>
          <t>Escrituración</t>
        </is>
      </c>
      <c r="E699" t="n">
        <v>113000000</v>
      </c>
      <c r="F699" t="n">
        <v>0</v>
      </c>
      <c r="G699">
        <f>E699-F699</f>
        <v/>
      </c>
      <c r="H699">
        <f>IF(E699&gt;0,F699/E699,0)</f>
        <v/>
      </c>
      <c r="I699" s="28" t="n">
        <v>46250</v>
      </c>
      <c r="J699" t="inlineStr">
        <is>
          <t>En mora</t>
        </is>
      </c>
      <c r="K699" t="inlineStr">
        <is>
          <t>Daniela Ríos</t>
        </is>
      </c>
    </row>
    <row r="700" ht="15.75" customHeight="1" s="25">
      <c r="A700" t="inlineStr">
        <is>
          <t>PAG-0698</t>
        </is>
      </c>
      <c r="B700" t="inlineStr">
        <is>
          <t>Juliana Rojas Escobar</t>
        </is>
      </c>
      <c r="C700" t="inlineStr">
        <is>
          <t>PRY-007</t>
        </is>
      </c>
      <c r="D700" t="inlineStr">
        <is>
          <t>Cuota inicial</t>
        </is>
      </c>
      <c r="E700" t="n">
        <v>246000000</v>
      </c>
      <c r="F700" t="n">
        <v>80800000</v>
      </c>
      <c r="G700">
        <f>E700-F700</f>
        <v/>
      </c>
      <c r="H700">
        <f>IF(E700&gt;0,F700/E700,0)</f>
        <v/>
      </c>
      <c r="I700" s="28" t="n">
        <v>46216</v>
      </c>
      <c r="J700" t="inlineStr">
        <is>
          <t>Al día</t>
        </is>
      </c>
      <c r="K700" t="inlineStr">
        <is>
          <t>Ana Quintero</t>
        </is>
      </c>
    </row>
    <row r="701" ht="15.75" customHeight="1" s="25">
      <c r="A701" t="inlineStr">
        <is>
          <t>PAG-0699</t>
        </is>
      </c>
      <c r="B701" t="inlineStr">
        <is>
          <t>Emilio Vélez Higuita</t>
        </is>
      </c>
      <c r="C701" t="inlineStr">
        <is>
          <t>PRY-007</t>
        </is>
      </c>
      <c r="D701" t="inlineStr">
        <is>
          <t>Cuota inicial</t>
        </is>
      </c>
      <c r="E701" t="n">
        <v>229000000</v>
      </c>
      <c r="F701" t="n">
        <v>75700000</v>
      </c>
      <c r="G701">
        <f>E701-F701</f>
        <v/>
      </c>
      <c r="H701">
        <f>IF(E701&gt;0,F701/E701,0)</f>
        <v/>
      </c>
      <c r="I701" s="28" t="n">
        <v>46217</v>
      </c>
      <c r="J701" t="inlineStr">
        <is>
          <t>Al día</t>
        </is>
      </c>
      <c r="K701" t="inlineStr">
        <is>
          <t>Luis Bedoya</t>
        </is>
      </c>
    </row>
    <row r="702" ht="15.75" customHeight="1" s="25">
      <c r="A702" t="inlineStr">
        <is>
          <t>PAG-0700</t>
        </is>
      </c>
      <c r="B702" t="inlineStr">
        <is>
          <t>Diego Marín Cifuentes</t>
        </is>
      </c>
      <c r="C702" t="inlineStr">
        <is>
          <t>PRY-003</t>
        </is>
      </c>
      <c r="D702" t="inlineStr">
        <is>
          <t>Cuota inicial</t>
        </is>
      </c>
      <c r="E702" t="n">
        <v>122000000</v>
      </c>
      <c r="F702" t="n">
        <v>71090909</v>
      </c>
      <c r="G702">
        <f>E702-F702</f>
        <v/>
      </c>
      <c r="H702">
        <f>IF(E702&gt;0,F702/E702,0)</f>
        <v/>
      </c>
      <c r="I702" s="28" t="n">
        <v>46220</v>
      </c>
      <c r="J702" t="inlineStr">
        <is>
          <t>Al día</t>
        </is>
      </c>
      <c r="K702" t="inlineStr">
        <is>
          <t>Santiago Muñoz</t>
        </is>
      </c>
    </row>
    <row r="703" ht="15.75" customHeight="1" s="25">
      <c r="A703" t="inlineStr">
        <is>
          <t>PAG-0701</t>
        </is>
      </c>
      <c r="B703" t="inlineStr">
        <is>
          <t>Valeria Toro Londoño</t>
        </is>
      </c>
      <c r="C703" t="inlineStr">
        <is>
          <t>PRY-003</t>
        </is>
      </c>
      <c r="D703" t="inlineStr">
        <is>
          <t>Cuota inicial</t>
        </is>
      </c>
      <c r="E703" t="n">
        <v>113000000</v>
      </c>
      <c r="F703" t="n">
        <v>66181818</v>
      </c>
      <c r="G703">
        <f>E703-F703</f>
        <v/>
      </c>
      <c r="H703">
        <f>IF(E703&gt;0,F703/E703,0)</f>
        <v/>
      </c>
      <c r="I703" s="28" t="n">
        <v>46220</v>
      </c>
      <c r="J703" t="inlineStr">
        <is>
          <t>Al día</t>
        </is>
      </c>
      <c r="K703" t="inlineStr">
        <is>
          <t>Sofía Prada</t>
        </is>
      </c>
    </row>
    <row r="704" ht="15.75" customHeight="1" s="25">
      <c r="A704" t="inlineStr">
        <is>
          <t>PAG-0702</t>
        </is>
      </c>
      <c r="B704" t="inlineStr">
        <is>
          <t>Catalina Montoya Hernández</t>
        </is>
      </c>
      <c r="C704" t="inlineStr">
        <is>
          <t>PRY-003</t>
        </is>
      </c>
      <c r="D704" t="inlineStr">
        <is>
          <t>Cuota inicial</t>
        </is>
      </c>
      <c r="E704" t="n">
        <v>129000000</v>
      </c>
      <c r="F704" t="n">
        <v>74909091</v>
      </c>
      <c r="G704">
        <f>E704-F704</f>
        <v/>
      </c>
      <c r="H704">
        <f>IF(E704&gt;0,F704/E704,0)</f>
        <v/>
      </c>
      <c r="I704" s="28" t="n">
        <v>46222</v>
      </c>
      <c r="J704" t="inlineStr">
        <is>
          <t>Al día</t>
        </is>
      </c>
      <c r="K704" t="inlineStr">
        <is>
          <t>Ana Quintero</t>
        </is>
      </c>
    </row>
    <row r="705" ht="15.75" customHeight="1" s="25">
      <c r="A705" t="inlineStr">
        <is>
          <t>PAG-0703</t>
        </is>
      </c>
      <c r="B705" t="inlineStr">
        <is>
          <t>Esteban Jaramillo Quintero</t>
        </is>
      </c>
      <c r="C705" t="inlineStr">
        <is>
          <t>PRY-003</t>
        </is>
      </c>
      <c r="D705" t="inlineStr">
        <is>
          <t>Cuota inicial</t>
        </is>
      </c>
      <c r="E705" t="n">
        <v>116000000</v>
      </c>
      <c r="F705" t="n">
        <v>67818182</v>
      </c>
      <c r="G705">
        <f>E705-F705</f>
        <v/>
      </c>
      <c r="H705">
        <f>IF(E705&gt;0,F705/E705,0)</f>
        <v/>
      </c>
      <c r="I705" s="28" t="n">
        <v>46222</v>
      </c>
      <c r="J705" t="inlineStr">
        <is>
          <t>Al día</t>
        </is>
      </c>
      <c r="K705" t="inlineStr">
        <is>
          <t>Miguel Salazar</t>
        </is>
      </c>
    </row>
    <row r="706" ht="15.75" customHeight="1" s="25">
      <c r="A706" t="inlineStr">
        <is>
          <t>PAG-0704</t>
        </is>
      </c>
      <c r="B706" t="inlineStr">
        <is>
          <t>Óscar Hernández Mejía</t>
        </is>
      </c>
      <c r="C706" t="inlineStr">
        <is>
          <t>PRY-008</t>
        </is>
      </c>
      <c r="D706" t="inlineStr">
        <is>
          <t>Cuota inicial</t>
        </is>
      </c>
      <c r="E706" t="n">
        <v>33000000</v>
      </c>
      <c r="F706" t="n">
        <v>33000000</v>
      </c>
      <c r="G706">
        <f>E706-F706</f>
        <v/>
      </c>
      <c r="H706">
        <f>IF(E706&gt;0,F706/E706,0)</f>
        <v/>
      </c>
      <c r="I706" s="28" t="n">
        <v>46076</v>
      </c>
      <c r="J706" t="inlineStr">
        <is>
          <t>Pagado</t>
        </is>
      </c>
      <c r="K706" t="inlineStr">
        <is>
          <t>Sofía Prada</t>
        </is>
      </c>
    </row>
    <row r="707" ht="15.75" customHeight="1" s="25">
      <c r="A707" t="inlineStr">
        <is>
          <t>PAG-0705</t>
        </is>
      </c>
      <c r="B707" t="inlineStr">
        <is>
          <t>Óscar Hernández Mejía</t>
        </is>
      </c>
      <c r="C707" t="inlineStr">
        <is>
          <t>PRY-008</t>
        </is>
      </c>
      <c r="D707" t="inlineStr">
        <is>
          <t>Escrituración</t>
        </is>
      </c>
      <c r="E707" t="n">
        <v>133000000</v>
      </c>
      <c r="F707" t="n">
        <v>133000000</v>
      </c>
      <c r="G707">
        <f>E707-F707</f>
        <v/>
      </c>
      <c r="H707">
        <f>IF(E707&gt;0,F707/E707,0)</f>
        <v/>
      </c>
      <c r="I707" s="28" t="n">
        <v>46177</v>
      </c>
      <c r="J707" t="inlineStr">
        <is>
          <t>Pagado</t>
        </is>
      </c>
      <c r="K707" t="inlineStr">
        <is>
          <t>Sofía Prada</t>
        </is>
      </c>
    </row>
    <row r="708" ht="15.75" customHeight="1" s="25">
      <c r="A708" t="inlineStr">
        <is>
          <t>PAG-0706</t>
        </is>
      </c>
      <c r="B708" t="inlineStr">
        <is>
          <t>Ximena Restrepo Higuita</t>
        </is>
      </c>
      <c r="C708" t="inlineStr">
        <is>
          <t>PRY-005</t>
        </is>
      </c>
      <c r="D708" t="inlineStr">
        <is>
          <t>Cuota inicial</t>
        </is>
      </c>
      <c r="E708" t="n">
        <v>136000000</v>
      </c>
      <c r="F708" t="n">
        <v>64000000</v>
      </c>
      <c r="G708">
        <f>E708-F708</f>
        <v/>
      </c>
      <c r="H708">
        <f>IF(E708&gt;0,F708/E708,0)</f>
        <v/>
      </c>
      <c r="I708" s="28" t="n">
        <v>46227</v>
      </c>
      <c r="J708" t="inlineStr">
        <is>
          <t>Al día</t>
        </is>
      </c>
      <c r="K708" t="inlineStr">
        <is>
          <t>Andrés Torres</t>
        </is>
      </c>
    </row>
    <row r="709" ht="15.75" customHeight="1" s="25">
      <c r="A709" t="inlineStr">
        <is>
          <t>PAG-0707</t>
        </is>
      </c>
      <c r="B709" t="inlineStr">
        <is>
          <t>Paola Restrepo Mejía</t>
        </is>
      </c>
      <c r="C709" t="inlineStr">
        <is>
          <t>PRY-006</t>
        </is>
      </c>
      <c r="D709" t="inlineStr">
        <is>
          <t>Cuota inicial</t>
        </is>
      </c>
      <c r="E709" t="n">
        <v>149000000</v>
      </c>
      <c r="F709" t="n">
        <v>44750000</v>
      </c>
      <c r="G709">
        <f>E709-F709</f>
        <v/>
      </c>
      <c r="H709">
        <f>IF(E709&gt;0,F709/E709,0)</f>
        <v/>
      </c>
      <c r="I709" s="28" t="n">
        <v>46228</v>
      </c>
      <c r="J709" t="inlineStr">
        <is>
          <t>Al día</t>
        </is>
      </c>
      <c r="K709" t="inlineStr">
        <is>
          <t>Daniela Ríos</t>
        </is>
      </c>
    </row>
    <row r="710" ht="15.75" customHeight="1" s="25">
      <c r="A710" t="inlineStr">
        <is>
          <t>PAG-0708</t>
        </is>
      </c>
      <c r="B710" t="inlineStr">
        <is>
          <t>Rodrigo Cifuentes Agudelo</t>
        </is>
      </c>
      <c r="C710" t="inlineStr">
        <is>
          <t>PRY-003</t>
        </is>
      </c>
      <c r="D710" t="inlineStr">
        <is>
          <t>Cuota inicial</t>
        </is>
      </c>
      <c r="E710" t="n">
        <v>114000000</v>
      </c>
      <c r="F710" t="n">
        <v>66727273</v>
      </c>
      <c r="G710">
        <f>E710-F710</f>
        <v/>
      </c>
      <c r="H710">
        <f>IF(E710&gt;0,F710/E710,0)</f>
        <v/>
      </c>
      <c r="I710" s="28" t="n">
        <v>46228</v>
      </c>
      <c r="J710" t="inlineStr">
        <is>
          <t>Al día</t>
        </is>
      </c>
      <c r="K710" t="inlineStr">
        <is>
          <t>Santiago Muñoz</t>
        </is>
      </c>
    </row>
    <row r="711" ht="15.75" customHeight="1" s="25">
      <c r="A711" t="inlineStr">
        <is>
          <t>PAG-0709</t>
        </is>
      </c>
      <c r="B711" t="inlineStr">
        <is>
          <t>Gabriel Valencia Toro</t>
        </is>
      </c>
      <c r="C711" t="inlineStr">
        <is>
          <t>PRY-001</t>
        </is>
      </c>
      <c r="D711" t="inlineStr">
        <is>
          <t>Cuota inicial</t>
        </is>
      </c>
      <c r="E711" t="n">
        <v>226000000</v>
      </c>
      <c r="F711" t="n">
        <v>86235294</v>
      </c>
      <c r="G711">
        <f>E711-F711</f>
        <v/>
      </c>
      <c r="H711">
        <f>IF(E711&gt;0,F711/E711,0)</f>
        <v/>
      </c>
      <c r="I711" s="28" t="n">
        <v>46228</v>
      </c>
      <c r="J711" t="inlineStr">
        <is>
          <t>Al día</t>
        </is>
      </c>
      <c r="K711" t="inlineStr">
        <is>
          <t>Luis Bedoya</t>
        </is>
      </c>
    </row>
    <row r="712" ht="15.75" customHeight="1" s="25">
      <c r="A712" t="inlineStr">
        <is>
          <t>PAG-0710</t>
        </is>
      </c>
      <c r="B712" t="inlineStr">
        <is>
          <t>Mauricio Cifuentes Jaramillo</t>
        </is>
      </c>
      <c r="C712" t="inlineStr">
        <is>
          <t>PRY-005</t>
        </is>
      </c>
      <c r="D712" t="inlineStr">
        <is>
          <t>Cuota inicial</t>
        </is>
      </c>
      <c r="E712" t="n">
        <v>134000000</v>
      </c>
      <c r="F712" t="n">
        <v>63142857</v>
      </c>
      <c r="G712">
        <f>E712-F712</f>
        <v/>
      </c>
      <c r="H712">
        <f>IF(E712&gt;0,F712/E712,0)</f>
        <v/>
      </c>
      <c r="I712" s="28" t="n">
        <v>46229</v>
      </c>
      <c r="J712" t="inlineStr">
        <is>
          <t>Al día</t>
        </is>
      </c>
      <c r="K712" t="inlineStr">
        <is>
          <t>Sofía Prada</t>
        </is>
      </c>
    </row>
    <row r="713" ht="15.75" customHeight="1" s="25">
      <c r="A713" t="inlineStr">
        <is>
          <t>PAG-0711</t>
        </is>
      </c>
      <c r="B713" t="inlineStr">
        <is>
          <t>Ricardo Henao Álvarez</t>
        </is>
      </c>
      <c r="C713" t="inlineStr">
        <is>
          <t>PRY-001</t>
        </is>
      </c>
      <c r="D713" t="inlineStr">
        <is>
          <t>Cuota inicial</t>
        </is>
      </c>
      <c r="E713" t="n">
        <v>242000000</v>
      </c>
      <c r="F713" t="n">
        <v>91882353</v>
      </c>
      <c r="G713">
        <f>E713-F713</f>
        <v/>
      </c>
      <c r="H713">
        <f>IF(E713&gt;0,F713/E713,0)</f>
        <v/>
      </c>
      <c r="I713" s="28" t="n">
        <v>46230</v>
      </c>
      <c r="J713" t="inlineStr">
        <is>
          <t>Al día</t>
        </is>
      </c>
      <c r="K713" t="inlineStr">
        <is>
          <t>Santiago Muñoz</t>
        </is>
      </c>
    </row>
    <row r="714" ht="15.75" customHeight="1" s="25">
      <c r="A714" t="inlineStr">
        <is>
          <t>PAG-0712</t>
        </is>
      </c>
      <c r="B714" t="inlineStr">
        <is>
          <t>Sandra Castaño Zapata</t>
        </is>
      </c>
      <c r="C714" t="inlineStr">
        <is>
          <t>PRY-001</t>
        </is>
      </c>
      <c r="D714" t="inlineStr">
        <is>
          <t>Cuota inicial</t>
        </is>
      </c>
      <c r="E714" t="n">
        <v>266000000</v>
      </c>
      <c r="F714" t="n">
        <v>100352941</v>
      </c>
      <c r="G714">
        <f>E714-F714</f>
        <v/>
      </c>
      <c r="H714">
        <f>IF(E714&gt;0,F714/E714,0)</f>
        <v/>
      </c>
      <c r="I714" s="28" t="n">
        <v>46230</v>
      </c>
      <c r="J714" t="inlineStr">
        <is>
          <t>Al día</t>
        </is>
      </c>
      <c r="K714" t="inlineStr">
        <is>
          <t>Santiago Muñoz</t>
        </is>
      </c>
    </row>
    <row r="715" ht="15.75" customHeight="1" s="25">
      <c r="A715" t="inlineStr">
        <is>
          <t>PAG-0713</t>
        </is>
      </c>
      <c r="B715" t="inlineStr">
        <is>
          <t>David Salcedo Giraldo</t>
        </is>
      </c>
      <c r="C715" t="inlineStr">
        <is>
          <t>PRY-005</t>
        </is>
      </c>
      <c r="D715" t="inlineStr">
        <is>
          <t>Cuota inicial</t>
        </is>
      </c>
      <c r="E715" t="n">
        <v>127000000</v>
      </c>
      <c r="F715" t="n">
        <v>60142857</v>
      </c>
      <c r="G715">
        <f>E715-F715</f>
        <v/>
      </c>
      <c r="H715">
        <f>IF(E715&gt;0,F715/E715,0)</f>
        <v/>
      </c>
      <c r="I715" s="28" t="n">
        <v>46232</v>
      </c>
      <c r="J715" t="inlineStr">
        <is>
          <t>Al día</t>
        </is>
      </c>
      <c r="K715" t="inlineStr">
        <is>
          <t>Luis Bedoya</t>
        </is>
      </c>
    </row>
    <row r="716" ht="15.75" customHeight="1" s="25">
      <c r="A716" t="inlineStr">
        <is>
          <t>PAG-0714</t>
        </is>
      </c>
      <c r="B716" t="inlineStr">
        <is>
          <t>Santiago Álvarez Pérez</t>
        </is>
      </c>
      <c r="C716" t="inlineStr">
        <is>
          <t>PRY-001</t>
        </is>
      </c>
      <c r="D716" t="inlineStr">
        <is>
          <t>Cuota inicial</t>
        </is>
      </c>
      <c r="E716" t="n">
        <v>215000000</v>
      </c>
      <c r="F716" t="n">
        <v>74062500</v>
      </c>
      <c r="G716">
        <f>E716-F716</f>
        <v/>
      </c>
      <c r="H716">
        <f>IF(E716&gt;0,F716/E716,0)</f>
        <v/>
      </c>
      <c r="I716" s="28" t="n">
        <v>46204</v>
      </c>
      <c r="J716" t="inlineStr">
        <is>
          <t>Al día</t>
        </is>
      </c>
      <c r="K716" t="inlineStr">
        <is>
          <t>Ana Quintero</t>
        </is>
      </c>
    </row>
    <row r="717" ht="15.75" customHeight="1" s="25">
      <c r="A717" t="inlineStr">
        <is>
          <t>PAG-0715</t>
        </is>
      </c>
      <c r="B717" t="inlineStr">
        <is>
          <t>Marcela Zuluaga Higuita</t>
        </is>
      </c>
      <c r="C717" t="inlineStr">
        <is>
          <t>PRY-003</t>
        </is>
      </c>
      <c r="D717" t="inlineStr">
        <is>
          <t>Cuota inicial</t>
        </is>
      </c>
      <c r="E717" t="n">
        <v>111000000</v>
      </c>
      <c r="F717" t="n">
        <v>60500000</v>
      </c>
      <c r="G717">
        <f>E717-F717</f>
        <v/>
      </c>
      <c r="H717">
        <f>IF(E717&gt;0,F717/E717,0)</f>
        <v/>
      </c>
      <c r="I717" s="28" t="n">
        <v>46206</v>
      </c>
      <c r="J717" t="inlineStr">
        <is>
          <t>Al día</t>
        </is>
      </c>
      <c r="K717" t="inlineStr">
        <is>
          <t>Miguel Salazar</t>
        </is>
      </c>
    </row>
    <row r="718" ht="15.75" customHeight="1" s="25">
      <c r="A718" t="inlineStr">
        <is>
          <t>PAG-0716</t>
        </is>
      </c>
      <c r="B718" t="inlineStr">
        <is>
          <t>Liliana Rojas Cifuentes</t>
        </is>
      </c>
      <c r="C718" t="inlineStr">
        <is>
          <t>PRY-002</t>
        </is>
      </c>
      <c r="D718" t="inlineStr">
        <is>
          <t>Cuota inicial</t>
        </is>
      </c>
      <c r="E718" t="n">
        <v>242000000</v>
      </c>
      <c r="F718" t="n">
        <v>62727273</v>
      </c>
      <c r="G718">
        <f>E718-F718</f>
        <v/>
      </c>
      <c r="H718">
        <f>IF(E718&gt;0,F718/E718,0)</f>
        <v/>
      </c>
      <c r="I718" s="28" t="n">
        <v>46208</v>
      </c>
      <c r="J718" t="inlineStr">
        <is>
          <t>Al día</t>
        </is>
      </c>
      <c r="K718" t="inlineStr">
        <is>
          <t>Luis Bedoya</t>
        </is>
      </c>
    </row>
    <row r="719" ht="15.75" customHeight="1" s="25">
      <c r="A719" t="inlineStr">
        <is>
          <t>PAG-0717</t>
        </is>
      </c>
      <c r="B719" t="inlineStr">
        <is>
          <t>Diana Correa Toro</t>
        </is>
      </c>
      <c r="C719" t="inlineStr">
        <is>
          <t>PRY-003</t>
        </is>
      </c>
      <c r="D719" t="inlineStr">
        <is>
          <t>Cuota inicial</t>
        </is>
      </c>
      <c r="E719" t="n">
        <v>110000000</v>
      </c>
      <c r="F719" t="n">
        <v>60000000</v>
      </c>
      <c r="G719">
        <f>E719-F719</f>
        <v/>
      </c>
      <c r="H719">
        <f>IF(E719&gt;0,F719/E719,0)</f>
        <v/>
      </c>
      <c r="I719" s="28" t="n">
        <v>46210</v>
      </c>
      <c r="J719" t="inlineStr">
        <is>
          <t>Al día</t>
        </is>
      </c>
      <c r="K719" t="inlineStr">
        <is>
          <t>Mateo Herrera</t>
        </is>
      </c>
    </row>
    <row r="720" ht="15.75" customHeight="1" s="25">
      <c r="A720" t="inlineStr">
        <is>
          <t>PAG-0718</t>
        </is>
      </c>
      <c r="B720" t="inlineStr">
        <is>
          <t>Carolina Vélez Echeverri</t>
        </is>
      </c>
      <c r="C720" t="inlineStr">
        <is>
          <t>PRY-003</t>
        </is>
      </c>
      <c r="D720" t="inlineStr">
        <is>
          <t>Cuota inicial</t>
        </is>
      </c>
      <c r="E720" t="n">
        <v>120000000</v>
      </c>
      <c r="F720" t="n">
        <v>65000000</v>
      </c>
      <c r="G720">
        <f>E720-F720</f>
        <v/>
      </c>
      <c r="H720">
        <f>IF(E720&gt;0,F720/E720,0)</f>
        <v/>
      </c>
      <c r="I720" s="28" t="n">
        <v>46210</v>
      </c>
      <c r="J720" t="inlineStr">
        <is>
          <t>Al día</t>
        </is>
      </c>
      <c r="K720" t="inlineStr">
        <is>
          <t>Andrés Torres</t>
        </is>
      </c>
    </row>
    <row r="721" ht="15.75" customHeight="1" s="25">
      <c r="A721" t="inlineStr">
        <is>
          <t>PAG-0719</t>
        </is>
      </c>
      <c r="B721" t="inlineStr">
        <is>
          <t>Isabel Henao Osorio</t>
        </is>
      </c>
      <c r="C721" t="inlineStr">
        <is>
          <t>PRY-007</t>
        </is>
      </c>
      <c r="D721" t="inlineStr">
        <is>
          <t>Cuota inicial</t>
        </is>
      </c>
      <c r="E721" t="n">
        <v>233000000</v>
      </c>
      <c r="F721" t="n">
        <v>68684211</v>
      </c>
      <c r="G721">
        <f>E721-F721</f>
        <v/>
      </c>
      <c r="H721">
        <f>IF(E721&gt;0,F721/E721,0)</f>
        <v/>
      </c>
      <c r="I721" s="28" t="n">
        <v>46225</v>
      </c>
      <c r="J721" t="inlineStr">
        <is>
          <t>Al día</t>
        </is>
      </c>
      <c r="K721" t="inlineStr">
        <is>
          <t>Luis Bedoya</t>
        </is>
      </c>
    </row>
    <row r="722" ht="15.75" customHeight="1" s="25">
      <c r="A722" t="inlineStr">
        <is>
          <t>PAG-0720</t>
        </is>
      </c>
      <c r="B722" t="inlineStr">
        <is>
          <t>Ricardo Agudelo Gómez</t>
        </is>
      </c>
      <c r="C722" t="inlineStr">
        <is>
          <t>PRY-003</t>
        </is>
      </c>
      <c r="D722" t="inlineStr">
        <is>
          <t>Cuota inicial</t>
        </is>
      </c>
      <c r="E722" t="n">
        <v>120000000</v>
      </c>
      <c r="F722" t="n">
        <v>65000000</v>
      </c>
      <c r="G722">
        <f>E722-F722</f>
        <v/>
      </c>
      <c r="H722">
        <f>IF(E722&gt;0,F722/E722,0)</f>
        <v/>
      </c>
      <c r="I722" s="28" t="n">
        <v>46225</v>
      </c>
      <c r="J722" t="inlineStr">
        <is>
          <t>Al día</t>
        </is>
      </c>
      <c r="K722" t="inlineStr">
        <is>
          <t>Santiago Muñoz</t>
        </is>
      </c>
    </row>
    <row r="723" ht="15.75" customHeight="1" s="25">
      <c r="A723" t="inlineStr">
        <is>
          <t>PAG-0721</t>
        </is>
      </c>
      <c r="B723" t="inlineStr">
        <is>
          <t>Paola Salazar Restrepo</t>
        </is>
      </c>
      <c r="C723" t="inlineStr">
        <is>
          <t>PRY-006</t>
        </is>
      </c>
      <c r="D723" t="inlineStr">
        <is>
          <t>Cuota inicial</t>
        </is>
      </c>
      <c r="E723" t="n">
        <v>162000000</v>
      </c>
      <c r="F723" t="n">
        <v>43043478</v>
      </c>
      <c r="G723">
        <f>E723-F723</f>
        <v/>
      </c>
      <c r="H723">
        <f>IF(E723&gt;0,F723/E723,0)</f>
        <v/>
      </c>
      <c r="I723" s="28" t="n">
        <v>46226</v>
      </c>
      <c r="J723" t="inlineStr">
        <is>
          <t>Al día</t>
        </is>
      </c>
      <c r="K723" t="inlineStr">
        <is>
          <t>Sofía Prada</t>
        </is>
      </c>
    </row>
    <row r="724" ht="15.75" customHeight="1" s="25">
      <c r="A724" t="inlineStr">
        <is>
          <t>PAG-0722</t>
        </is>
      </c>
      <c r="B724" t="inlineStr">
        <is>
          <t>Emilio Bedoya Espinosa</t>
        </is>
      </c>
      <c r="C724" t="inlineStr">
        <is>
          <t>PRY-008</t>
        </is>
      </c>
      <c r="D724" t="inlineStr">
        <is>
          <t>Cuota inicial</t>
        </is>
      </c>
      <c r="E724" t="n">
        <v>30000000</v>
      </c>
      <c r="F724" t="n">
        <v>30000000</v>
      </c>
      <c r="G724">
        <f>E724-F724</f>
        <v/>
      </c>
      <c r="H724">
        <f>IF(E724&gt;0,F724/E724,0)</f>
        <v/>
      </c>
      <c r="I724" s="28" t="n">
        <v>46078</v>
      </c>
      <c r="J724" t="inlineStr">
        <is>
          <t>Pagado</t>
        </is>
      </c>
      <c r="K724" t="inlineStr">
        <is>
          <t>Paula Arenas</t>
        </is>
      </c>
    </row>
    <row r="725" ht="15.75" customHeight="1" s="25">
      <c r="A725" t="inlineStr">
        <is>
          <t>PAG-0723</t>
        </is>
      </c>
      <c r="B725" t="inlineStr">
        <is>
          <t>Emilio Bedoya Espinosa</t>
        </is>
      </c>
      <c r="C725" t="inlineStr">
        <is>
          <t>PRY-008</t>
        </is>
      </c>
      <c r="D725" t="inlineStr">
        <is>
          <t>Escrituración</t>
        </is>
      </c>
      <c r="E725" t="n">
        <v>121000000</v>
      </c>
      <c r="F725" t="n">
        <v>121000000</v>
      </c>
      <c r="G725">
        <f>E725-F725</f>
        <v/>
      </c>
      <c r="H725">
        <f>IF(E725&gt;0,F725/E725,0)</f>
        <v/>
      </c>
      <c r="I725" s="28" t="n">
        <v>46181</v>
      </c>
      <c r="J725" t="inlineStr">
        <is>
          <t>Pagado</t>
        </is>
      </c>
      <c r="K725" t="inlineStr">
        <is>
          <t>Paula Arenas</t>
        </is>
      </c>
    </row>
    <row r="726" ht="15.75" customHeight="1" s="25">
      <c r="A726" t="inlineStr">
        <is>
          <t>PAG-0724</t>
        </is>
      </c>
      <c r="B726" t="inlineStr">
        <is>
          <t>Santiago Ramírez Zuluaga</t>
        </is>
      </c>
      <c r="C726" t="inlineStr">
        <is>
          <t>PRY-001</t>
        </is>
      </c>
      <c r="D726" t="inlineStr">
        <is>
          <t>Cuota inicial</t>
        </is>
      </c>
      <c r="E726" t="n">
        <v>214000000</v>
      </c>
      <c r="F726" t="n">
        <v>73750000</v>
      </c>
      <c r="G726">
        <f>E726-F726</f>
        <v/>
      </c>
      <c r="H726">
        <f>IF(E726&gt;0,F726/E726,0)</f>
        <v/>
      </c>
      <c r="I726" s="28" t="n">
        <v>46229</v>
      </c>
      <c r="J726" t="inlineStr">
        <is>
          <t>Al día</t>
        </is>
      </c>
      <c r="K726" t="inlineStr">
        <is>
          <t>Paula Arenas</t>
        </is>
      </c>
    </row>
    <row r="727" ht="15.75" customHeight="1" s="25">
      <c r="A727" t="inlineStr">
        <is>
          <t>PAG-0725</t>
        </is>
      </c>
      <c r="B727" t="inlineStr">
        <is>
          <t>Gabriel Salcedo Londoño</t>
        </is>
      </c>
      <c r="C727" t="inlineStr">
        <is>
          <t>PRY-007</t>
        </is>
      </c>
      <c r="D727" t="inlineStr">
        <is>
          <t>Cuota inicial</t>
        </is>
      </c>
      <c r="E727" t="n">
        <v>241000000</v>
      </c>
      <c r="F727" t="n">
        <v>70789474</v>
      </c>
      <c r="G727">
        <f>E727-F727</f>
        <v/>
      </c>
      <c r="H727">
        <f>IF(E727&gt;0,F727/E727,0)</f>
        <v/>
      </c>
      <c r="I727" s="28" t="n">
        <v>46230</v>
      </c>
      <c r="J727" t="inlineStr">
        <is>
          <t>Al día</t>
        </is>
      </c>
      <c r="K727" t="inlineStr">
        <is>
          <t>Andrés Torres</t>
        </is>
      </c>
    </row>
    <row r="728" ht="15.75" customHeight="1" s="25">
      <c r="A728" t="inlineStr">
        <is>
          <t>PAG-0726</t>
        </is>
      </c>
      <c r="B728" t="inlineStr">
        <is>
          <t>Andrés Toro Quintero</t>
        </is>
      </c>
      <c r="C728" t="inlineStr">
        <is>
          <t>PRY-005</t>
        </is>
      </c>
      <c r="D728" t="inlineStr">
        <is>
          <t>Cuota inicial</t>
        </is>
      </c>
      <c r="E728" t="n">
        <v>110000000</v>
      </c>
      <c r="F728" t="n">
        <v>25384615</v>
      </c>
      <c r="G728">
        <f>E728-F728</f>
        <v/>
      </c>
      <c r="H728">
        <f>IF(E728&gt;0,F728/E728,0)</f>
        <v/>
      </c>
      <c r="I728" s="28" t="n">
        <v>46140</v>
      </c>
      <c r="J728" t="inlineStr">
        <is>
          <t>En mora</t>
        </is>
      </c>
      <c r="K728" t="inlineStr">
        <is>
          <t>Ana Quintero</t>
        </is>
      </c>
    </row>
    <row r="729" ht="15.75" customHeight="1" s="25">
      <c r="A729" t="inlineStr">
        <is>
          <t>PAG-0727</t>
        </is>
      </c>
      <c r="B729" t="inlineStr">
        <is>
          <t>Liliana Uribe Muñoz</t>
        </is>
      </c>
      <c r="C729" t="inlineStr">
        <is>
          <t>PRY-008</t>
        </is>
      </c>
      <c r="D729" t="inlineStr">
        <is>
          <t>Cuota inicial</t>
        </is>
      </c>
      <c r="E729" t="n">
        <v>35000000</v>
      </c>
      <c r="F729" t="n">
        <v>35000000</v>
      </c>
      <c r="G729">
        <f>E729-F729</f>
        <v/>
      </c>
      <c r="H729">
        <f>IF(E729&gt;0,F729/E729,0)</f>
        <v/>
      </c>
      <c r="I729" s="28" t="n">
        <v>46081</v>
      </c>
      <c r="J729" t="inlineStr">
        <is>
          <t>Pagado</t>
        </is>
      </c>
      <c r="K729" t="inlineStr">
        <is>
          <t>Mateo Herrera</t>
        </is>
      </c>
    </row>
    <row r="730" ht="15.75" customHeight="1" s="25">
      <c r="A730" t="inlineStr">
        <is>
          <t>PAG-0728</t>
        </is>
      </c>
      <c r="B730" t="inlineStr">
        <is>
          <t>Liliana Uribe Muñoz</t>
        </is>
      </c>
      <c r="C730" t="inlineStr">
        <is>
          <t>PRY-008</t>
        </is>
      </c>
      <c r="D730" t="inlineStr">
        <is>
          <t>Escrituración</t>
        </is>
      </c>
      <c r="E730" t="n">
        <v>141000000</v>
      </c>
      <c r="F730" t="n">
        <v>0</v>
      </c>
      <c r="G730">
        <f>E730-F730</f>
        <v/>
      </c>
      <c r="H730">
        <f>IF(E730&gt;0,F730/E730,0)</f>
        <v/>
      </c>
      <c r="I730" s="28" t="n">
        <v>46213</v>
      </c>
      <c r="J730" t="inlineStr">
        <is>
          <t>Pendiente</t>
        </is>
      </c>
      <c r="K730" t="inlineStr">
        <is>
          <t>Mateo Herrera</t>
        </is>
      </c>
    </row>
    <row r="731" ht="15.75" customHeight="1" s="25">
      <c r="A731" t="inlineStr">
        <is>
          <t>PAG-0729</t>
        </is>
      </c>
      <c r="B731" t="inlineStr">
        <is>
          <t>David Cano Zuluaga</t>
        </is>
      </c>
      <c r="C731" t="inlineStr">
        <is>
          <t>PRY-008</t>
        </is>
      </c>
      <c r="D731" t="inlineStr">
        <is>
          <t>Cuota inicial</t>
        </is>
      </c>
      <c r="E731" t="n">
        <v>35000000</v>
      </c>
      <c r="F731" t="n">
        <v>35000000</v>
      </c>
      <c r="G731">
        <f>E731-F731</f>
        <v/>
      </c>
      <c r="H731">
        <f>IF(E731&gt;0,F731/E731,0)</f>
        <v/>
      </c>
      <c r="I731" s="28" t="n">
        <v>46081</v>
      </c>
      <c r="J731" t="inlineStr">
        <is>
          <t>Pagado</t>
        </is>
      </c>
      <c r="K731" t="inlineStr">
        <is>
          <t>Luis Bedoya</t>
        </is>
      </c>
    </row>
    <row r="732" ht="15.75" customHeight="1" s="25">
      <c r="A732" t="inlineStr">
        <is>
          <t>PAG-0730</t>
        </is>
      </c>
      <c r="B732" t="inlineStr">
        <is>
          <t>David Cano Zuluaga</t>
        </is>
      </c>
      <c r="C732" t="inlineStr">
        <is>
          <t>PRY-008</t>
        </is>
      </c>
      <c r="D732" t="inlineStr">
        <is>
          <t>Escrituración</t>
        </is>
      </c>
      <c r="E732" t="n">
        <v>138000000</v>
      </c>
      <c r="F732" t="n">
        <v>138000000</v>
      </c>
      <c r="G732">
        <f>E732-F732</f>
        <v/>
      </c>
      <c r="H732">
        <f>IF(E732&gt;0,F732/E732,0)</f>
        <v/>
      </c>
      <c r="I732" s="28" t="n">
        <v>46115</v>
      </c>
      <c r="J732" t="inlineStr">
        <is>
          <t>Pagado</t>
        </is>
      </c>
      <c r="K732" t="inlineStr">
        <is>
          <t>Luis Bedoya</t>
        </is>
      </c>
    </row>
    <row r="733" ht="15.75" customHeight="1" s="25">
      <c r="A733" t="inlineStr">
        <is>
          <t>PAG-0731</t>
        </is>
      </c>
      <c r="B733" t="inlineStr">
        <is>
          <t>Valeria Marín Castaño</t>
        </is>
      </c>
      <c r="C733" t="inlineStr">
        <is>
          <t>PRY-005</t>
        </is>
      </c>
      <c r="D733" t="inlineStr">
        <is>
          <t>Cuota inicial</t>
        </is>
      </c>
      <c r="E733" t="n">
        <v>128000000</v>
      </c>
      <c r="F733" t="n">
        <v>55384615</v>
      </c>
      <c r="G733">
        <f>E733-F733</f>
        <v/>
      </c>
      <c r="H733">
        <f>IF(E733&gt;0,F733/E733,0)</f>
        <v/>
      </c>
      <c r="I733" s="28" t="n">
        <v>46234</v>
      </c>
      <c r="J733" t="inlineStr">
        <is>
          <t>Al día</t>
        </is>
      </c>
      <c r="K733" t="inlineStr">
        <is>
          <t>Luis Bedoya</t>
        </is>
      </c>
    </row>
    <row r="734" ht="15.75" customHeight="1" s="25">
      <c r="A734" t="inlineStr">
        <is>
          <t>PAG-0732</t>
        </is>
      </c>
      <c r="B734" t="inlineStr">
        <is>
          <t>David Sánchez Pérez</t>
        </is>
      </c>
      <c r="C734" t="inlineStr">
        <is>
          <t>PRY-003</t>
        </is>
      </c>
      <c r="D734" t="inlineStr">
        <is>
          <t>Cuota inicial</t>
        </is>
      </c>
      <c r="E734" t="n">
        <v>99000000</v>
      </c>
      <c r="F734" t="n">
        <v>49555556</v>
      </c>
      <c r="G734">
        <f>E734-F734</f>
        <v/>
      </c>
      <c r="H734">
        <f>IF(E734&gt;0,F734/E734,0)</f>
        <v/>
      </c>
      <c r="I734" s="28" t="n">
        <v>46206</v>
      </c>
      <c r="J734" t="inlineStr">
        <is>
          <t>Al día</t>
        </is>
      </c>
      <c r="K734" t="inlineStr">
        <is>
          <t>Paula Arenas</t>
        </is>
      </c>
    </row>
    <row r="735" ht="15.75" customHeight="1" s="25">
      <c r="A735" t="inlineStr">
        <is>
          <t>PAG-0733</t>
        </is>
      </c>
      <c r="B735" t="inlineStr">
        <is>
          <t>Fernando Palacio Zapata</t>
        </is>
      </c>
      <c r="C735" t="inlineStr">
        <is>
          <t>PRY-003</t>
        </is>
      </c>
      <c r="D735" t="inlineStr">
        <is>
          <t>Cuota inicial</t>
        </is>
      </c>
      <c r="E735" t="n">
        <v>111000000</v>
      </c>
      <c r="F735" t="n">
        <v>54888889</v>
      </c>
      <c r="G735">
        <f>E735-F735</f>
        <v/>
      </c>
      <c r="H735">
        <f>IF(E735&gt;0,F735/E735,0)</f>
        <v/>
      </c>
      <c r="I735" s="28" t="n">
        <v>46209</v>
      </c>
      <c r="J735" t="inlineStr">
        <is>
          <t>Al día</t>
        </is>
      </c>
      <c r="K735" t="inlineStr">
        <is>
          <t>Santiago Muñoz</t>
        </is>
      </c>
    </row>
    <row r="736" ht="15.75" customHeight="1" s="25">
      <c r="A736" t="inlineStr">
        <is>
          <t>PAG-0734</t>
        </is>
      </c>
      <c r="B736" t="inlineStr">
        <is>
          <t>Lorena Gaviria Escobar</t>
        </is>
      </c>
      <c r="C736" t="inlineStr">
        <is>
          <t>PRY-003</t>
        </is>
      </c>
      <c r="D736" t="inlineStr">
        <is>
          <t>Cuota inicial</t>
        </is>
      </c>
      <c r="E736" t="n">
        <v>113000000</v>
      </c>
      <c r="F736" t="n">
        <v>55777778</v>
      </c>
      <c r="G736">
        <f>E736-F736</f>
        <v/>
      </c>
      <c r="H736">
        <f>IF(E736&gt;0,F736/E736,0)</f>
        <v/>
      </c>
      <c r="I736" s="28" t="n">
        <v>46210</v>
      </c>
      <c r="J736" t="inlineStr">
        <is>
          <t>Al día</t>
        </is>
      </c>
      <c r="K736" t="inlineStr">
        <is>
          <t>Daniela Ríos</t>
        </is>
      </c>
    </row>
    <row r="737" ht="15.75" customHeight="1" s="25">
      <c r="A737" t="inlineStr">
        <is>
          <t>PAG-0735</t>
        </is>
      </c>
      <c r="B737" t="inlineStr">
        <is>
          <t>Alejandra Betancur Pérez</t>
        </is>
      </c>
      <c r="C737" t="inlineStr">
        <is>
          <t>PRY-007</t>
        </is>
      </c>
      <c r="D737" t="inlineStr">
        <is>
          <t>Cuota inicial</t>
        </is>
      </c>
      <c r="E737" t="n">
        <v>235000000</v>
      </c>
      <c r="F737" t="n">
        <v>60000000</v>
      </c>
      <c r="G737">
        <f>E737-F737</f>
        <v/>
      </c>
      <c r="H737">
        <f>IF(E737&gt;0,F737/E737,0)</f>
        <v/>
      </c>
      <c r="I737" s="28" t="n">
        <v>46211</v>
      </c>
      <c r="J737" t="inlineStr">
        <is>
          <t>Al día</t>
        </is>
      </c>
      <c r="K737" t="inlineStr">
        <is>
          <t>Sofía Prada</t>
        </is>
      </c>
    </row>
    <row r="738" ht="15.75" customHeight="1" s="25">
      <c r="A738" t="inlineStr">
        <is>
          <t>PAG-0736</t>
        </is>
      </c>
      <c r="B738" t="inlineStr">
        <is>
          <t>Ricardo Henao Correa</t>
        </is>
      </c>
      <c r="C738" t="inlineStr">
        <is>
          <t>PRY-005</t>
        </is>
      </c>
      <c r="D738" t="inlineStr">
        <is>
          <t>Cuota inicial</t>
        </is>
      </c>
      <c r="E738" t="n">
        <v>126000000</v>
      </c>
      <c r="F738" t="n">
        <v>48666667</v>
      </c>
      <c r="G738">
        <f>E738-F738</f>
        <v/>
      </c>
      <c r="H738">
        <f>IF(E738&gt;0,F738/E738,0)</f>
        <v/>
      </c>
      <c r="I738" s="28" t="n">
        <v>46212</v>
      </c>
      <c r="J738" t="inlineStr">
        <is>
          <t>Al día</t>
        </is>
      </c>
      <c r="K738" t="inlineStr">
        <is>
          <t>Sofía Prada</t>
        </is>
      </c>
    </row>
    <row r="739" ht="15.75" customHeight="1" s="25">
      <c r="A739" t="inlineStr">
        <is>
          <t>PAG-0737</t>
        </is>
      </c>
      <c r="B739" t="inlineStr">
        <is>
          <t>Camila Salcedo Cardona</t>
        </is>
      </c>
      <c r="C739" t="inlineStr">
        <is>
          <t>PRY-003</t>
        </is>
      </c>
      <c r="D739" t="inlineStr">
        <is>
          <t>Cuota inicial</t>
        </is>
      </c>
      <c r="E739" t="n">
        <v>99000000</v>
      </c>
      <c r="F739" t="n">
        <v>49555556</v>
      </c>
      <c r="G739">
        <f>E739-F739</f>
        <v/>
      </c>
      <c r="H739">
        <f>IF(E739&gt;0,F739/E739,0)</f>
        <v/>
      </c>
      <c r="I739" s="28" t="n">
        <v>46213</v>
      </c>
      <c r="J739" t="inlineStr">
        <is>
          <t>Al día</t>
        </is>
      </c>
      <c r="K739" t="inlineStr">
        <is>
          <t>Santiago Muñoz</t>
        </is>
      </c>
    </row>
    <row r="740" ht="15.75" customHeight="1" s="25">
      <c r="A740" t="inlineStr">
        <is>
          <t>PAG-0738</t>
        </is>
      </c>
      <c r="B740" t="inlineStr">
        <is>
          <t>Rodrigo Ramírez Arango</t>
        </is>
      </c>
      <c r="C740" t="inlineStr">
        <is>
          <t>PRY-007</t>
        </is>
      </c>
      <c r="D740" t="inlineStr">
        <is>
          <t>Cuota inicial</t>
        </is>
      </c>
      <c r="E740" t="n">
        <v>190000000</v>
      </c>
      <c r="F740" t="n">
        <v>50000000</v>
      </c>
      <c r="G740">
        <f>E740-F740</f>
        <v/>
      </c>
      <c r="H740">
        <f>IF(E740&gt;0,F740/E740,0)</f>
        <v/>
      </c>
      <c r="I740" s="28" t="n">
        <v>46213</v>
      </c>
      <c r="J740" t="inlineStr">
        <is>
          <t>Al día</t>
        </is>
      </c>
      <c r="K740" t="inlineStr">
        <is>
          <t>Luis Bedoya</t>
        </is>
      </c>
    </row>
    <row r="741" ht="15.75" customHeight="1" s="25">
      <c r="A741" t="inlineStr">
        <is>
          <t>PAG-0739</t>
        </is>
      </c>
      <c r="B741" t="inlineStr">
        <is>
          <t>Tomás Echeverri Gómez</t>
        </is>
      </c>
      <c r="C741" t="inlineStr">
        <is>
          <t>PRY-008</t>
        </is>
      </c>
      <c r="D741" t="inlineStr">
        <is>
          <t>Cuota inicial</t>
        </is>
      </c>
      <c r="E741" t="n">
        <v>33000000</v>
      </c>
      <c r="F741" t="n">
        <v>33000000</v>
      </c>
      <c r="G741">
        <f>E741-F741</f>
        <v/>
      </c>
      <c r="H741">
        <f>IF(E741&gt;0,F741/E741,0)</f>
        <v/>
      </c>
      <c r="I741" s="28" t="n">
        <v>46091</v>
      </c>
      <c r="J741" t="inlineStr">
        <is>
          <t>Pagado</t>
        </is>
      </c>
      <c r="K741" t="inlineStr">
        <is>
          <t>Miguel Salazar</t>
        </is>
      </c>
    </row>
    <row r="742" ht="15.75" customHeight="1" s="25">
      <c r="A742" t="inlineStr">
        <is>
          <t>PAG-0740</t>
        </is>
      </c>
      <c r="B742" t="inlineStr">
        <is>
          <t>Tomás Echeverri Gómez</t>
        </is>
      </c>
      <c r="C742" t="inlineStr">
        <is>
          <t>PRY-008</t>
        </is>
      </c>
      <c r="D742" t="inlineStr">
        <is>
          <t>Escrituración</t>
        </is>
      </c>
      <c r="E742" t="n">
        <v>134000000</v>
      </c>
      <c r="F742" t="n">
        <v>134000000</v>
      </c>
      <c r="G742">
        <f>E742-F742</f>
        <v/>
      </c>
      <c r="H742">
        <f>IF(E742&gt;0,F742/E742,0)</f>
        <v/>
      </c>
      <c r="I742" s="28" t="n">
        <v>46165</v>
      </c>
      <c r="J742" t="inlineStr">
        <is>
          <t>Pagado</t>
        </is>
      </c>
      <c r="K742" t="inlineStr">
        <is>
          <t>Miguel Salazar</t>
        </is>
      </c>
    </row>
    <row r="743" ht="15.75" customHeight="1" s="25">
      <c r="A743" t="inlineStr">
        <is>
          <t>PAG-0741</t>
        </is>
      </c>
      <c r="B743" t="inlineStr">
        <is>
          <t>Liliana Palacio Sánchez</t>
        </is>
      </c>
      <c r="C743" t="inlineStr">
        <is>
          <t>PRY-006</t>
        </is>
      </c>
      <c r="D743" t="inlineStr">
        <is>
          <t>Cuota inicial</t>
        </is>
      </c>
      <c r="E743" t="n">
        <v>179000000</v>
      </c>
      <c r="F743" t="n">
        <v>40727273</v>
      </c>
      <c r="G743">
        <f>E743-F743</f>
        <v/>
      </c>
      <c r="H743">
        <f>IF(E743&gt;0,F743/E743,0)</f>
        <v/>
      </c>
      <c r="I743" s="28" t="n">
        <v>46214</v>
      </c>
      <c r="J743" t="inlineStr">
        <is>
          <t>Al día</t>
        </is>
      </c>
      <c r="K743" t="inlineStr">
        <is>
          <t>Andrés Torres</t>
        </is>
      </c>
    </row>
    <row r="744" ht="15.75" customHeight="1" s="25">
      <c r="A744" t="inlineStr">
        <is>
          <t>PAG-0742</t>
        </is>
      </c>
      <c r="B744" t="inlineStr">
        <is>
          <t>Jhon Valencia Osorio</t>
        </is>
      </c>
      <c r="C744" t="inlineStr">
        <is>
          <t>PRY-008</t>
        </is>
      </c>
      <c r="D744" t="inlineStr">
        <is>
          <t>Cuota inicial</t>
        </is>
      </c>
      <c r="E744" t="n">
        <v>33000000</v>
      </c>
      <c r="F744" t="n">
        <v>33000000</v>
      </c>
      <c r="G744">
        <f>E744-F744</f>
        <v/>
      </c>
      <c r="H744">
        <f>IF(E744&gt;0,F744/E744,0)</f>
        <v/>
      </c>
      <c r="I744" s="28" t="n">
        <v>46094</v>
      </c>
      <c r="J744" t="inlineStr">
        <is>
          <t>Pagado</t>
        </is>
      </c>
      <c r="K744" t="inlineStr">
        <is>
          <t>Miguel Salazar</t>
        </is>
      </c>
    </row>
    <row r="745" ht="15.75" customHeight="1" s="25">
      <c r="A745" t="inlineStr">
        <is>
          <t>PAG-0743</t>
        </is>
      </c>
      <c r="B745" t="inlineStr">
        <is>
          <t>Jhon Valencia Osorio</t>
        </is>
      </c>
      <c r="C745" t="inlineStr">
        <is>
          <t>PRY-008</t>
        </is>
      </c>
      <c r="D745" t="inlineStr">
        <is>
          <t>Escrituración</t>
        </is>
      </c>
      <c r="E745" t="n">
        <v>131000000</v>
      </c>
      <c r="F745" t="n">
        <v>131000000</v>
      </c>
      <c r="G745">
        <f>E745-F745</f>
        <v/>
      </c>
      <c r="H745">
        <f>IF(E745&gt;0,F745/E745,0)</f>
        <v/>
      </c>
      <c r="I745" s="28" t="n">
        <v>46175</v>
      </c>
      <c r="J745" t="inlineStr">
        <is>
          <t>Pagado</t>
        </is>
      </c>
      <c r="K745" t="inlineStr">
        <is>
          <t>Miguel Salazar</t>
        </is>
      </c>
    </row>
    <row r="746" ht="15.75" customHeight="1" s="25">
      <c r="A746" t="inlineStr">
        <is>
          <t>PAG-0744</t>
        </is>
      </c>
      <c r="B746" t="inlineStr">
        <is>
          <t>Daniela Echeverri Higuita</t>
        </is>
      </c>
      <c r="C746" t="inlineStr">
        <is>
          <t>PRY-003</t>
        </is>
      </c>
      <c r="D746" t="inlineStr">
        <is>
          <t>Cuota inicial</t>
        </is>
      </c>
      <c r="E746" t="n">
        <v>110000000</v>
      </c>
      <c r="F746" t="n">
        <v>54444444</v>
      </c>
      <c r="G746">
        <f>E746-F746</f>
        <v/>
      </c>
      <c r="H746">
        <f>IF(E746&gt;0,F746/E746,0)</f>
        <v/>
      </c>
      <c r="I746" s="28" t="n">
        <v>46219</v>
      </c>
      <c r="J746" t="inlineStr">
        <is>
          <t>Al día</t>
        </is>
      </c>
      <c r="K746" t="inlineStr">
        <is>
          <t>Mateo Herrera</t>
        </is>
      </c>
    </row>
    <row r="747" ht="15.75" customHeight="1" s="25">
      <c r="A747" t="inlineStr">
        <is>
          <t>PAG-0745</t>
        </is>
      </c>
      <c r="B747" t="inlineStr">
        <is>
          <t>Mónica Montoya Osorio</t>
        </is>
      </c>
      <c r="C747" t="inlineStr">
        <is>
          <t>PRY-002</t>
        </is>
      </c>
      <c r="D747" t="inlineStr">
        <is>
          <t>Cuota inicial</t>
        </is>
      </c>
      <c r="E747" t="n">
        <v>236000000</v>
      </c>
      <c r="F747" t="n">
        <v>53047619</v>
      </c>
      <c r="G747">
        <f>E747-F747</f>
        <v/>
      </c>
      <c r="H747">
        <f>IF(E747&gt;0,F747/E747,0)</f>
        <v/>
      </c>
      <c r="I747" s="28" t="n">
        <v>46220</v>
      </c>
      <c r="J747" t="inlineStr">
        <is>
          <t>Al día</t>
        </is>
      </c>
      <c r="K747" t="inlineStr">
        <is>
          <t>Luis Bedoya</t>
        </is>
      </c>
    </row>
    <row r="748" ht="15.75" customHeight="1" s="25">
      <c r="A748" t="inlineStr">
        <is>
          <t>PAG-0746</t>
        </is>
      </c>
      <c r="B748" t="inlineStr">
        <is>
          <t>Hernán Rojas Muñoz</t>
        </is>
      </c>
      <c r="C748" t="inlineStr">
        <is>
          <t>PRY-001</t>
        </is>
      </c>
      <c r="D748" t="inlineStr">
        <is>
          <t>Cuota inicial</t>
        </is>
      </c>
      <c r="E748" t="n">
        <v>187000000</v>
      </c>
      <c r="F748" t="n">
        <v>57200000</v>
      </c>
      <c r="G748">
        <f>E748-F748</f>
        <v/>
      </c>
      <c r="H748">
        <f>IF(E748&gt;0,F748/E748,0)</f>
        <v/>
      </c>
      <c r="I748" s="28" t="n">
        <v>46224</v>
      </c>
      <c r="J748" t="inlineStr">
        <is>
          <t>Al día</t>
        </is>
      </c>
      <c r="K748" t="inlineStr">
        <is>
          <t>Luis Bedoya</t>
        </is>
      </c>
    </row>
    <row r="749" ht="15.75" customHeight="1" s="25">
      <c r="A749" t="inlineStr">
        <is>
          <t>PAG-0747</t>
        </is>
      </c>
      <c r="B749" t="inlineStr">
        <is>
          <t>Luisa Echeverri Franco</t>
        </is>
      </c>
      <c r="C749" t="inlineStr">
        <is>
          <t>PRY-005</t>
        </is>
      </c>
      <c r="D749" t="inlineStr">
        <is>
          <t>Cuota inicial</t>
        </is>
      </c>
      <c r="E749" t="n">
        <v>137000000</v>
      </c>
      <c r="F749" t="n">
        <v>52333333</v>
      </c>
      <c r="G749">
        <f>E749-F749</f>
        <v/>
      </c>
      <c r="H749">
        <f>IF(E749&gt;0,F749/E749,0)</f>
        <v/>
      </c>
      <c r="I749" s="28" t="n">
        <v>46225</v>
      </c>
      <c r="J749" t="inlineStr">
        <is>
          <t>Al día</t>
        </is>
      </c>
      <c r="K749" t="inlineStr">
        <is>
          <t>Miguel Salazar</t>
        </is>
      </c>
    </row>
    <row r="750" ht="15.75" customHeight="1" s="25">
      <c r="A750" t="inlineStr">
        <is>
          <t>PAG-0748</t>
        </is>
      </c>
      <c r="B750" t="inlineStr">
        <is>
          <t>Diego Zuluaga Cifuentes</t>
        </is>
      </c>
      <c r="C750" t="inlineStr">
        <is>
          <t>PRY-005</t>
        </is>
      </c>
      <c r="D750" t="inlineStr">
        <is>
          <t>Cuota inicial</t>
        </is>
      </c>
      <c r="E750" t="n">
        <v>106000000</v>
      </c>
      <c r="F750" t="n">
        <v>42000000</v>
      </c>
      <c r="G750">
        <f>E750-F750</f>
        <v/>
      </c>
      <c r="H750">
        <f>IF(E750&gt;0,F750/E750,0)</f>
        <v/>
      </c>
      <c r="I750" s="28" t="n">
        <v>46227</v>
      </c>
      <c r="J750" t="inlineStr">
        <is>
          <t>Al día</t>
        </is>
      </c>
      <c r="K750" t="inlineStr">
        <is>
          <t>Luis Bedoya</t>
        </is>
      </c>
    </row>
    <row r="751" ht="15.75" customHeight="1" s="25">
      <c r="A751" t="inlineStr">
        <is>
          <t>PAG-0749</t>
        </is>
      </c>
      <c r="B751" t="inlineStr">
        <is>
          <t>Sara Agudelo Toro</t>
        </is>
      </c>
      <c r="C751" t="inlineStr">
        <is>
          <t>PRY-001</t>
        </is>
      </c>
      <c r="D751" t="inlineStr">
        <is>
          <t>Cuota inicial</t>
        </is>
      </c>
      <c r="E751" t="n">
        <v>203000000</v>
      </c>
      <c r="F751" t="n">
        <v>61466667</v>
      </c>
      <c r="G751">
        <f>E751-F751</f>
        <v/>
      </c>
      <c r="H751">
        <f>IF(E751&gt;0,F751/E751,0)</f>
        <v/>
      </c>
      <c r="I751" s="28" t="n">
        <v>46228</v>
      </c>
      <c r="J751" t="inlineStr">
        <is>
          <t>Al día</t>
        </is>
      </c>
      <c r="K751" t="inlineStr">
        <is>
          <t>Paula Arenas</t>
        </is>
      </c>
    </row>
    <row r="752" ht="15.75" customHeight="1" s="25">
      <c r="A752" t="inlineStr">
        <is>
          <t>PAG-0750</t>
        </is>
      </c>
      <c r="B752" t="inlineStr">
        <is>
          <t>Hernán Duque Castaño</t>
        </is>
      </c>
      <c r="C752" t="inlineStr">
        <is>
          <t>PRY-008</t>
        </is>
      </c>
      <c r="D752" t="inlineStr">
        <is>
          <t>Cuota inicial</t>
        </is>
      </c>
      <c r="E752" t="n">
        <v>34000000</v>
      </c>
      <c r="F752" t="n">
        <v>34000000</v>
      </c>
      <c r="G752">
        <f>E752-F752</f>
        <v/>
      </c>
      <c r="H752">
        <f>IF(E752&gt;0,F752/E752,0)</f>
        <v/>
      </c>
      <c r="I752" s="28" t="n">
        <v>46106</v>
      </c>
      <c r="J752" t="inlineStr">
        <is>
          <t>Pagado</t>
        </is>
      </c>
      <c r="K752" t="inlineStr">
        <is>
          <t>Luis Bedoya</t>
        </is>
      </c>
    </row>
    <row r="753" ht="15.75" customHeight="1" s="25">
      <c r="A753" t="inlineStr">
        <is>
          <t>PAG-0751</t>
        </is>
      </c>
      <c r="B753" t="inlineStr">
        <is>
          <t>Hernán Duque Castaño</t>
        </is>
      </c>
      <c r="C753" t="inlineStr">
        <is>
          <t>PRY-008</t>
        </is>
      </c>
      <c r="D753" t="inlineStr">
        <is>
          <t>Escrituración</t>
        </is>
      </c>
      <c r="E753" t="n">
        <v>136000000</v>
      </c>
      <c r="F753" t="n">
        <v>136000000</v>
      </c>
      <c r="G753">
        <f>E753-F753</f>
        <v/>
      </c>
      <c r="H753">
        <f>IF(E753&gt;0,F753/E753,0)</f>
        <v/>
      </c>
      <c r="I753" s="28" t="n">
        <v>46165</v>
      </c>
      <c r="J753" t="inlineStr">
        <is>
          <t>Pagado</t>
        </is>
      </c>
      <c r="K753" t="inlineStr">
        <is>
          <t>Luis Bedoya</t>
        </is>
      </c>
    </row>
    <row r="754" ht="15.75" customHeight="1" s="25">
      <c r="A754" t="inlineStr">
        <is>
          <t>PAG-0752</t>
        </is>
      </c>
      <c r="B754" t="inlineStr">
        <is>
          <t>Ricardo Álvarez Henao</t>
        </is>
      </c>
      <c r="C754" t="inlineStr">
        <is>
          <t>PRY-001</t>
        </is>
      </c>
      <c r="D754" t="inlineStr">
        <is>
          <t>Cuota inicial</t>
        </is>
      </c>
      <c r="E754" t="n">
        <v>250000000</v>
      </c>
      <c r="F754" t="n">
        <v>74000000</v>
      </c>
      <c r="G754">
        <f>E754-F754</f>
        <v/>
      </c>
      <c r="H754">
        <f>IF(E754&gt;0,F754/E754,0)</f>
        <v/>
      </c>
      <c r="I754" s="28" t="n">
        <v>46230</v>
      </c>
      <c r="J754" t="inlineStr">
        <is>
          <t>Al día</t>
        </is>
      </c>
      <c r="K754" t="inlineStr">
        <is>
          <t>Sofía Prada</t>
        </is>
      </c>
    </row>
    <row r="755" ht="15.75" customHeight="1" s="25">
      <c r="A755" t="inlineStr">
        <is>
          <t>PAG-0753</t>
        </is>
      </c>
      <c r="B755" t="inlineStr">
        <is>
          <t>Emilio Sánchez Gómez</t>
        </is>
      </c>
      <c r="C755" t="inlineStr">
        <is>
          <t>PRY-003</t>
        </is>
      </c>
      <c r="D755" t="inlineStr">
        <is>
          <t>Cuota inicial</t>
        </is>
      </c>
      <c r="E755" t="n">
        <v>98000000</v>
      </c>
      <c r="F755" t="n">
        <v>43000000</v>
      </c>
      <c r="G755">
        <f>E755-F755</f>
        <v/>
      </c>
      <c r="H755">
        <f>IF(E755&gt;0,F755/E755,0)</f>
        <v/>
      </c>
      <c r="I755" s="28" t="n">
        <v>46205</v>
      </c>
      <c r="J755" t="inlineStr">
        <is>
          <t>Al día</t>
        </is>
      </c>
      <c r="K755" t="inlineStr">
        <is>
          <t>Luis Bedoya</t>
        </is>
      </c>
    </row>
    <row r="756" ht="15.75" customHeight="1" s="25">
      <c r="A756" t="inlineStr">
        <is>
          <t>PAG-0754</t>
        </is>
      </c>
      <c r="B756" t="inlineStr">
        <is>
          <t>Gabriel Cifuentes Henao</t>
        </is>
      </c>
      <c r="C756" t="inlineStr">
        <is>
          <t>PRY-006</t>
        </is>
      </c>
      <c r="D756" t="inlineStr">
        <is>
          <t>Cuota inicial</t>
        </is>
      </c>
      <c r="E756" t="n">
        <v>148000000</v>
      </c>
      <c r="F756" t="n">
        <v>29714286</v>
      </c>
      <c r="G756">
        <f>E756-F756</f>
        <v/>
      </c>
      <c r="H756">
        <f>IF(E756&gt;0,F756/E756,0)</f>
        <v/>
      </c>
      <c r="I756" s="28" t="n">
        <v>46206</v>
      </c>
      <c r="J756" t="inlineStr">
        <is>
          <t>Al día</t>
        </is>
      </c>
      <c r="K756" t="inlineStr">
        <is>
          <t>Luis Bedoya</t>
        </is>
      </c>
    </row>
    <row r="757" ht="15.75" customHeight="1" s="25">
      <c r="A757" t="inlineStr">
        <is>
          <t>PAG-0755</t>
        </is>
      </c>
      <c r="B757" t="inlineStr">
        <is>
          <t>Manuela Arango Londoño</t>
        </is>
      </c>
      <c r="C757" t="inlineStr">
        <is>
          <t>PRY-005</t>
        </is>
      </c>
      <c r="D757" t="inlineStr">
        <is>
          <t>Cuota inicial</t>
        </is>
      </c>
      <c r="E757" t="n">
        <v>143000000</v>
      </c>
      <c r="F757" t="n">
        <v>46272727</v>
      </c>
      <c r="G757">
        <f>E757-F757</f>
        <v/>
      </c>
      <c r="H757">
        <f>IF(E757&gt;0,F757/E757,0)</f>
        <v/>
      </c>
      <c r="I757" s="28" t="n">
        <v>46207</v>
      </c>
      <c r="J757" t="inlineStr">
        <is>
          <t>Al día</t>
        </is>
      </c>
      <c r="K757" t="inlineStr">
        <is>
          <t>Sofía Prada</t>
        </is>
      </c>
    </row>
    <row r="758" ht="15.75" customHeight="1" s="25">
      <c r="A758" t="inlineStr">
        <is>
          <t>PAG-0756</t>
        </is>
      </c>
      <c r="B758" t="inlineStr">
        <is>
          <t>José Bedoya Correa</t>
        </is>
      </c>
      <c r="C758" t="inlineStr">
        <is>
          <t>PRY-002</t>
        </is>
      </c>
      <c r="D758" t="inlineStr">
        <is>
          <t>Cuota inicial</t>
        </is>
      </c>
      <c r="E758" t="n">
        <v>238000000</v>
      </c>
      <c r="F758" t="n">
        <v>44200000</v>
      </c>
      <c r="G758">
        <f>E758-F758</f>
        <v/>
      </c>
      <c r="H758">
        <f>IF(E758&gt;0,F758/E758,0)</f>
        <v/>
      </c>
      <c r="I758" s="28" t="n">
        <v>46209</v>
      </c>
      <c r="J758" t="inlineStr">
        <is>
          <t>Al día</t>
        </is>
      </c>
      <c r="K758" t="inlineStr">
        <is>
          <t>Mateo Herrera</t>
        </is>
      </c>
    </row>
    <row r="759" ht="15.75" customHeight="1" s="25">
      <c r="A759" t="inlineStr">
        <is>
          <t>PAG-0757</t>
        </is>
      </c>
      <c r="B759" t="inlineStr">
        <is>
          <t>Camila Vásquez Ochoa</t>
        </is>
      </c>
      <c r="C759" t="inlineStr">
        <is>
          <t>PRY-002</t>
        </is>
      </c>
      <c r="D759" t="inlineStr">
        <is>
          <t>Cuota inicial</t>
        </is>
      </c>
      <c r="E759" t="n">
        <v>224000000</v>
      </c>
      <c r="F759" t="n">
        <v>42100000</v>
      </c>
      <c r="G759">
        <f>E759-F759</f>
        <v/>
      </c>
      <c r="H759">
        <f>IF(E759&gt;0,F759/E759,0)</f>
        <v/>
      </c>
      <c r="I759" s="28" t="n">
        <v>46211</v>
      </c>
      <c r="J759" t="inlineStr">
        <is>
          <t>Al día</t>
        </is>
      </c>
      <c r="K759" t="inlineStr">
        <is>
          <t>Luis Bedoya</t>
        </is>
      </c>
    </row>
    <row r="760" ht="15.75" customHeight="1" s="25">
      <c r="A760" t="inlineStr">
        <is>
          <t>PAG-0758</t>
        </is>
      </c>
      <c r="B760" t="inlineStr">
        <is>
          <t>Carolina Pérez Agudelo</t>
        </is>
      </c>
      <c r="C760" t="inlineStr">
        <is>
          <t>PRY-001</t>
        </is>
      </c>
      <c r="D760" t="inlineStr">
        <is>
          <t>Cuota inicial</t>
        </is>
      </c>
      <c r="E760" t="n">
        <v>220000000</v>
      </c>
      <c r="F760" t="n">
        <v>55000000</v>
      </c>
      <c r="G760">
        <f>E760-F760</f>
        <v/>
      </c>
      <c r="H760">
        <f>IF(E760&gt;0,F760/E760,0)</f>
        <v/>
      </c>
      <c r="I760" s="28" t="n">
        <v>46212</v>
      </c>
      <c r="J760" t="inlineStr">
        <is>
          <t>Al día</t>
        </is>
      </c>
      <c r="K760" t="inlineStr">
        <is>
          <t>Sofía Prada</t>
        </is>
      </c>
    </row>
    <row r="761" ht="15.75" customHeight="1" s="25">
      <c r="A761" t="inlineStr">
        <is>
          <t>PAG-0759</t>
        </is>
      </c>
      <c r="B761" t="inlineStr">
        <is>
          <t>Marcela Higuita Rojas</t>
        </is>
      </c>
      <c r="C761" t="inlineStr">
        <is>
          <t>PRY-008</t>
        </is>
      </c>
      <c r="D761" t="inlineStr">
        <is>
          <t>Cuota inicial</t>
        </is>
      </c>
      <c r="E761" t="n">
        <v>34000000</v>
      </c>
      <c r="F761" t="n">
        <v>34000000</v>
      </c>
      <c r="G761">
        <f>E761-F761</f>
        <v/>
      </c>
      <c r="H761">
        <f>IF(E761&gt;0,F761/E761,0)</f>
        <v/>
      </c>
      <c r="I761" s="28" t="n">
        <v>46121</v>
      </c>
      <c r="J761" t="inlineStr">
        <is>
          <t>Pagado</t>
        </is>
      </c>
      <c r="K761" t="inlineStr">
        <is>
          <t>Juliana Vélez</t>
        </is>
      </c>
    </row>
    <row r="762" ht="15.75" customHeight="1" s="25">
      <c r="A762" t="inlineStr">
        <is>
          <t>PAG-0760</t>
        </is>
      </c>
      <c r="B762" t="inlineStr">
        <is>
          <t>Marcela Higuita Rojas</t>
        </is>
      </c>
      <c r="C762" t="inlineStr">
        <is>
          <t>PRY-008</t>
        </is>
      </c>
      <c r="D762" t="inlineStr">
        <is>
          <t>Escrituración</t>
        </is>
      </c>
      <c r="E762" t="n">
        <v>134000000</v>
      </c>
      <c r="F762" t="n">
        <v>134000000</v>
      </c>
      <c r="G762">
        <f>E762-F762</f>
        <v/>
      </c>
      <c r="H762">
        <f>IF(E762&gt;0,F762/E762,0)</f>
        <v/>
      </c>
      <c r="I762" s="28" t="n">
        <v>46124</v>
      </c>
      <c r="J762" t="inlineStr">
        <is>
          <t>Pagado</t>
        </is>
      </c>
      <c r="K762" t="inlineStr">
        <is>
          <t>Juliana Vélez</t>
        </is>
      </c>
    </row>
    <row r="763" ht="15.75" customHeight="1" s="25">
      <c r="A763" t="inlineStr">
        <is>
          <t>PAG-0761</t>
        </is>
      </c>
      <c r="B763" t="inlineStr">
        <is>
          <t>Natalia Gómez Ramírez</t>
        </is>
      </c>
      <c r="C763" t="inlineStr">
        <is>
          <t>PRY-005</t>
        </is>
      </c>
      <c r="D763" t="inlineStr">
        <is>
          <t>Cuota inicial</t>
        </is>
      </c>
      <c r="E763" t="n">
        <v>152000000</v>
      </c>
      <c r="F763" t="n">
        <v>48727273</v>
      </c>
      <c r="G763">
        <f>E763-F763</f>
        <v/>
      </c>
      <c r="H763">
        <f>IF(E763&gt;0,F763/E763,0)</f>
        <v/>
      </c>
      <c r="I763" s="28" t="n">
        <v>46213</v>
      </c>
      <c r="J763" t="inlineStr">
        <is>
          <t>Al día</t>
        </is>
      </c>
      <c r="K763" t="inlineStr">
        <is>
          <t>Andrés Torres</t>
        </is>
      </c>
    </row>
    <row r="764" ht="15.75" customHeight="1" s="25">
      <c r="A764" t="inlineStr">
        <is>
          <t>PAG-0762</t>
        </is>
      </c>
      <c r="B764" t="inlineStr">
        <is>
          <t>María Espinosa Franco</t>
        </is>
      </c>
      <c r="C764" t="inlineStr">
        <is>
          <t>PRY-003</t>
        </is>
      </c>
      <c r="D764" t="inlineStr">
        <is>
          <t>Cuota inicial</t>
        </is>
      </c>
      <c r="E764" t="n">
        <v>126000000</v>
      </c>
      <c r="F764" t="n">
        <v>53500000</v>
      </c>
      <c r="G764">
        <f>E764-F764</f>
        <v/>
      </c>
      <c r="H764">
        <f>IF(E764&gt;0,F764/E764,0)</f>
        <v/>
      </c>
      <c r="I764" s="28" t="n">
        <v>46214</v>
      </c>
      <c r="J764" t="inlineStr">
        <is>
          <t>Al día</t>
        </is>
      </c>
      <c r="K764" t="inlineStr">
        <is>
          <t>Andrés Torres</t>
        </is>
      </c>
    </row>
    <row r="765" ht="15.75" customHeight="1" s="25">
      <c r="A765" t="inlineStr">
        <is>
          <t>PAG-0763</t>
        </is>
      </c>
      <c r="B765" t="inlineStr">
        <is>
          <t>Emilio Ochoa Restrepo</t>
        </is>
      </c>
      <c r="C765" t="inlineStr">
        <is>
          <t>PRY-003</t>
        </is>
      </c>
      <c r="D765" t="inlineStr">
        <is>
          <t>Cuota inicial</t>
        </is>
      </c>
      <c r="E765" t="n">
        <v>130000000</v>
      </c>
      <c r="F765" t="n">
        <v>55000000</v>
      </c>
      <c r="G765">
        <f>E765-F765</f>
        <v/>
      </c>
      <c r="H765">
        <f>IF(E765&gt;0,F765/E765,0)</f>
        <v/>
      </c>
      <c r="I765" s="28" t="n">
        <v>46215</v>
      </c>
      <c r="J765" t="inlineStr">
        <is>
          <t>Al día</t>
        </is>
      </c>
      <c r="K765" t="inlineStr">
        <is>
          <t>Ana Quintero</t>
        </is>
      </c>
    </row>
    <row r="766" ht="15.75" customHeight="1" s="25">
      <c r="A766" t="inlineStr">
        <is>
          <t>PAG-0764</t>
        </is>
      </c>
      <c r="B766" t="inlineStr">
        <is>
          <t>Katherine Giraldo Muñoz</t>
        </is>
      </c>
      <c r="C766" t="inlineStr">
        <is>
          <t>PRY-007</t>
        </is>
      </c>
      <c r="D766" t="inlineStr">
        <is>
          <t>Cuota inicial</t>
        </is>
      </c>
      <c r="E766" t="n">
        <v>248000000</v>
      </c>
      <c r="F766" t="n">
        <v>52000000</v>
      </c>
      <c r="G766">
        <f>E766-F766</f>
        <v/>
      </c>
      <c r="H766">
        <f>IF(E766&gt;0,F766/E766,0)</f>
        <v/>
      </c>
      <c r="I766" s="28" t="n">
        <v>46216</v>
      </c>
      <c r="J766" t="inlineStr">
        <is>
          <t>Al día</t>
        </is>
      </c>
      <c r="K766" t="inlineStr">
        <is>
          <t>Paula Arenas</t>
        </is>
      </c>
    </row>
    <row r="767" ht="15.75" customHeight="1" s="25">
      <c r="A767" t="inlineStr">
        <is>
          <t>PAG-0765</t>
        </is>
      </c>
      <c r="B767" t="inlineStr">
        <is>
          <t>Esteban Osorio Cardona</t>
        </is>
      </c>
      <c r="C767" t="inlineStr">
        <is>
          <t>PRY-001</t>
        </is>
      </c>
      <c r="D767" t="inlineStr">
        <is>
          <t>Cuota inicial</t>
        </is>
      </c>
      <c r="E767" t="n">
        <v>233000000</v>
      </c>
      <c r="F767" t="n">
        <v>57785714</v>
      </c>
      <c r="G767">
        <f>E767-F767</f>
        <v/>
      </c>
      <c r="H767">
        <f>IF(E767&gt;0,F767/E767,0)</f>
        <v/>
      </c>
      <c r="I767" s="28" t="n">
        <v>46219</v>
      </c>
      <c r="J767" t="inlineStr">
        <is>
          <t>Al día</t>
        </is>
      </c>
      <c r="K767" t="inlineStr">
        <is>
          <t>Luis Bedoya</t>
        </is>
      </c>
    </row>
    <row r="768" ht="15.75" customHeight="1" s="25">
      <c r="A768" t="inlineStr">
        <is>
          <t>PAG-0766</t>
        </is>
      </c>
      <c r="B768" t="inlineStr">
        <is>
          <t>Verónica Pérez Correa</t>
        </is>
      </c>
      <c r="C768" t="inlineStr">
        <is>
          <t>PRY-003</t>
        </is>
      </c>
      <c r="D768" t="inlineStr">
        <is>
          <t>Cuota inicial</t>
        </is>
      </c>
      <c r="E768" t="n">
        <v>144000000</v>
      </c>
      <c r="F768" t="n">
        <v>60250000</v>
      </c>
      <c r="G768">
        <f>E768-F768</f>
        <v/>
      </c>
      <c r="H768">
        <f>IF(E768&gt;0,F768/E768,0)</f>
        <v/>
      </c>
      <c r="I768" s="28" t="n">
        <v>46219</v>
      </c>
      <c r="J768" t="inlineStr">
        <is>
          <t>Al día</t>
        </is>
      </c>
      <c r="K768" t="inlineStr">
        <is>
          <t>Juliana Vélez</t>
        </is>
      </c>
    </row>
    <row r="769" ht="15.75" customHeight="1" s="25">
      <c r="A769" t="inlineStr">
        <is>
          <t>PAG-0767</t>
        </is>
      </c>
      <c r="B769" t="inlineStr">
        <is>
          <t>Jhon Arango Quintero</t>
        </is>
      </c>
      <c r="C769" t="inlineStr">
        <is>
          <t>PRY-003</t>
        </is>
      </c>
      <c r="D769" t="inlineStr">
        <is>
          <t>Cuota inicial</t>
        </is>
      </c>
      <c r="E769" t="n">
        <v>128000000</v>
      </c>
      <c r="F769" t="n">
        <v>54250000</v>
      </c>
      <c r="G769">
        <f>E769-F769</f>
        <v/>
      </c>
      <c r="H769">
        <f>IF(E769&gt;0,F769/E769,0)</f>
        <v/>
      </c>
      <c r="I769" s="28" t="n">
        <v>46223</v>
      </c>
      <c r="J769" t="inlineStr">
        <is>
          <t>Al día</t>
        </is>
      </c>
      <c r="K769" t="inlineStr">
        <is>
          <t>Ana Quintero</t>
        </is>
      </c>
    </row>
    <row r="770" ht="15.75" customHeight="1" s="25">
      <c r="A770" t="inlineStr">
        <is>
          <t>PAG-0768</t>
        </is>
      </c>
      <c r="B770" t="inlineStr">
        <is>
          <t>José Escobar Sánchez</t>
        </is>
      </c>
      <c r="C770" t="inlineStr">
        <is>
          <t>PRY-001</t>
        </is>
      </c>
      <c r="D770" t="inlineStr">
        <is>
          <t>Cuota inicial</t>
        </is>
      </c>
      <c r="E770" t="n">
        <v>202000000</v>
      </c>
      <c r="F770" t="n">
        <v>51142857</v>
      </c>
      <c r="G770">
        <f>E770-F770</f>
        <v/>
      </c>
      <c r="H770">
        <f>IF(E770&gt;0,F770/E770,0)</f>
        <v/>
      </c>
      <c r="I770" s="28" t="n">
        <v>46225</v>
      </c>
      <c r="J770" t="inlineStr">
        <is>
          <t>Al día</t>
        </is>
      </c>
      <c r="K770" t="inlineStr">
        <is>
          <t>Paula Arenas</t>
        </is>
      </c>
    </row>
    <row r="771" ht="15.75" customHeight="1" s="25">
      <c r="A771" t="inlineStr">
        <is>
          <t>PAG-0769</t>
        </is>
      </c>
      <c r="B771" t="inlineStr">
        <is>
          <t>Jhon Duque Ríos</t>
        </is>
      </c>
      <c r="C771" t="inlineStr">
        <is>
          <t>PRY-005</t>
        </is>
      </c>
      <c r="D771" t="inlineStr">
        <is>
          <t>Cuota inicial</t>
        </is>
      </c>
      <c r="E771" t="n">
        <v>126000000</v>
      </c>
      <c r="F771" t="n">
        <v>41636364</v>
      </c>
      <c r="G771">
        <f>E771-F771</f>
        <v/>
      </c>
      <c r="H771">
        <f>IF(E771&gt;0,F771/E771,0)</f>
        <v/>
      </c>
      <c r="I771" s="28" t="n">
        <v>46226</v>
      </c>
      <c r="J771" t="inlineStr">
        <is>
          <t>Al día</t>
        </is>
      </c>
      <c r="K771" t="inlineStr">
        <is>
          <t>Ana Quintero</t>
        </is>
      </c>
    </row>
    <row r="772" ht="15.75" customHeight="1" s="25">
      <c r="A772" t="inlineStr">
        <is>
          <t>PAG-0770</t>
        </is>
      </c>
      <c r="B772" t="inlineStr">
        <is>
          <t>Manuela Echeverri Gaviria</t>
        </is>
      </c>
      <c r="C772" t="inlineStr">
        <is>
          <t>PRY-007</t>
        </is>
      </c>
      <c r="D772" t="inlineStr">
        <is>
          <t>Cuota inicial</t>
        </is>
      </c>
      <c r="E772" t="n">
        <v>202000000</v>
      </c>
      <c r="F772" t="n">
        <v>43882353</v>
      </c>
      <c r="G772">
        <f>E772-F772</f>
        <v/>
      </c>
      <c r="H772">
        <f>IF(E772&gt;0,F772/E772,0)</f>
        <v/>
      </c>
      <c r="I772" s="28" t="n">
        <v>46226</v>
      </c>
      <c r="J772" t="inlineStr">
        <is>
          <t>Al día</t>
        </is>
      </c>
      <c r="K772" t="inlineStr">
        <is>
          <t>Miguel Salazar</t>
        </is>
      </c>
    </row>
    <row r="773" ht="15.75" customHeight="1" s="25">
      <c r="A773" t="inlineStr">
        <is>
          <t>PAG-0771</t>
        </is>
      </c>
      <c r="B773" t="inlineStr">
        <is>
          <t>Rodrigo Marín Hernández</t>
        </is>
      </c>
      <c r="C773" t="inlineStr">
        <is>
          <t>PRY-006</t>
        </is>
      </c>
      <c r="D773" t="inlineStr">
        <is>
          <t>Cuota inicial</t>
        </is>
      </c>
      <c r="E773" t="n">
        <v>164000000</v>
      </c>
      <c r="F773" t="n">
        <v>32000000</v>
      </c>
      <c r="G773">
        <f>E773-F773</f>
        <v/>
      </c>
      <c r="H773">
        <f>IF(E773&gt;0,F773/E773,0)</f>
        <v/>
      </c>
      <c r="I773" s="28" t="n">
        <v>46227</v>
      </c>
      <c r="J773" t="inlineStr">
        <is>
          <t>Al día</t>
        </is>
      </c>
      <c r="K773" t="inlineStr">
        <is>
          <t>Santiago Muñoz</t>
        </is>
      </c>
    </row>
    <row r="774" ht="15.75" customHeight="1" s="25">
      <c r="A774" t="inlineStr">
        <is>
          <t>PAG-0772</t>
        </is>
      </c>
      <c r="B774" t="inlineStr">
        <is>
          <t>Wilson Salcedo Franco</t>
        </is>
      </c>
      <c r="C774" t="inlineStr">
        <is>
          <t>PRY-008</t>
        </is>
      </c>
      <c r="D774" t="inlineStr">
        <is>
          <t>Cuota inicial</t>
        </is>
      </c>
      <c r="E774" t="n">
        <v>37000000</v>
      </c>
      <c r="F774" t="n">
        <v>37000000</v>
      </c>
      <c r="G774">
        <f>E774-F774</f>
        <v/>
      </c>
      <c r="H774">
        <f>IF(E774&gt;0,F774/E774,0)</f>
        <v/>
      </c>
      <c r="I774" s="28" t="n">
        <v>46138</v>
      </c>
      <c r="J774" t="inlineStr">
        <is>
          <t>Pagado</t>
        </is>
      </c>
      <c r="K774" t="inlineStr">
        <is>
          <t>Mateo Herrera</t>
        </is>
      </c>
    </row>
    <row r="775" ht="15.75" customHeight="1" s="25">
      <c r="A775" t="inlineStr">
        <is>
          <t>PAG-0773</t>
        </is>
      </c>
      <c r="B775" t="inlineStr">
        <is>
          <t>Wilson Salcedo Franco</t>
        </is>
      </c>
      <c r="C775" t="inlineStr">
        <is>
          <t>PRY-008</t>
        </is>
      </c>
      <c r="D775" t="inlineStr">
        <is>
          <t>Escrituración</t>
        </is>
      </c>
      <c r="E775" t="n">
        <v>150000000</v>
      </c>
      <c r="F775" t="n">
        <v>150000000</v>
      </c>
      <c r="G775">
        <f>E775-F775</f>
        <v/>
      </c>
      <c r="H775">
        <f>IF(E775&gt;0,F775/E775,0)</f>
        <v/>
      </c>
      <c r="I775" s="28" t="n">
        <v>46132</v>
      </c>
      <c r="J775" t="inlineStr">
        <is>
          <t>Pagado</t>
        </is>
      </c>
      <c r="K775" t="inlineStr">
        <is>
          <t>Mateo Herrera</t>
        </is>
      </c>
    </row>
    <row r="776" ht="15.75" customHeight="1" s="25">
      <c r="A776" t="inlineStr">
        <is>
          <t>PAG-0774</t>
        </is>
      </c>
      <c r="B776" t="inlineStr">
        <is>
          <t>Emilio Londoño Bedoya</t>
        </is>
      </c>
      <c r="C776" t="inlineStr">
        <is>
          <t>PRY-001</t>
        </is>
      </c>
      <c r="D776" t="inlineStr">
        <is>
          <t>Cuota inicial</t>
        </is>
      </c>
      <c r="E776" t="n">
        <v>269000000</v>
      </c>
      <c r="F776" t="n">
        <v>65500000</v>
      </c>
      <c r="G776">
        <f>E776-F776</f>
        <v/>
      </c>
      <c r="H776">
        <f>IF(E776&gt;0,F776/E776,0)</f>
        <v/>
      </c>
      <c r="I776" s="28" t="n">
        <v>46229</v>
      </c>
      <c r="J776" t="inlineStr">
        <is>
          <t>Al día</t>
        </is>
      </c>
      <c r="K776" t="inlineStr">
        <is>
          <t>Miguel Salazar</t>
        </is>
      </c>
    </row>
    <row r="777" ht="15.75" customHeight="1" s="25">
      <c r="A777" t="inlineStr">
        <is>
          <t>PAG-0775</t>
        </is>
      </c>
      <c r="B777" t="inlineStr">
        <is>
          <t>Sara Londoño Cardona</t>
        </is>
      </c>
      <c r="C777" t="inlineStr">
        <is>
          <t>PRY-003</t>
        </is>
      </c>
      <c r="D777" t="inlineStr">
        <is>
          <t>Cuota inicial</t>
        </is>
      </c>
      <c r="E777" t="n">
        <v>110000000</v>
      </c>
      <c r="F777" t="n">
        <v>47500000</v>
      </c>
      <c r="G777">
        <f>E777-F777</f>
        <v/>
      </c>
      <c r="H777">
        <f>IF(E777&gt;0,F777/E777,0)</f>
        <v/>
      </c>
      <c r="I777" s="28" t="n">
        <v>46231</v>
      </c>
      <c r="J777" t="inlineStr">
        <is>
          <t>Al día</t>
        </is>
      </c>
      <c r="K777" t="inlineStr">
        <is>
          <t>Luis Bedoya</t>
        </is>
      </c>
    </row>
    <row r="778" ht="15.75" customHeight="1" s="25">
      <c r="A778" t="inlineStr">
        <is>
          <t>PAG-0776</t>
        </is>
      </c>
      <c r="B778" t="inlineStr">
        <is>
          <t>Nicolás Echeverri Osorio</t>
        </is>
      </c>
      <c r="C778" t="inlineStr">
        <is>
          <t>PRY-008</t>
        </is>
      </c>
      <c r="D778" t="inlineStr">
        <is>
          <t>Cuota inicial</t>
        </is>
      </c>
      <c r="E778" t="n">
        <v>35000000</v>
      </c>
      <c r="F778" t="n">
        <v>35000000</v>
      </c>
      <c r="G778">
        <f>E778-F778</f>
        <v/>
      </c>
      <c r="H778">
        <f>IF(E778&gt;0,F778/E778,0)</f>
        <v/>
      </c>
      <c r="I778" s="28" t="n">
        <v>46140</v>
      </c>
      <c r="J778" t="inlineStr">
        <is>
          <t>Pagado</t>
        </is>
      </c>
      <c r="K778" t="inlineStr">
        <is>
          <t>Paula Arenas</t>
        </is>
      </c>
    </row>
    <row r="779" ht="15.75" customHeight="1" s="25">
      <c r="A779" t="inlineStr">
        <is>
          <t>PAG-0777</t>
        </is>
      </c>
      <c r="B779" t="inlineStr">
        <is>
          <t>Nicolás Echeverri Osorio</t>
        </is>
      </c>
      <c r="C779" t="inlineStr">
        <is>
          <t>PRY-008</t>
        </is>
      </c>
      <c r="D779" t="inlineStr">
        <is>
          <t>Escrituración</t>
        </is>
      </c>
      <c r="E779" t="n">
        <v>142000000</v>
      </c>
      <c r="F779" t="n">
        <v>142000000</v>
      </c>
      <c r="G779">
        <f>E779-F779</f>
        <v/>
      </c>
      <c r="H779">
        <f>IF(E779&gt;0,F779/E779,0)</f>
        <v/>
      </c>
      <c r="I779" s="28" t="n">
        <v>46167</v>
      </c>
      <c r="J779" t="inlineStr">
        <is>
          <t>Pagado</t>
        </is>
      </c>
      <c r="K779" t="inlineStr">
        <is>
          <t>Paula Arenas</t>
        </is>
      </c>
    </row>
    <row r="780" ht="15.75" customHeight="1" s="25">
      <c r="A780" t="inlineStr">
        <is>
          <t>PAG-0778</t>
        </is>
      </c>
      <c r="B780" t="inlineStr">
        <is>
          <t>Jorge Pérez Salazar</t>
        </is>
      </c>
      <c r="C780" t="inlineStr">
        <is>
          <t>PRY-005</t>
        </is>
      </c>
      <c r="D780" t="inlineStr">
        <is>
          <t>Cuota inicial</t>
        </is>
      </c>
      <c r="E780" t="n">
        <v>109000000</v>
      </c>
      <c r="F780" t="n">
        <v>37000000</v>
      </c>
      <c r="G780">
        <f>E780-F780</f>
        <v/>
      </c>
      <c r="H780">
        <f>IF(E780&gt;0,F780/E780,0)</f>
        <v/>
      </c>
      <c r="I780" s="28" t="n">
        <v>46232</v>
      </c>
      <c r="J780" t="inlineStr">
        <is>
          <t>Al día</t>
        </is>
      </c>
      <c r="K780" t="inlineStr">
        <is>
          <t>Mateo Herrera</t>
        </is>
      </c>
    </row>
    <row r="781" ht="15.75" customHeight="1" s="25">
      <c r="A781" t="inlineStr">
        <is>
          <t>PAG-0779</t>
        </is>
      </c>
      <c r="B781" t="inlineStr">
        <is>
          <t>Emilio Ochoa Salcedo</t>
        </is>
      </c>
      <c r="C781" t="inlineStr">
        <is>
          <t>PRY-007</t>
        </is>
      </c>
      <c r="D781" t="inlineStr">
        <is>
          <t>Cuota inicial</t>
        </is>
      </c>
      <c r="E781" t="n">
        <v>179000000</v>
      </c>
      <c r="F781" t="n">
        <v>10000000</v>
      </c>
      <c r="G781">
        <f>E781-F781</f>
        <v/>
      </c>
      <c r="H781">
        <f>IF(E781&gt;0,F781/E781,0)</f>
        <v/>
      </c>
      <c r="I781" s="28" t="n">
        <v>46142</v>
      </c>
      <c r="J781" t="inlineStr">
        <is>
          <t>En mora</t>
        </is>
      </c>
      <c r="K781" t="inlineStr">
        <is>
          <t>Andrés Torres</t>
        </is>
      </c>
    </row>
    <row r="782" ht="15.75" customHeight="1" s="25">
      <c r="A782" t="inlineStr">
        <is>
          <t>PAG-0780</t>
        </is>
      </c>
      <c r="B782" t="inlineStr">
        <is>
          <t>Santiago Rojas Franco</t>
        </is>
      </c>
      <c r="C782" t="inlineStr">
        <is>
          <t>PRY-005</t>
        </is>
      </c>
      <c r="D782" t="inlineStr">
        <is>
          <t>Cuota inicial</t>
        </is>
      </c>
      <c r="E782" t="n">
        <v>139000000</v>
      </c>
      <c r="F782" t="n">
        <v>35800000</v>
      </c>
      <c r="G782">
        <f>E782-F782</f>
        <v/>
      </c>
      <c r="H782">
        <f>IF(E782&gt;0,F782/E782,0)</f>
        <v/>
      </c>
      <c r="I782" s="28" t="n">
        <v>46204</v>
      </c>
      <c r="J782" t="inlineStr">
        <is>
          <t>Al día</t>
        </is>
      </c>
      <c r="K782" t="inlineStr">
        <is>
          <t>Paula Arenas</t>
        </is>
      </c>
    </row>
    <row r="783" ht="15.75" customHeight="1" s="25">
      <c r="A783" t="inlineStr">
        <is>
          <t>PAG-0781</t>
        </is>
      </c>
      <c r="B783" t="inlineStr">
        <is>
          <t>Diana Uribe Ramírez</t>
        </is>
      </c>
      <c r="C783" t="inlineStr">
        <is>
          <t>PRY-003</t>
        </is>
      </c>
      <c r="D783" t="inlineStr">
        <is>
          <t>Cuota inicial</t>
        </is>
      </c>
      <c r="E783" t="n">
        <v>100000000</v>
      </c>
      <c r="F783" t="n">
        <v>10000000</v>
      </c>
      <c r="G783">
        <f>E783-F783</f>
        <v/>
      </c>
      <c r="H783">
        <f>IF(E783&gt;0,F783/E783,0)</f>
        <v/>
      </c>
      <c r="I783" s="28" t="n">
        <v>46144</v>
      </c>
      <c r="J783" t="inlineStr">
        <is>
          <t>En mora</t>
        </is>
      </c>
      <c r="K783" t="inlineStr">
        <is>
          <t>Santiago Muñoz</t>
        </is>
      </c>
    </row>
    <row r="784" ht="15.75" customHeight="1" s="25">
      <c r="A784" t="inlineStr">
        <is>
          <t>PAG-0782</t>
        </is>
      </c>
      <c r="B784" t="inlineStr">
        <is>
          <t>Wilson Pérez Vásquez</t>
        </is>
      </c>
      <c r="C784" t="inlineStr">
        <is>
          <t>PRY-001</t>
        </is>
      </c>
      <c r="D784" t="inlineStr">
        <is>
          <t>Cuota inicial</t>
        </is>
      </c>
      <c r="E784" t="n">
        <v>268000000</v>
      </c>
      <c r="F784" t="n">
        <v>49692308</v>
      </c>
      <c r="G784">
        <f>E784-F784</f>
        <v/>
      </c>
      <c r="H784">
        <f>IF(E784&gt;0,F784/E784,0)</f>
        <v/>
      </c>
      <c r="I784" s="28" t="n">
        <v>46208</v>
      </c>
      <c r="J784" t="inlineStr">
        <is>
          <t>Al día</t>
        </is>
      </c>
      <c r="K784" t="inlineStr">
        <is>
          <t>Santiago Muñoz</t>
        </is>
      </c>
    </row>
    <row r="785" ht="15.75" customHeight="1" s="25">
      <c r="A785" t="inlineStr">
        <is>
          <t>PAG-0783</t>
        </is>
      </c>
      <c r="B785" t="inlineStr">
        <is>
          <t>Julián Londoño Correa</t>
        </is>
      </c>
      <c r="C785" t="inlineStr">
        <is>
          <t>PRY-003</t>
        </is>
      </c>
      <c r="D785" t="inlineStr">
        <is>
          <t>Cuota inicial</t>
        </is>
      </c>
      <c r="E785" t="n">
        <v>113000000</v>
      </c>
      <c r="F785" t="n">
        <v>39428571</v>
      </c>
      <c r="G785">
        <f>E785-F785</f>
        <v/>
      </c>
      <c r="H785">
        <f>IF(E785&gt;0,F785/E785,0)</f>
        <v/>
      </c>
      <c r="I785" s="28" t="n">
        <v>46209</v>
      </c>
      <c r="J785" t="inlineStr">
        <is>
          <t>Al día</t>
        </is>
      </c>
      <c r="K785" t="inlineStr">
        <is>
          <t>Luis Bedoya</t>
        </is>
      </c>
    </row>
    <row r="786" ht="15.75" customHeight="1" s="25">
      <c r="A786" t="inlineStr">
        <is>
          <t>PAG-0784</t>
        </is>
      </c>
      <c r="B786" t="inlineStr">
        <is>
          <t>Daniel Betancur Higuita</t>
        </is>
      </c>
      <c r="C786" t="inlineStr">
        <is>
          <t>PRY-001</t>
        </is>
      </c>
      <c r="D786" t="inlineStr">
        <is>
          <t>Cuota inicial</t>
        </is>
      </c>
      <c r="E786" t="n">
        <v>266000000</v>
      </c>
      <c r="F786" t="n">
        <v>49384615</v>
      </c>
      <c r="G786">
        <f>E786-F786</f>
        <v/>
      </c>
      <c r="H786">
        <f>IF(E786&gt;0,F786/E786,0)</f>
        <v/>
      </c>
      <c r="I786" s="28" t="n">
        <v>46210</v>
      </c>
      <c r="J786" t="inlineStr">
        <is>
          <t>Al día</t>
        </is>
      </c>
      <c r="K786" t="inlineStr">
        <is>
          <t>Daniela Ríos</t>
        </is>
      </c>
    </row>
    <row r="787" ht="15.75" customHeight="1" s="25">
      <c r="A787" t="inlineStr">
        <is>
          <t>PAG-0785</t>
        </is>
      </c>
      <c r="B787" t="inlineStr">
        <is>
          <t>Nicolás Gómez Sánchez</t>
        </is>
      </c>
      <c r="C787" t="inlineStr">
        <is>
          <t>PRY-002</t>
        </is>
      </c>
      <c r="D787" t="inlineStr">
        <is>
          <t>Cuota inicial</t>
        </is>
      </c>
      <c r="E787" t="n">
        <v>245000000</v>
      </c>
      <c r="F787" t="n">
        <v>34736842</v>
      </c>
      <c r="G787">
        <f>E787-F787</f>
        <v/>
      </c>
      <c r="H787">
        <f>IF(E787&gt;0,F787/E787,0)</f>
        <v/>
      </c>
      <c r="I787" s="28" t="n">
        <v>46211</v>
      </c>
      <c r="J787" t="inlineStr">
        <is>
          <t>Al día</t>
        </is>
      </c>
      <c r="K787" t="inlineStr">
        <is>
          <t>Ana Quintero</t>
        </is>
      </c>
    </row>
    <row r="788" ht="15.75" customHeight="1" s="25">
      <c r="A788" t="inlineStr">
        <is>
          <t>PAG-0786</t>
        </is>
      </c>
      <c r="B788" t="inlineStr">
        <is>
          <t>Liliana Álvarez Uribe</t>
        </is>
      </c>
      <c r="C788" t="inlineStr">
        <is>
          <t>PRY-008</t>
        </is>
      </c>
      <c r="D788" t="inlineStr">
        <is>
          <t>Cuota inicial</t>
        </is>
      </c>
      <c r="E788" t="n">
        <v>31000000</v>
      </c>
      <c r="F788" t="n">
        <v>31000000</v>
      </c>
      <c r="G788">
        <f>E788-F788</f>
        <v/>
      </c>
      <c r="H788">
        <f>IF(E788&gt;0,F788/E788,0)</f>
        <v/>
      </c>
      <c r="I788" s="28" t="n">
        <v>46154</v>
      </c>
      <c r="J788" t="inlineStr">
        <is>
          <t>Pagado</t>
        </is>
      </c>
      <c r="K788" t="inlineStr">
        <is>
          <t>Paula Arenas</t>
        </is>
      </c>
    </row>
    <row r="789" ht="15.75" customHeight="1" s="25">
      <c r="A789" t="inlineStr">
        <is>
          <t>PAG-0787</t>
        </is>
      </c>
      <c r="B789" t="inlineStr">
        <is>
          <t>Liliana Álvarez Uribe</t>
        </is>
      </c>
      <c r="C789" t="inlineStr">
        <is>
          <t>PRY-008</t>
        </is>
      </c>
      <c r="D789" t="inlineStr">
        <is>
          <t>Escrituración</t>
        </is>
      </c>
      <c r="E789" t="n">
        <v>125000000</v>
      </c>
      <c r="F789" t="n">
        <v>125000000</v>
      </c>
      <c r="G789">
        <f>E789-F789</f>
        <v/>
      </c>
      <c r="H789">
        <f>IF(E789&gt;0,F789/E789,0)</f>
        <v/>
      </c>
      <c r="I789" s="28" t="n">
        <v>46153</v>
      </c>
      <c r="J789" t="inlineStr">
        <is>
          <t>Pagado</t>
        </is>
      </c>
      <c r="K789" t="inlineStr">
        <is>
          <t>Paula Arenas</t>
        </is>
      </c>
    </row>
    <row r="790" ht="15.75" customHeight="1" s="25">
      <c r="A790" t="inlineStr">
        <is>
          <t>PAG-0788</t>
        </is>
      </c>
      <c r="B790" t="inlineStr">
        <is>
          <t>Alejandro Vargas Gómez</t>
        </is>
      </c>
      <c r="C790" t="inlineStr">
        <is>
          <t>PRY-005</t>
        </is>
      </c>
      <c r="D790" t="inlineStr">
        <is>
          <t>Cuota inicial</t>
        </is>
      </c>
      <c r="E790" t="n">
        <v>109000000</v>
      </c>
      <c r="F790" t="n">
        <v>29800000</v>
      </c>
      <c r="G790">
        <f>E790-F790</f>
        <v/>
      </c>
      <c r="H790">
        <f>IF(E790&gt;0,F790/E790,0)</f>
        <v/>
      </c>
      <c r="I790" s="28" t="n">
        <v>46217</v>
      </c>
      <c r="J790" t="inlineStr">
        <is>
          <t>Al día</t>
        </is>
      </c>
      <c r="K790" t="inlineStr">
        <is>
          <t>Ana Quintero</t>
        </is>
      </c>
    </row>
    <row r="791" ht="15.75" customHeight="1" s="25">
      <c r="A791" t="inlineStr">
        <is>
          <t>PAG-0789</t>
        </is>
      </c>
      <c r="B791" t="inlineStr">
        <is>
          <t>Manuela Montoya Ríos</t>
        </is>
      </c>
      <c r="C791" t="inlineStr">
        <is>
          <t>PRY-006</t>
        </is>
      </c>
      <c r="D791" t="inlineStr">
        <is>
          <t>Cuota inicial</t>
        </is>
      </c>
      <c r="E791" t="n">
        <v>144000000</v>
      </c>
      <c r="F791" t="n">
        <v>23400000</v>
      </c>
      <c r="G791">
        <f>E791-F791</f>
        <v/>
      </c>
      <c r="H791">
        <f>IF(E791&gt;0,F791/E791,0)</f>
        <v/>
      </c>
      <c r="I791" s="28" t="n">
        <v>46221</v>
      </c>
      <c r="J791" t="inlineStr">
        <is>
          <t>Al día</t>
        </is>
      </c>
      <c r="K791" t="inlineStr">
        <is>
          <t>Luis Bedoya</t>
        </is>
      </c>
    </row>
    <row r="792" ht="15.75" customHeight="1" s="25">
      <c r="A792" t="inlineStr">
        <is>
          <t>PAG-0790</t>
        </is>
      </c>
      <c r="B792" t="inlineStr">
        <is>
          <t>Mateo Álvarez Peláez</t>
        </is>
      </c>
      <c r="C792" t="inlineStr">
        <is>
          <t>PRY-003</t>
        </is>
      </c>
      <c r="D792" t="inlineStr">
        <is>
          <t>Cuota inicial</t>
        </is>
      </c>
      <c r="E792" t="n">
        <v>134000000</v>
      </c>
      <c r="F792" t="n">
        <v>45428571</v>
      </c>
      <c r="G792">
        <f>E792-F792</f>
        <v/>
      </c>
      <c r="H792">
        <f>IF(E792&gt;0,F792/E792,0)</f>
        <v/>
      </c>
      <c r="I792" s="28" t="n">
        <v>46221</v>
      </c>
      <c r="J792" t="inlineStr">
        <is>
          <t>Al día</t>
        </is>
      </c>
      <c r="K792" t="inlineStr">
        <is>
          <t>Andrés Torres</t>
        </is>
      </c>
    </row>
    <row r="793" ht="15.75" customHeight="1" s="25">
      <c r="A793" t="inlineStr">
        <is>
          <t>PAG-0791</t>
        </is>
      </c>
      <c r="B793" t="inlineStr">
        <is>
          <t>Fernando Sánchez Valencia</t>
        </is>
      </c>
      <c r="C793" t="inlineStr">
        <is>
          <t>PRY-001</t>
        </is>
      </c>
      <c r="D793" t="inlineStr">
        <is>
          <t>Cuota inicial</t>
        </is>
      </c>
      <c r="E793" t="n">
        <v>296000000</v>
      </c>
      <c r="F793" t="n">
        <v>54000000</v>
      </c>
      <c r="G793">
        <f>E793-F793</f>
        <v/>
      </c>
      <c r="H793">
        <f>IF(E793&gt;0,F793/E793,0)</f>
        <v/>
      </c>
      <c r="I793" s="28" t="n">
        <v>46223</v>
      </c>
      <c r="J793" t="inlineStr">
        <is>
          <t>Al día</t>
        </is>
      </c>
      <c r="K793" t="inlineStr">
        <is>
          <t>Ana Quintero</t>
        </is>
      </c>
    </row>
    <row r="794" ht="15.75" customHeight="1" s="25">
      <c r="A794" t="inlineStr">
        <is>
          <t>PAG-0792</t>
        </is>
      </c>
      <c r="B794" t="inlineStr">
        <is>
          <t>María Quintero Espinosa</t>
        </is>
      </c>
      <c r="C794" t="inlineStr">
        <is>
          <t>PRY-007</t>
        </is>
      </c>
      <c r="D794" t="inlineStr">
        <is>
          <t>Cuota inicial</t>
        </is>
      </c>
      <c r="E794" t="n">
        <v>229000000</v>
      </c>
      <c r="F794" t="n">
        <v>37375000</v>
      </c>
      <c r="G794">
        <f>E794-F794</f>
        <v/>
      </c>
      <c r="H794">
        <f>IF(E794&gt;0,F794/E794,0)</f>
        <v/>
      </c>
      <c r="I794" s="28" t="n">
        <v>46225</v>
      </c>
      <c r="J794" t="inlineStr">
        <is>
          <t>Al día</t>
        </is>
      </c>
      <c r="K794" t="inlineStr">
        <is>
          <t>Santiago Muñoz</t>
        </is>
      </c>
    </row>
    <row r="795" ht="15.75" customHeight="1" s="25">
      <c r="A795" t="inlineStr">
        <is>
          <t>PAG-0793</t>
        </is>
      </c>
      <c r="B795" t="inlineStr">
        <is>
          <t>Luisa Vélez Agudelo</t>
        </is>
      </c>
      <c r="C795" t="inlineStr">
        <is>
          <t>PRY-003</t>
        </is>
      </c>
      <c r="D795" t="inlineStr">
        <is>
          <t>Cuota inicial</t>
        </is>
      </c>
      <c r="E795" t="n">
        <v>129000000</v>
      </c>
      <c r="F795" t="n">
        <v>44000000</v>
      </c>
      <c r="G795">
        <f>E795-F795</f>
        <v/>
      </c>
      <c r="H795">
        <f>IF(E795&gt;0,F795/E795,0)</f>
        <v/>
      </c>
      <c r="I795" s="28" t="n">
        <v>46225</v>
      </c>
      <c r="J795" t="inlineStr">
        <is>
          <t>Al día</t>
        </is>
      </c>
      <c r="K795" t="inlineStr">
        <is>
          <t>Luis Bedoya</t>
        </is>
      </c>
    </row>
    <row r="796" ht="15.75" customHeight="1" s="25">
      <c r="A796" t="inlineStr">
        <is>
          <t>PAG-0794</t>
        </is>
      </c>
      <c r="B796" t="inlineStr">
        <is>
          <t>Sandra Gaviria Rojas</t>
        </is>
      </c>
      <c r="C796" t="inlineStr">
        <is>
          <t>PRY-008</t>
        </is>
      </c>
      <c r="D796" t="inlineStr">
        <is>
          <t>Cuota inicial</t>
        </is>
      </c>
      <c r="E796" t="n">
        <v>32000000</v>
      </c>
      <c r="F796" t="n">
        <v>32000000</v>
      </c>
      <c r="G796">
        <f>E796-F796</f>
        <v/>
      </c>
      <c r="H796">
        <f>IF(E796&gt;0,F796/E796,0)</f>
        <v/>
      </c>
      <c r="I796" s="28" t="n">
        <v>46165</v>
      </c>
      <c r="J796" t="inlineStr">
        <is>
          <t>Pagado</t>
        </is>
      </c>
      <c r="K796" t="inlineStr">
        <is>
          <t>Luis Bedoya</t>
        </is>
      </c>
    </row>
    <row r="797" ht="15.75" customHeight="1" s="25">
      <c r="A797" t="inlineStr">
        <is>
          <t>PAG-0795</t>
        </is>
      </c>
      <c r="B797" t="inlineStr">
        <is>
          <t>Sandra Gaviria Rojas</t>
        </is>
      </c>
      <c r="C797" t="inlineStr">
        <is>
          <t>PRY-008</t>
        </is>
      </c>
      <c r="D797" t="inlineStr">
        <is>
          <t>Escrituración</t>
        </is>
      </c>
      <c r="E797" t="n">
        <v>130000000</v>
      </c>
      <c r="F797" t="n">
        <v>130000000</v>
      </c>
      <c r="G797">
        <f>E797-F797</f>
        <v/>
      </c>
      <c r="H797">
        <f>IF(E797&gt;0,F797/E797,0)</f>
        <v/>
      </c>
      <c r="I797" s="28" t="n">
        <v>46129</v>
      </c>
      <c r="J797" t="inlineStr">
        <is>
          <t>Pagado</t>
        </is>
      </c>
      <c r="K797" t="inlineStr">
        <is>
          <t>Luis Bedoya</t>
        </is>
      </c>
    </row>
    <row r="798" ht="15.75" customHeight="1" s="25">
      <c r="A798" t="inlineStr">
        <is>
          <t>PAG-0796</t>
        </is>
      </c>
      <c r="B798" t="inlineStr">
        <is>
          <t>Hernán Valencia Palacio</t>
        </is>
      </c>
      <c r="C798" t="inlineStr">
        <is>
          <t>PRY-007</t>
        </is>
      </c>
      <c r="D798" t="inlineStr">
        <is>
          <t>Cuota inicial</t>
        </is>
      </c>
      <c r="E798" t="n">
        <v>248000000</v>
      </c>
      <c r="F798" t="n">
        <v>39750000</v>
      </c>
      <c r="G798">
        <f>E798-F798</f>
        <v/>
      </c>
      <c r="H798">
        <f>IF(E798&gt;0,F798/E798,0)</f>
        <v/>
      </c>
      <c r="I798" s="28" t="n">
        <v>46226</v>
      </c>
      <c r="J798" t="inlineStr">
        <is>
          <t>Al día</t>
        </is>
      </c>
      <c r="K798" t="inlineStr">
        <is>
          <t>Luis Bedoya</t>
        </is>
      </c>
    </row>
    <row r="799" ht="15.75" customHeight="1" s="25">
      <c r="A799" t="inlineStr">
        <is>
          <t>PAG-0797</t>
        </is>
      </c>
      <c r="B799" t="inlineStr">
        <is>
          <t>Gabriel Gaviria Sánchez</t>
        </is>
      </c>
      <c r="C799" t="inlineStr">
        <is>
          <t>PRY-003</t>
        </is>
      </c>
      <c r="D799" t="inlineStr">
        <is>
          <t>Cuota inicial</t>
        </is>
      </c>
      <c r="E799" t="n">
        <v>103000000</v>
      </c>
      <c r="F799" t="n">
        <v>36571429</v>
      </c>
      <c r="G799">
        <f>E799-F799</f>
        <v/>
      </c>
      <c r="H799">
        <f>IF(E799&gt;0,F799/E799,0)</f>
        <v/>
      </c>
      <c r="I799" s="28" t="n">
        <v>46229</v>
      </c>
      <c r="J799" t="inlineStr">
        <is>
          <t>Al día</t>
        </is>
      </c>
      <c r="K799" t="inlineStr">
        <is>
          <t>Mateo Herrera</t>
        </is>
      </c>
    </row>
    <row r="800" ht="15.75" customHeight="1" s="25">
      <c r="A800" t="inlineStr">
        <is>
          <t>PAG-0798</t>
        </is>
      </c>
      <c r="B800" t="inlineStr">
        <is>
          <t>Gloria Montoya Castaño</t>
        </is>
      </c>
      <c r="C800" t="inlineStr">
        <is>
          <t>PRY-005</t>
        </is>
      </c>
      <c r="D800" t="inlineStr">
        <is>
          <t>Cuota inicial</t>
        </is>
      </c>
      <c r="E800" t="n">
        <v>148000000</v>
      </c>
      <c r="F800" t="n">
        <v>37600000</v>
      </c>
      <c r="G800">
        <f>E800-F800</f>
        <v/>
      </c>
      <c r="H800">
        <f>IF(E800&gt;0,F800/E800,0)</f>
        <v/>
      </c>
      <c r="I800" s="28" t="n">
        <v>46232</v>
      </c>
      <c r="J800" t="inlineStr">
        <is>
          <t>Al día</t>
        </is>
      </c>
      <c r="K800" t="inlineStr">
        <is>
          <t>Juliana Vélez</t>
        </is>
      </c>
    </row>
    <row r="801" ht="15.75" customHeight="1" s="25">
      <c r="A801" t="inlineStr">
        <is>
          <t>PAG-0799</t>
        </is>
      </c>
      <c r="B801" t="inlineStr">
        <is>
          <t>Mateo Vargas Giraldo</t>
        </is>
      </c>
      <c r="C801" t="inlineStr">
        <is>
          <t>PRY-008</t>
        </is>
      </c>
      <c r="D801" t="inlineStr">
        <is>
          <t>Cuota inicial</t>
        </is>
      </c>
      <c r="E801" t="n">
        <v>37000000</v>
      </c>
      <c r="F801" t="n">
        <v>37000000</v>
      </c>
      <c r="G801">
        <f>E801-F801</f>
        <v/>
      </c>
      <c r="H801">
        <f>IF(E801&gt;0,F801/E801,0)</f>
        <v/>
      </c>
      <c r="I801" s="28" t="n">
        <v>46172</v>
      </c>
      <c r="J801" t="inlineStr">
        <is>
          <t>Pagado</t>
        </is>
      </c>
      <c r="K801" t="inlineStr">
        <is>
          <t>Mateo Herrera</t>
        </is>
      </c>
    </row>
    <row r="802" ht="15.75" customHeight="1" s="25">
      <c r="A802" t="inlineStr">
        <is>
          <t>PAG-0800</t>
        </is>
      </c>
      <c r="B802" t="inlineStr">
        <is>
          <t>Mateo Vargas Giraldo</t>
        </is>
      </c>
      <c r="C802" t="inlineStr">
        <is>
          <t>PRY-008</t>
        </is>
      </c>
      <c r="D802" t="inlineStr">
        <is>
          <t>Escrituración</t>
        </is>
      </c>
      <c r="E802" t="n">
        <v>147000000</v>
      </c>
      <c r="F802" t="n">
        <v>147000000</v>
      </c>
      <c r="G802">
        <f>E802-F802</f>
        <v/>
      </c>
      <c r="H802">
        <f>IF(E802&gt;0,F802/E802,0)</f>
        <v/>
      </c>
      <c r="I802" s="28" t="n">
        <v>46135</v>
      </c>
      <c r="J802" t="inlineStr">
        <is>
          <t>Pagado</t>
        </is>
      </c>
      <c r="K802" t="inlineStr">
        <is>
          <t>Mateo Herrera</t>
        </is>
      </c>
    </row>
    <row r="803" ht="15.75" customHeight="1" s="25">
      <c r="A803" t="inlineStr">
        <is>
          <t>PAG-0801</t>
        </is>
      </c>
      <c r="B803" t="inlineStr">
        <is>
          <t>Santiago Montoya Muñoz</t>
        </is>
      </c>
      <c r="C803" t="inlineStr">
        <is>
          <t>PRY-007</t>
        </is>
      </c>
      <c r="D803" t="inlineStr">
        <is>
          <t>Cuota inicial</t>
        </is>
      </c>
      <c r="E803" t="n">
        <v>227000000</v>
      </c>
      <c r="F803" t="n">
        <v>24466667</v>
      </c>
      <c r="G803">
        <f>E803-F803</f>
        <v/>
      </c>
      <c r="H803">
        <f>IF(E803&gt;0,F803/E803,0)</f>
        <v/>
      </c>
      <c r="I803" s="28" t="n">
        <v>46204</v>
      </c>
      <c r="J803" t="inlineStr">
        <is>
          <t>Al día</t>
        </is>
      </c>
      <c r="K803" t="inlineStr">
        <is>
          <t>Sofía Prada</t>
        </is>
      </c>
    </row>
    <row r="804" ht="15.75" customHeight="1" s="25">
      <c r="A804" t="inlineStr">
        <is>
          <t>PAG-0802</t>
        </is>
      </c>
      <c r="B804" t="inlineStr">
        <is>
          <t>Valentina Salcedo Castaño</t>
        </is>
      </c>
      <c r="C804" t="inlineStr">
        <is>
          <t>PRY-006</t>
        </is>
      </c>
      <c r="D804" t="inlineStr">
        <is>
          <t>Cuota inicial</t>
        </is>
      </c>
      <c r="E804" t="n">
        <v>244000000</v>
      </c>
      <c r="F804" t="n">
        <v>22315789</v>
      </c>
      <c r="G804">
        <f>E804-F804</f>
        <v/>
      </c>
      <c r="H804">
        <f>IF(E804&gt;0,F804/E804,0)</f>
        <v/>
      </c>
      <c r="I804" s="28" t="n">
        <v>46207</v>
      </c>
      <c r="J804" t="inlineStr">
        <is>
          <t>Al día</t>
        </is>
      </c>
      <c r="K804" t="inlineStr">
        <is>
          <t>Sofía Prada</t>
        </is>
      </c>
    </row>
    <row r="805" ht="15.75" customHeight="1" s="25">
      <c r="A805" t="inlineStr">
        <is>
          <t>PAG-0803</t>
        </is>
      </c>
      <c r="B805" t="inlineStr">
        <is>
          <t>Julián Henao Salazar</t>
        </is>
      </c>
      <c r="C805" t="inlineStr">
        <is>
          <t>PRY-003</t>
        </is>
      </c>
      <c r="D805" t="inlineStr">
        <is>
          <t>Cuota inicial</t>
        </is>
      </c>
      <c r="E805" t="n">
        <v>112000000</v>
      </c>
      <c r="F805" t="n">
        <v>10000000</v>
      </c>
      <c r="G805">
        <f>E805-F805</f>
        <v/>
      </c>
      <c r="H805">
        <f>IF(E805&gt;0,F805/E805,0)</f>
        <v/>
      </c>
      <c r="I805" s="28" t="n">
        <v>46177</v>
      </c>
      <c r="J805" t="inlineStr">
        <is>
          <t>En mora</t>
        </is>
      </c>
      <c r="K805" t="inlineStr">
        <is>
          <t>Sofía Prada</t>
        </is>
      </c>
    </row>
    <row r="806" ht="15.75" customHeight="1" s="25">
      <c r="A806" t="inlineStr">
        <is>
          <t>PAG-0804</t>
        </is>
      </c>
      <c r="B806" t="inlineStr">
        <is>
          <t>Jorge Vélez Castaño</t>
        </is>
      </c>
      <c r="C806" t="inlineStr">
        <is>
          <t>PRY-003</t>
        </is>
      </c>
      <c r="D806" t="inlineStr">
        <is>
          <t>Cuota inicial</t>
        </is>
      </c>
      <c r="E806" t="n">
        <v>123000000</v>
      </c>
      <c r="F806" t="n">
        <v>28833333</v>
      </c>
      <c r="G806">
        <f>E806-F806</f>
        <v/>
      </c>
      <c r="H806">
        <f>IF(E806&gt;0,F806/E806,0)</f>
        <v/>
      </c>
      <c r="I806" s="28" t="n">
        <v>46211</v>
      </c>
      <c r="J806" t="inlineStr">
        <is>
          <t>Al día</t>
        </is>
      </c>
      <c r="K806" t="inlineStr">
        <is>
          <t>Luis Bedoya</t>
        </is>
      </c>
    </row>
    <row r="807" ht="15.75" customHeight="1" s="25">
      <c r="A807" t="inlineStr">
        <is>
          <t>PAG-0805</t>
        </is>
      </c>
      <c r="B807" t="inlineStr">
        <is>
          <t>Sandra Echeverri Ramírez</t>
        </is>
      </c>
      <c r="C807" t="inlineStr">
        <is>
          <t>PRY-005</t>
        </is>
      </c>
      <c r="D807" t="inlineStr">
        <is>
          <t>Cuota inicial</t>
        </is>
      </c>
      <c r="E807" t="n">
        <v>116000000</v>
      </c>
      <c r="F807" t="n">
        <v>21777778</v>
      </c>
      <c r="G807">
        <f>E807-F807</f>
        <v/>
      </c>
      <c r="H807">
        <f>IF(E807&gt;0,F807/E807,0)</f>
        <v/>
      </c>
      <c r="I807" s="28" t="n">
        <v>46212</v>
      </c>
      <c r="J807" t="inlineStr">
        <is>
          <t>Al día</t>
        </is>
      </c>
      <c r="K807" t="inlineStr">
        <is>
          <t>Daniela Ríos</t>
        </is>
      </c>
    </row>
    <row r="808" ht="15.75" customHeight="1" s="25">
      <c r="A808" t="inlineStr">
        <is>
          <t>PAG-0806</t>
        </is>
      </c>
      <c r="B808" t="inlineStr">
        <is>
          <t>Esteban Palacio Marín</t>
        </is>
      </c>
      <c r="C808" t="inlineStr">
        <is>
          <t>PRY-003</t>
        </is>
      </c>
      <c r="D808" t="inlineStr">
        <is>
          <t>Cuota inicial</t>
        </is>
      </c>
      <c r="E808" t="n">
        <v>138000000</v>
      </c>
      <c r="F808" t="n">
        <v>31333333</v>
      </c>
      <c r="G808">
        <f>E808-F808</f>
        <v/>
      </c>
      <c r="H808">
        <f>IF(E808&gt;0,F808/E808,0)</f>
        <v/>
      </c>
      <c r="I808" s="28" t="n">
        <v>46212</v>
      </c>
      <c r="J808" t="inlineStr">
        <is>
          <t>Al día</t>
        </is>
      </c>
      <c r="K808" t="inlineStr">
        <is>
          <t>Juliana Vélez</t>
        </is>
      </c>
    </row>
    <row r="809" ht="15.75" customHeight="1" s="25">
      <c r="A809" t="inlineStr">
        <is>
          <t>PAG-0807</t>
        </is>
      </c>
      <c r="B809" t="inlineStr">
        <is>
          <t>Andrés Gaviria Henao</t>
        </is>
      </c>
      <c r="C809" t="inlineStr">
        <is>
          <t>PRY-007</t>
        </is>
      </c>
      <c r="D809" t="inlineStr">
        <is>
          <t>Cuota inicial</t>
        </is>
      </c>
      <c r="E809" t="n">
        <v>186000000</v>
      </c>
      <c r="F809" t="n">
        <v>21733333</v>
      </c>
      <c r="G809">
        <f>E809-F809</f>
        <v/>
      </c>
      <c r="H809">
        <f>IF(E809&gt;0,F809/E809,0)</f>
        <v/>
      </c>
      <c r="I809" s="28" t="n">
        <v>46213</v>
      </c>
      <c r="J809" t="inlineStr">
        <is>
          <t>Al día</t>
        </is>
      </c>
      <c r="K809" t="inlineStr">
        <is>
          <t>Santiago Muñoz</t>
        </is>
      </c>
    </row>
    <row r="810" ht="15.75" customHeight="1" s="25">
      <c r="A810" t="inlineStr">
        <is>
          <t>PAG-0808</t>
        </is>
      </c>
      <c r="B810" t="inlineStr">
        <is>
          <t>Carolina Espinosa Bedoya</t>
        </is>
      </c>
      <c r="C810" t="inlineStr">
        <is>
          <t>PRY-008</t>
        </is>
      </c>
      <c r="D810" t="inlineStr">
        <is>
          <t>Cuota inicial</t>
        </is>
      </c>
      <c r="E810" t="n">
        <v>36000000</v>
      </c>
      <c r="F810" t="n">
        <v>36000000</v>
      </c>
      <c r="G810">
        <f>E810-F810</f>
        <v/>
      </c>
      <c r="H810">
        <f>IF(E810&gt;0,F810/E810,0)</f>
        <v/>
      </c>
      <c r="I810" s="28" t="n">
        <v>46184</v>
      </c>
      <c r="J810" t="inlineStr">
        <is>
          <t>Pagado</t>
        </is>
      </c>
      <c r="K810" t="inlineStr">
        <is>
          <t>Sofía Prada</t>
        </is>
      </c>
    </row>
    <row r="811" ht="15.75" customHeight="1" s="25">
      <c r="A811" t="inlineStr">
        <is>
          <t>PAG-0809</t>
        </is>
      </c>
      <c r="B811" t="inlineStr">
        <is>
          <t>Carolina Espinosa Bedoya</t>
        </is>
      </c>
      <c r="C811" t="inlineStr">
        <is>
          <t>PRY-008</t>
        </is>
      </c>
      <c r="D811" t="inlineStr">
        <is>
          <t>Escrituración</t>
        </is>
      </c>
      <c r="E811" t="n">
        <v>146000000</v>
      </c>
      <c r="F811" t="n">
        <v>146000000</v>
      </c>
      <c r="G811">
        <f>E811-F811</f>
        <v/>
      </c>
      <c r="H811">
        <f>IF(E811&gt;0,F811/E811,0)</f>
        <v/>
      </c>
      <c r="I811" s="28" t="n">
        <v>46182</v>
      </c>
      <c r="J811" t="inlineStr">
        <is>
          <t>Pagado</t>
        </is>
      </c>
      <c r="K811" t="inlineStr">
        <is>
          <t>Sofía Prada</t>
        </is>
      </c>
    </row>
    <row r="812" ht="15.75" customHeight="1" s="25">
      <c r="A812" t="inlineStr">
        <is>
          <t>PAG-0810</t>
        </is>
      </c>
      <c r="B812" t="inlineStr">
        <is>
          <t>Daniel Quintero Vargas</t>
        </is>
      </c>
      <c r="C812" t="inlineStr">
        <is>
          <t>PRY-005</t>
        </is>
      </c>
      <c r="D812" t="inlineStr">
        <is>
          <t>Cuota inicial</t>
        </is>
      </c>
      <c r="E812" t="n">
        <v>113000000</v>
      </c>
      <c r="F812" t="n">
        <v>21444444</v>
      </c>
      <c r="G812">
        <f>E812-F812</f>
        <v/>
      </c>
      <c r="H812">
        <f>IF(E812&gt;0,F812/E812,0)</f>
        <v/>
      </c>
      <c r="I812" s="28" t="n">
        <v>46216</v>
      </c>
      <c r="J812" t="inlineStr">
        <is>
          <t>Al día</t>
        </is>
      </c>
      <c r="K812" t="inlineStr">
        <is>
          <t>Daniela Ríos</t>
        </is>
      </c>
    </row>
    <row r="813" ht="15.75" customHeight="1" s="25">
      <c r="A813" t="inlineStr">
        <is>
          <t>PAG-0811</t>
        </is>
      </c>
      <c r="B813" t="inlineStr">
        <is>
          <t>Felipe Ochoa Cardona</t>
        </is>
      </c>
      <c r="C813" t="inlineStr">
        <is>
          <t>PRY-001</t>
        </is>
      </c>
      <c r="D813" t="inlineStr">
        <is>
          <t>Cuota inicial</t>
        </is>
      </c>
      <c r="E813" t="n">
        <v>213000000</v>
      </c>
      <c r="F813" t="n">
        <v>26916667</v>
      </c>
      <c r="G813">
        <f>E813-F813</f>
        <v/>
      </c>
      <c r="H813">
        <f>IF(E813&gt;0,F813/E813,0)</f>
        <v/>
      </c>
      <c r="I813" s="28" t="n">
        <v>46217</v>
      </c>
      <c r="J813" t="inlineStr">
        <is>
          <t>Al día</t>
        </is>
      </c>
      <c r="K813" t="inlineStr">
        <is>
          <t>Miguel Salazar</t>
        </is>
      </c>
    </row>
    <row r="814" ht="15.75" customHeight="1" s="25">
      <c r="A814" t="inlineStr">
        <is>
          <t>PAG-0812</t>
        </is>
      </c>
      <c r="B814" t="inlineStr">
        <is>
          <t>Sara Franco Pérez</t>
        </is>
      </c>
      <c r="C814" t="inlineStr">
        <is>
          <t>PRY-002</t>
        </is>
      </c>
      <c r="D814" t="inlineStr">
        <is>
          <t>Cuota inicial</t>
        </is>
      </c>
      <c r="E814" t="n">
        <v>239000000</v>
      </c>
      <c r="F814" t="n">
        <v>22722222</v>
      </c>
      <c r="G814">
        <f>E814-F814</f>
        <v/>
      </c>
      <c r="H814">
        <f>IF(E814&gt;0,F814/E814,0)</f>
        <v/>
      </c>
      <c r="I814" s="28" t="n">
        <v>46218</v>
      </c>
      <c r="J814" t="inlineStr">
        <is>
          <t>Al día</t>
        </is>
      </c>
      <c r="K814" t="inlineStr">
        <is>
          <t>Ana Quintero</t>
        </is>
      </c>
    </row>
    <row r="815" ht="15.75" customHeight="1" s="25">
      <c r="A815" t="inlineStr">
        <is>
          <t>PAG-0813</t>
        </is>
      </c>
      <c r="B815" t="inlineStr">
        <is>
          <t>Isabel Uribe Muñoz</t>
        </is>
      </c>
      <c r="C815" t="inlineStr">
        <is>
          <t>PRY-001</t>
        </is>
      </c>
      <c r="D815" t="inlineStr">
        <is>
          <t>Cuota inicial</t>
        </is>
      </c>
      <c r="E815" t="n">
        <v>214000000</v>
      </c>
      <c r="F815" t="n">
        <v>27000000</v>
      </c>
      <c r="G815">
        <f>E815-F815</f>
        <v/>
      </c>
      <c r="H815">
        <f>IF(E815&gt;0,F815/E815,0)</f>
        <v/>
      </c>
      <c r="I815" s="28" t="n">
        <v>46219</v>
      </c>
      <c r="J815" t="inlineStr">
        <is>
          <t>Al día</t>
        </is>
      </c>
      <c r="K815" t="inlineStr">
        <is>
          <t>Andrés Torres</t>
        </is>
      </c>
    </row>
    <row r="816" ht="15.75" customHeight="1" s="25">
      <c r="A816" t="inlineStr">
        <is>
          <t>PAG-0814</t>
        </is>
      </c>
      <c r="B816" t="inlineStr">
        <is>
          <t>David Franco Betancur</t>
        </is>
      </c>
      <c r="C816" t="inlineStr">
        <is>
          <t>PRY-008</t>
        </is>
      </c>
      <c r="D816" t="inlineStr">
        <is>
          <t>Cuota inicial</t>
        </is>
      </c>
      <c r="E816" t="n">
        <v>33000000</v>
      </c>
      <c r="F816" t="n">
        <v>33000000</v>
      </c>
      <c r="G816">
        <f>E816-F816</f>
        <v/>
      </c>
      <c r="H816">
        <f>IF(E816&gt;0,F816/E816,0)</f>
        <v/>
      </c>
      <c r="I816" s="28" t="n">
        <v>46189</v>
      </c>
      <c r="J816" t="inlineStr">
        <is>
          <t>Pagado</t>
        </is>
      </c>
      <c r="K816" t="inlineStr">
        <is>
          <t>Paula Arenas</t>
        </is>
      </c>
    </row>
    <row r="817" ht="15.75" customHeight="1" s="25">
      <c r="A817" t="inlineStr">
        <is>
          <t>PAG-0815</t>
        </is>
      </c>
      <c r="B817" t="inlineStr">
        <is>
          <t>David Franco Betancur</t>
        </is>
      </c>
      <c r="C817" t="inlineStr">
        <is>
          <t>PRY-008</t>
        </is>
      </c>
      <c r="D817" t="inlineStr">
        <is>
          <t>Escrituración</t>
        </is>
      </c>
      <c r="E817" t="n">
        <v>133000000</v>
      </c>
      <c r="F817" t="n">
        <v>133000000</v>
      </c>
      <c r="G817">
        <f>E817-F817</f>
        <v/>
      </c>
      <c r="H817">
        <f>IF(E817&gt;0,F817/E817,0)</f>
        <v/>
      </c>
      <c r="I817" s="28" t="n">
        <v>46154</v>
      </c>
      <c r="J817" t="inlineStr">
        <is>
          <t>Pagado</t>
        </is>
      </c>
      <c r="K817" t="inlineStr">
        <is>
          <t>Paula Arenas</t>
        </is>
      </c>
    </row>
    <row r="818" ht="15.75" customHeight="1" s="25">
      <c r="A818" t="inlineStr">
        <is>
          <t>PAG-0816</t>
        </is>
      </c>
      <c r="B818" t="inlineStr">
        <is>
          <t>Camila Londoño Zuluaga</t>
        </is>
      </c>
      <c r="C818" t="inlineStr">
        <is>
          <t>PRY-001</t>
        </is>
      </c>
      <c r="D818" t="inlineStr">
        <is>
          <t>Cuota inicial</t>
        </is>
      </c>
      <c r="E818" t="n">
        <v>276000000</v>
      </c>
      <c r="F818" t="n">
        <v>32166667</v>
      </c>
      <c r="G818">
        <f>E818-F818</f>
        <v/>
      </c>
      <c r="H818">
        <f>IF(E818&gt;0,F818/E818,0)</f>
        <v/>
      </c>
      <c r="I818" s="28" t="n">
        <v>46220</v>
      </c>
      <c r="J818" t="inlineStr">
        <is>
          <t>Al día</t>
        </is>
      </c>
      <c r="K818" t="inlineStr">
        <is>
          <t>Luis Bedoya</t>
        </is>
      </c>
    </row>
    <row r="819" ht="15.75" customHeight="1" s="25">
      <c r="A819" t="inlineStr">
        <is>
          <t>PAG-0817</t>
        </is>
      </c>
      <c r="B819" t="inlineStr">
        <is>
          <t>Tomás Cardona Zuluaga</t>
        </is>
      </c>
      <c r="C819" t="inlineStr">
        <is>
          <t>PRY-003</t>
        </is>
      </c>
      <c r="D819" t="inlineStr">
        <is>
          <t>Cuota inicial</t>
        </is>
      </c>
      <c r="E819" t="n">
        <v>126000000</v>
      </c>
      <c r="F819" t="n">
        <v>10000000</v>
      </c>
      <c r="G819">
        <f>E819-F819</f>
        <v/>
      </c>
      <c r="H819">
        <f>IF(E819&gt;0,F819/E819,0)</f>
        <v/>
      </c>
      <c r="I819" s="28" t="n">
        <v>46192</v>
      </c>
      <c r="J819" t="inlineStr">
        <is>
          <t>En mora</t>
        </is>
      </c>
      <c r="K819" t="inlineStr">
        <is>
          <t>Ana Quintero</t>
        </is>
      </c>
    </row>
    <row r="820" ht="15.75" customHeight="1" s="25">
      <c r="A820" t="inlineStr">
        <is>
          <t>PAG-0818</t>
        </is>
      </c>
      <c r="B820" t="inlineStr">
        <is>
          <t>Sofía Valencia Restrepo</t>
        </is>
      </c>
      <c r="C820" t="inlineStr">
        <is>
          <t>PRY-002</t>
        </is>
      </c>
      <c r="D820" t="inlineStr">
        <is>
          <t>Cuota inicial</t>
        </is>
      </c>
      <c r="E820" t="n">
        <v>241000000</v>
      </c>
      <c r="F820" t="n">
        <v>22833333</v>
      </c>
      <c r="G820">
        <f>E820-F820</f>
        <v/>
      </c>
      <c r="H820">
        <f>IF(E820&gt;0,F820/E820,0)</f>
        <v/>
      </c>
      <c r="I820" s="28" t="n">
        <v>46229</v>
      </c>
      <c r="J820" t="inlineStr">
        <is>
          <t>Al día</t>
        </is>
      </c>
      <c r="K820" t="inlineStr">
        <is>
          <t>Andrés Torres</t>
        </is>
      </c>
    </row>
    <row r="821" ht="15.75" customHeight="1" s="25">
      <c r="A821" t="inlineStr">
        <is>
          <t>PAG-0819</t>
        </is>
      </c>
      <c r="B821" t="inlineStr">
        <is>
          <t>Iván Palacio Uribe</t>
        </is>
      </c>
      <c r="C821" t="inlineStr">
        <is>
          <t>PRY-008</t>
        </is>
      </c>
      <c r="D821" t="inlineStr">
        <is>
          <t>Cuota inicial</t>
        </is>
      </c>
      <c r="E821" t="n">
        <v>31000000</v>
      </c>
      <c r="F821" t="n">
        <v>31000000</v>
      </c>
      <c r="G821">
        <f>E821-F821</f>
        <v/>
      </c>
      <c r="H821">
        <f>IF(E821&gt;0,F821/E821,0)</f>
        <v/>
      </c>
      <c r="I821" s="28" t="n">
        <v>46200</v>
      </c>
      <c r="J821" t="inlineStr">
        <is>
          <t>Pagado</t>
        </is>
      </c>
      <c r="K821" t="inlineStr">
        <is>
          <t>Luis Bedoya</t>
        </is>
      </c>
    </row>
    <row r="822" ht="15.75" customHeight="1" s="25">
      <c r="A822" t="inlineStr">
        <is>
          <t>PAG-0820</t>
        </is>
      </c>
      <c r="B822" t="inlineStr">
        <is>
          <t>Iván Palacio Uribe</t>
        </is>
      </c>
      <c r="C822" t="inlineStr">
        <is>
          <t>PRY-008</t>
        </is>
      </c>
      <c r="D822" t="inlineStr">
        <is>
          <t>Escrituración</t>
        </is>
      </c>
      <c r="E822" t="n">
        <v>122000000</v>
      </c>
      <c r="F822" t="n">
        <v>122000000</v>
      </c>
      <c r="G822">
        <f>E822-F822</f>
        <v/>
      </c>
      <c r="H822">
        <f>IF(E822&gt;0,F822/E822,0)</f>
        <v/>
      </c>
      <c r="I822" s="28" t="n">
        <v>46124</v>
      </c>
      <c r="J822" t="inlineStr">
        <is>
          <t>Pagado</t>
        </is>
      </c>
      <c r="K822" t="inlineStr">
        <is>
          <t>Luis Bedoya</t>
        </is>
      </c>
    </row>
    <row r="823" ht="15.75" customHeight="1" s="25">
      <c r="A823" t="inlineStr">
        <is>
          <t>PAG-0821</t>
        </is>
      </c>
      <c r="B823" t="inlineStr">
        <is>
          <t>Sebastián Higuita Valencia</t>
        </is>
      </c>
      <c r="C823" t="inlineStr">
        <is>
          <t>PRY-005</t>
        </is>
      </c>
      <c r="D823" t="inlineStr">
        <is>
          <t>Cuota inicial</t>
        </is>
      </c>
      <c r="E823" t="n">
        <v>129000000</v>
      </c>
      <c r="F823" t="n">
        <v>23222222</v>
      </c>
      <c r="G823">
        <f>E823-F823</f>
        <v/>
      </c>
      <c r="H823">
        <f>IF(E823&gt;0,F823/E823,0)</f>
        <v/>
      </c>
      <c r="I823" s="28" t="n">
        <v>46231</v>
      </c>
      <c r="J823" t="inlineStr">
        <is>
          <t>Al día</t>
        </is>
      </c>
      <c r="K823" t="inlineStr">
        <is>
          <t>Luis Bedoya</t>
        </is>
      </c>
    </row>
    <row r="824" ht="15.75" customHeight="1" s="25">
      <c r="A824" t="inlineStr">
        <is>
          <t>PAG-0822</t>
        </is>
      </c>
      <c r="B824" t="inlineStr">
        <is>
          <t>Cristian Espinosa Mejía</t>
        </is>
      </c>
      <c r="C824" t="inlineStr">
        <is>
          <t>PRY-005</t>
        </is>
      </c>
      <c r="D824" t="inlineStr">
        <is>
          <t>Cuota inicial</t>
        </is>
      </c>
      <c r="E824" t="n">
        <v>126000000</v>
      </c>
      <c r="F824" t="n">
        <v>10000000</v>
      </c>
      <c r="G824">
        <f>E824-F824</f>
        <v/>
      </c>
      <c r="H824">
        <f>IF(E824&gt;0,F824/E824,0)</f>
        <v/>
      </c>
      <c r="I824" s="28" t="n">
        <v>46203</v>
      </c>
      <c r="J824" t="inlineStr">
        <is>
          <t>En mora</t>
        </is>
      </c>
      <c r="K824" t="inlineStr">
        <is>
          <t>Paula Arenas</t>
        </is>
      </c>
    </row>
    <row r="825" ht="15.75" customHeight="1" s="25">
      <c r="A825" t="inlineStr">
        <is>
          <t>PAG-0823</t>
        </is>
      </c>
      <c r="B825" t="inlineStr">
        <is>
          <t>David Londoño Bedoya</t>
        </is>
      </c>
      <c r="C825" t="inlineStr">
        <is>
          <t>PRY-003</t>
        </is>
      </c>
      <c r="D825" t="inlineStr">
        <is>
          <t>Cuota inicial</t>
        </is>
      </c>
      <c r="E825" t="n">
        <v>133000000</v>
      </c>
      <c r="F825" t="n">
        <v>30500000</v>
      </c>
      <c r="G825">
        <f>E825-F825</f>
        <v/>
      </c>
      <c r="H825">
        <f>IF(E825&gt;0,F825/E825,0)</f>
        <v/>
      </c>
      <c r="I825" s="28" t="n">
        <v>46234</v>
      </c>
      <c r="J825" t="inlineStr">
        <is>
          <t>Al día</t>
        </is>
      </c>
      <c r="K825" t="inlineStr">
        <is>
          <t>Sofía Prada</t>
        </is>
      </c>
    </row>
    <row r="826" ht="15.75" customHeight="1" s="25">
      <c r="A826" t="inlineStr">
        <is>
          <t>PAG-0824</t>
        </is>
      </c>
      <c r="B826" t="inlineStr">
        <is>
          <t>Santiago Osorio Muñoz</t>
        </is>
      </c>
      <c r="C826" t="inlineStr">
        <is>
          <t>PRY-007</t>
        </is>
      </c>
      <c r="D826" t="inlineStr">
        <is>
          <t>Cuota inicial</t>
        </is>
      </c>
      <c r="E826" t="n">
        <v>177000000</v>
      </c>
      <c r="F826" t="n">
        <v>10000000</v>
      </c>
      <c r="G826">
        <f>E826-F826</f>
        <v/>
      </c>
      <c r="H826">
        <f>IF(E826&gt;0,F826/E826,0)</f>
        <v/>
      </c>
      <c r="I826" s="28" t="n">
        <v>46204</v>
      </c>
      <c r="J826" t="inlineStr">
        <is>
          <t>Al día</t>
        </is>
      </c>
      <c r="K826" t="inlineStr">
        <is>
          <t>Paula Arenas</t>
        </is>
      </c>
    </row>
    <row r="827" ht="15.75" customHeight="1" s="25">
      <c r="A827" t="inlineStr">
        <is>
          <t>PAG-0825</t>
        </is>
      </c>
      <c r="B827" t="inlineStr">
        <is>
          <t>David Higuita Mejía</t>
        </is>
      </c>
      <c r="C827" t="inlineStr">
        <is>
          <t>PRY-003</t>
        </is>
      </c>
      <c r="D827" t="inlineStr">
        <is>
          <t>Cuota inicial</t>
        </is>
      </c>
      <c r="E827" t="n">
        <v>114000000</v>
      </c>
      <c r="F827" t="n">
        <v>10000000</v>
      </c>
      <c r="G827">
        <f>E827-F827</f>
        <v/>
      </c>
      <c r="H827">
        <f>IF(E827&gt;0,F827/E827,0)</f>
        <v/>
      </c>
      <c r="I827" s="28" t="n">
        <v>46204</v>
      </c>
      <c r="J827" t="inlineStr">
        <is>
          <t>Al día</t>
        </is>
      </c>
      <c r="K827" t="inlineStr">
        <is>
          <t>Sofía Prada</t>
        </is>
      </c>
    </row>
    <row r="828" ht="15.75" customHeight="1" s="25">
      <c r="A828" t="inlineStr">
        <is>
          <t>PAG-0826</t>
        </is>
      </c>
      <c r="B828" t="inlineStr">
        <is>
          <t>Mauricio Marín Muñoz</t>
        </is>
      </c>
      <c r="C828" t="inlineStr">
        <is>
          <t>PRY-003</t>
        </is>
      </c>
      <c r="D828" t="inlineStr">
        <is>
          <t>Cuota inicial</t>
        </is>
      </c>
      <c r="E828" t="n">
        <v>123000000</v>
      </c>
      <c r="F828" t="n">
        <v>10000000</v>
      </c>
      <c r="G828">
        <f>E828-F828</f>
        <v/>
      </c>
      <c r="H828">
        <f>IF(E828&gt;0,F828/E828,0)</f>
        <v/>
      </c>
      <c r="I828" s="28" t="n">
        <v>46205</v>
      </c>
      <c r="J828" t="inlineStr">
        <is>
          <t>Al día</t>
        </is>
      </c>
      <c r="K828" t="inlineStr">
        <is>
          <t>Andrés Torres</t>
        </is>
      </c>
    </row>
    <row r="829" ht="15.75" customHeight="1" s="25">
      <c r="A829" t="inlineStr">
        <is>
          <t>PAG-0827</t>
        </is>
      </c>
      <c r="B829" t="inlineStr">
        <is>
          <t>Sara Muñoz Gaviria</t>
        </is>
      </c>
      <c r="C829" t="inlineStr">
        <is>
          <t>PRY-001</t>
        </is>
      </c>
      <c r="D829" t="inlineStr">
        <is>
          <t>Cuota inicial</t>
        </is>
      </c>
      <c r="E829" t="n">
        <v>204000000</v>
      </c>
      <c r="F829" t="n">
        <v>10000000</v>
      </c>
      <c r="G829">
        <f>E829-F829</f>
        <v/>
      </c>
      <c r="H829">
        <f>IF(E829&gt;0,F829/E829,0)</f>
        <v/>
      </c>
      <c r="I829" s="28" t="n">
        <v>46206</v>
      </c>
      <c r="J829" t="inlineStr">
        <is>
          <t>Al día</t>
        </is>
      </c>
      <c r="K829" t="inlineStr">
        <is>
          <t>Santiago Muñoz</t>
        </is>
      </c>
    </row>
    <row r="830" ht="15.75" customHeight="1" s="25">
      <c r="A830" t="inlineStr">
        <is>
          <t>PAG-0828</t>
        </is>
      </c>
      <c r="B830" t="inlineStr">
        <is>
          <t>Sara Giraldo Montoya</t>
        </is>
      </c>
      <c r="C830" t="inlineStr">
        <is>
          <t>PRY-003</t>
        </is>
      </c>
      <c r="D830" t="inlineStr">
        <is>
          <t>Cuota inicial</t>
        </is>
      </c>
      <c r="E830" t="n">
        <v>97000000</v>
      </c>
      <c r="F830" t="n">
        <v>10000000</v>
      </c>
      <c r="G830">
        <f>E830-F830</f>
        <v/>
      </c>
      <c r="H830">
        <f>IF(E830&gt;0,F830/E830,0)</f>
        <v/>
      </c>
      <c r="I830" s="28" t="n">
        <v>46210</v>
      </c>
      <c r="J830" t="inlineStr">
        <is>
          <t>Al día</t>
        </is>
      </c>
      <c r="K830" t="inlineStr">
        <is>
          <t>Miguel Salazar</t>
        </is>
      </c>
    </row>
    <row r="831" ht="15.75" customHeight="1" s="25">
      <c r="A831" t="inlineStr">
        <is>
          <t>PAG-0829</t>
        </is>
      </c>
      <c r="B831" t="inlineStr">
        <is>
          <t>Daniela Zapata Pérez</t>
        </is>
      </c>
      <c r="C831" t="inlineStr">
        <is>
          <t>PRY-006</t>
        </is>
      </c>
      <c r="D831" t="inlineStr">
        <is>
          <t>Cuota inicial</t>
        </is>
      </c>
      <c r="E831" t="n">
        <v>262000000</v>
      </c>
      <c r="F831" t="n">
        <v>10000000</v>
      </c>
      <c r="G831">
        <f>E831-F831</f>
        <v/>
      </c>
      <c r="H831">
        <f>IF(E831&gt;0,F831/E831,0)</f>
        <v/>
      </c>
      <c r="I831" s="28" t="n">
        <v>46211</v>
      </c>
      <c r="J831" t="inlineStr">
        <is>
          <t>Al día</t>
        </is>
      </c>
      <c r="K831" t="inlineStr">
        <is>
          <t>Ana Quintero</t>
        </is>
      </c>
    </row>
    <row r="832" ht="15.75" customHeight="1" s="25">
      <c r="A832" t="inlineStr">
        <is>
          <t>PAG-0830</t>
        </is>
      </c>
      <c r="B832" t="inlineStr">
        <is>
          <t>Simón Franco Agudelo</t>
        </is>
      </c>
      <c r="C832" t="inlineStr">
        <is>
          <t>PRY-005</t>
        </is>
      </c>
      <c r="D832" t="inlineStr">
        <is>
          <t>Cuota inicial</t>
        </is>
      </c>
      <c r="E832" t="n">
        <v>111000000</v>
      </c>
      <c r="F832" t="n">
        <v>10000000</v>
      </c>
      <c r="G832">
        <f>E832-F832</f>
        <v/>
      </c>
      <c r="H832">
        <f>IF(E832&gt;0,F832/E832,0)</f>
        <v/>
      </c>
      <c r="I832" s="28" t="n">
        <v>46213</v>
      </c>
      <c r="J832" t="inlineStr">
        <is>
          <t>Al día</t>
        </is>
      </c>
      <c r="K832" t="inlineStr">
        <is>
          <t>Paula Arenas</t>
        </is>
      </c>
    </row>
    <row r="833" ht="15.75" customHeight="1" s="25">
      <c r="A833" t="inlineStr">
        <is>
          <t>PAG-0831</t>
        </is>
      </c>
      <c r="B833" t="inlineStr">
        <is>
          <t>Katherine Salazar Osorio</t>
        </is>
      </c>
      <c r="C833" t="inlineStr">
        <is>
          <t>PRY-007</t>
        </is>
      </c>
      <c r="D833" t="inlineStr">
        <is>
          <t>Cuota inicial</t>
        </is>
      </c>
      <c r="E833" t="n">
        <v>244000000</v>
      </c>
      <c r="F833" t="n">
        <v>10000000</v>
      </c>
      <c r="G833">
        <f>E833-F833</f>
        <v/>
      </c>
      <c r="H833">
        <f>IF(E833&gt;0,F833/E833,0)</f>
        <v/>
      </c>
      <c r="I833" s="28" t="n">
        <v>46213</v>
      </c>
      <c r="J833" t="inlineStr">
        <is>
          <t>Al día</t>
        </is>
      </c>
      <c r="K833" t="inlineStr">
        <is>
          <t>Paula Arenas</t>
        </is>
      </c>
    </row>
    <row r="834" ht="15.75" customHeight="1" s="25">
      <c r="A834" t="inlineStr">
        <is>
          <t>PAG-0832</t>
        </is>
      </c>
      <c r="B834" t="inlineStr">
        <is>
          <t>Isabel Sánchez Montes</t>
        </is>
      </c>
      <c r="C834" t="inlineStr">
        <is>
          <t>PRY-003</t>
        </is>
      </c>
      <c r="D834" t="inlineStr">
        <is>
          <t>Cuota inicial</t>
        </is>
      </c>
      <c r="E834" t="n">
        <v>109000000</v>
      </c>
      <c r="F834" t="n">
        <v>10000000</v>
      </c>
      <c r="G834">
        <f>E834-F834</f>
        <v/>
      </c>
      <c r="H834">
        <f>IF(E834&gt;0,F834/E834,0)</f>
        <v/>
      </c>
      <c r="I834" s="28" t="n">
        <v>46215</v>
      </c>
      <c r="J834" t="inlineStr">
        <is>
          <t>Al día</t>
        </is>
      </c>
      <c r="K834" t="inlineStr">
        <is>
          <t>Paula Arenas</t>
        </is>
      </c>
    </row>
    <row r="835" ht="15.75" customHeight="1" s="25">
      <c r="A835" t="inlineStr">
        <is>
          <t>PAG-0833</t>
        </is>
      </c>
      <c r="B835" t="inlineStr">
        <is>
          <t>Hernán Cano Escobar</t>
        </is>
      </c>
      <c r="C835" t="inlineStr">
        <is>
          <t>PRY-005</t>
        </is>
      </c>
      <c r="D835" t="inlineStr">
        <is>
          <t>Cuota inicial</t>
        </is>
      </c>
      <c r="E835" t="n">
        <v>123000000</v>
      </c>
      <c r="F835" t="n">
        <v>10000000</v>
      </c>
      <c r="G835">
        <f>E835-F835</f>
        <v/>
      </c>
      <c r="H835">
        <f>IF(E835&gt;0,F835/E835,0)</f>
        <v/>
      </c>
      <c r="I835" s="28" t="n">
        <v>46216</v>
      </c>
      <c r="J835" t="inlineStr">
        <is>
          <t>Al día</t>
        </is>
      </c>
      <c r="K835" t="inlineStr">
        <is>
          <t>Andrés Torres</t>
        </is>
      </c>
    </row>
    <row r="836" ht="15.75" customHeight="1" s="25">
      <c r="A836" t="inlineStr">
        <is>
          <t>PAG-0834</t>
        </is>
      </c>
      <c r="B836" t="inlineStr">
        <is>
          <t>Ximena Cardona Mejía</t>
        </is>
      </c>
      <c r="C836" t="inlineStr">
        <is>
          <t>PRY-001</t>
        </is>
      </c>
      <c r="D836" t="inlineStr">
        <is>
          <t>Cuota inicial</t>
        </is>
      </c>
      <c r="E836" t="n">
        <v>261000000</v>
      </c>
      <c r="F836" t="n">
        <v>10000000</v>
      </c>
      <c r="G836">
        <f>E836-F836</f>
        <v/>
      </c>
      <c r="H836">
        <f>IF(E836&gt;0,F836/E836,0)</f>
        <v/>
      </c>
      <c r="I836" s="28" t="n">
        <v>46219</v>
      </c>
      <c r="J836" t="inlineStr">
        <is>
          <t>Al día</t>
        </is>
      </c>
      <c r="K836" t="inlineStr">
        <is>
          <t>Ana Quintero</t>
        </is>
      </c>
    </row>
    <row r="837" ht="15.75" customHeight="1" s="25">
      <c r="A837" t="inlineStr">
        <is>
          <t>PAG-0835</t>
        </is>
      </c>
      <c r="B837" t="inlineStr">
        <is>
          <t>Katherine Echeverri Higuita</t>
        </is>
      </c>
      <c r="C837" t="inlineStr">
        <is>
          <t>PRY-008</t>
        </is>
      </c>
      <c r="D837" t="inlineStr">
        <is>
          <t>Cuota inicial</t>
        </is>
      </c>
      <c r="E837" t="n">
        <v>38000000</v>
      </c>
      <c r="F837" t="n">
        <v>3000000</v>
      </c>
      <c r="G837">
        <f>E837-F837</f>
        <v/>
      </c>
      <c r="H837">
        <f>IF(E837&gt;0,F837/E837,0)</f>
        <v/>
      </c>
      <c r="I837" s="28" t="n">
        <v>46220</v>
      </c>
      <c r="J837" t="inlineStr">
        <is>
          <t>Al día</t>
        </is>
      </c>
      <c r="K837" t="inlineStr">
        <is>
          <t>Miguel Salazar</t>
        </is>
      </c>
    </row>
    <row r="838" ht="15.75" customHeight="1" s="25">
      <c r="A838" t="inlineStr">
        <is>
          <t>PAG-0836</t>
        </is>
      </c>
      <c r="B838" t="inlineStr">
        <is>
          <t>Katherine Echeverri Higuita</t>
        </is>
      </c>
      <c r="C838" t="inlineStr">
        <is>
          <t>PRY-008</t>
        </is>
      </c>
      <c r="D838" t="inlineStr">
        <is>
          <t>Escrituración</t>
        </is>
      </c>
      <c r="E838" t="n">
        <v>154000000</v>
      </c>
      <c r="F838" t="n">
        <v>154000000</v>
      </c>
      <c r="G838">
        <f>E838-F838</f>
        <v/>
      </c>
      <c r="H838">
        <f>IF(E838&gt;0,F838/E838,0)</f>
        <v/>
      </c>
      <c r="I838" s="28" t="n">
        <v>46155</v>
      </c>
      <c r="J838" t="inlineStr">
        <is>
          <t>Pagado</t>
        </is>
      </c>
      <c r="K838" t="inlineStr">
        <is>
          <t>Miguel Salazar</t>
        </is>
      </c>
    </row>
    <row r="839" ht="15.75" customHeight="1" s="25">
      <c r="A839" t="inlineStr">
        <is>
          <t>PAG-0837</t>
        </is>
      </c>
      <c r="B839" t="inlineStr">
        <is>
          <t>Diego Sánchez Montoya</t>
        </is>
      </c>
      <c r="C839" t="inlineStr">
        <is>
          <t>PRY-008</t>
        </is>
      </c>
      <c r="D839" t="inlineStr">
        <is>
          <t>Cuota inicial</t>
        </is>
      </c>
      <c r="E839" t="n">
        <v>33000000</v>
      </c>
      <c r="F839" t="n">
        <v>3000000</v>
      </c>
      <c r="G839">
        <f>E839-F839</f>
        <v/>
      </c>
      <c r="H839">
        <f>IF(E839&gt;0,F839/E839,0)</f>
        <v/>
      </c>
      <c r="I839" s="28" t="n">
        <v>46221</v>
      </c>
      <c r="J839" t="inlineStr">
        <is>
          <t>Al día</t>
        </is>
      </c>
      <c r="K839" t="inlineStr">
        <is>
          <t>Mateo Herrera</t>
        </is>
      </c>
    </row>
    <row r="840" ht="15.75" customHeight="1" s="25">
      <c r="A840" t="inlineStr">
        <is>
          <t>PAG-0838</t>
        </is>
      </c>
      <c r="B840" t="inlineStr">
        <is>
          <t>Diego Sánchez Montoya</t>
        </is>
      </c>
      <c r="C840" t="inlineStr">
        <is>
          <t>PRY-008</t>
        </is>
      </c>
      <c r="D840" t="inlineStr">
        <is>
          <t>Escrituración</t>
        </is>
      </c>
      <c r="E840" t="n">
        <v>133000000</v>
      </c>
      <c r="F840" t="n">
        <v>0</v>
      </c>
      <c r="G840">
        <f>E840-F840</f>
        <v/>
      </c>
      <c r="H840">
        <f>IF(E840&gt;0,F840/E840,0)</f>
        <v/>
      </c>
      <c r="I840" s="28" t="n">
        <v>46221</v>
      </c>
      <c r="J840" t="inlineStr">
        <is>
          <t>Pendiente</t>
        </is>
      </c>
      <c r="K840" t="inlineStr">
        <is>
          <t>Mateo Herrera</t>
        </is>
      </c>
    </row>
    <row r="841" ht="15.75" customHeight="1" s="25">
      <c r="A841" t="inlineStr">
        <is>
          <t>PAG-0839</t>
        </is>
      </c>
      <c r="B841" t="inlineStr">
        <is>
          <t>Andrés Gómez Sánchez</t>
        </is>
      </c>
      <c r="C841" t="inlineStr">
        <is>
          <t>PRY-005</t>
        </is>
      </c>
      <c r="D841" t="inlineStr">
        <is>
          <t>Cuota inicial</t>
        </is>
      </c>
      <c r="E841" t="n">
        <v>148000000</v>
      </c>
      <c r="F841" t="n">
        <v>10000000</v>
      </c>
      <c r="G841">
        <f>E841-F841</f>
        <v/>
      </c>
      <c r="H841">
        <f>IF(E841&gt;0,F841/E841,0)</f>
        <v/>
      </c>
      <c r="I841" s="28" t="n">
        <v>46223</v>
      </c>
      <c r="J841" t="inlineStr">
        <is>
          <t>Al día</t>
        </is>
      </c>
      <c r="K841" t="inlineStr">
        <is>
          <t>Miguel Salazar</t>
        </is>
      </c>
    </row>
    <row r="842" ht="15.75" customHeight="1" s="25">
      <c r="A842" t="inlineStr">
        <is>
          <t>PAG-0840</t>
        </is>
      </c>
      <c r="B842" t="inlineStr">
        <is>
          <t>Alejandra Vargas Muñoz</t>
        </is>
      </c>
      <c r="C842" t="inlineStr">
        <is>
          <t>PRY-001</t>
        </is>
      </c>
      <c r="D842" t="inlineStr">
        <is>
          <t>Cuota inicial</t>
        </is>
      </c>
      <c r="E842" t="n">
        <v>269000000</v>
      </c>
      <c r="F842" t="n">
        <v>10000000</v>
      </c>
      <c r="G842">
        <f>E842-F842</f>
        <v/>
      </c>
      <c r="H842">
        <f>IF(E842&gt;0,F842/E842,0)</f>
        <v/>
      </c>
      <c r="I842" s="28" t="n">
        <v>46224</v>
      </c>
      <c r="J842" t="inlineStr">
        <is>
          <t>Al día</t>
        </is>
      </c>
      <c r="K842" t="inlineStr">
        <is>
          <t>Luis Bedoya</t>
        </is>
      </c>
    </row>
    <row r="843" ht="15.75" customHeight="1" s="25">
      <c r="A843" t="inlineStr">
        <is>
          <t>PAG-0841</t>
        </is>
      </c>
      <c r="B843" t="inlineStr">
        <is>
          <t>Patricia Peláez Valencia</t>
        </is>
      </c>
      <c r="C843" t="inlineStr">
        <is>
          <t>PRY-008</t>
        </is>
      </c>
      <c r="D843" t="inlineStr">
        <is>
          <t>Cuota inicial</t>
        </is>
      </c>
      <c r="E843" t="n">
        <v>36000000</v>
      </c>
      <c r="F843" t="n">
        <v>3000000</v>
      </c>
      <c r="G843">
        <f>E843-F843</f>
        <v/>
      </c>
      <c r="H843">
        <f>IF(E843&gt;0,F843/E843,0)</f>
        <v/>
      </c>
      <c r="I843" s="28" t="n">
        <v>46224</v>
      </c>
      <c r="J843" t="inlineStr">
        <is>
          <t>Al día</t>
        </is>
      </c>
      <c r="K843" t="inlineStr">
        <is>
          <t>Ana Quintero</t>
        </is>
      </c>
    </row>
    <row r="844" ht="15.75" customHeight="1" s="25">
      <c r="A844" t="inlineStr">
        <is>
          <t>PAG-0842</t>
        </is>
      </c>
      <c r="B844" t="inlineStr">
        <is>
          <t>Patricia Peláez Valencia</t>
        </is>
      </c>
      <c r="C844" t="inlineStr">
        <is>
          <t>PRY-008</t>
        </is>
      </c>
      <c r="D844" t="inlineStr">
        <is>
          <t>Escrituración</t>
        </is>
      </c>
      <c r="E844" t="n">
        <v>143000000</v>
      </c>
      <c r="F844" t="n">
        <v>143000000</v>
      </c>
      <c r="G844">
        <f>E844-F844</f>
        <v/>
      </c>
      <c r="H844">
        <f>IF(E844&gt;0,F844/E844,0)</f>
        <v/>
      </c>
      <c r="I844" s="28" t="n">
        <v>46155</v>
      </c>
      <c r="J844" t="inlineStr">
        <is>
          <t>Pagado</t>
        </is>
      </c>
      <c r="K844" t="inlineStr">
        <is>
          <t>Ana Quintero</t>
        </is>
      </c>
    </row>
    <row r="845" ht="15.75" customHeight="1" s="25">
      <c r="A845" t="inlineStr">
        <is>
          <t>PAG-0843</t>
        </is>
      </c>
      <c r="B845" t="inlineStr">
        <is>
          <t>Emilio Salazar Londoño</t>
        </is>
      </c>
      <c r="C845" t="inlineStr">
        <is>
          <t>PRY-005</t>
        </is>
      </c>
      <c r="D845" t="inlineStr">
        <is>
          <t>Cuota inicial</t>
        </is>
      </c>
      <c r="E845" t="n">
        <v>121000000</v>
      </c>
      <c r="F845" t="n">
        <v>10000000</v>
      </c>
      <c r="G845">
        <f>E845-F845</f>
        <v/>
      </c>
      <c r="H845">
        <f>IF(E845&gt;0,F845/E845,0)</f>
        <v/>
      </c>
      <c r="I845" s="28" t="n">
        <v>46225</v>
      </c>
      <c r="J845" t="inlineStr">
        <is>
          <t>Al día</t>
        </is>
      </c>
      <c r="K845" t="inlineStr">
        <is>
          <t>Miguel Salazar</t>
        </is>
      </c>
    </row>
    <row r="846" ht="15.75" customHeight="1" s="25">
      <c r="A846" t="inlineStr">
        <is>
          <t>PAG-0844</t>
        </is>
      </c>
      <c r="B846" t="inlineStr">
        <is>
          <t>Mónica Gaviria Hernández</t>
        </is>
      </c>
      <c r="C846" t="inlineStr">
        <is>
          <t>PRY-008</t>
        </is>
      </c>
      <c r="D846" t="inlineStr">
        <is>
          <t>Cuota inicial</t>
        </is>
      </c>
      <c r="E846" t="n">
        <v>31000000</v>
      </c>
      <c r="F846" t="n">
        <v>3000000</v>
      </c>
      <c r="G846">
        <f>E846-F846</f>
        <v/>
      </c>
      <c r="H846">
        <f>IF(E846&gt;0,F846/E846,0)</f>
        <v/>
      </c>
      <c r="I846" s="28" t="n">
        <v>46226</v>
      </c>
      <c r="J846" t="inlineStr">
        <is>
          <t>Al día</t>
        </is>
      </c>
      <c r="K846" t="inlineStr">
        <is>
          <t>Luis Bedoya</t>
        </is>
      </c>
    </row>
    <row r="847" ht="15.75" customHeight="1" s="25">
      <c r="A847" t="inlineStr">
        <is>
          <t>PAG-0845</t>
        </is>
      </c>
      <c r="B847" t="inlineStr">
        <is>
          <t>Mónica Gaviria Hernández</t>
        </is>
      </c>
      <c r="C847" t="inlineStr">
        <is>
          <t>PRY-008</t>
        </is>
      </c>
      <c r="D847" t="inlineStr">
        <is>
          <t>Escrituración</t>
        </is>
      </c>
      <c r="E847" t="n">
        <v>123000000</v>
      </c>
      <c r="F847" t="n">
        <v>123000000</v>
      </c>
      <c r="G847">
        <f>E847-F847</f>
        <v/>
      </c>
      <c r="H847">
        <f>IF(E847&gt;0,F847/E847,0)</f>
        <v/>
      </c>
      <c r="I847" s="28" t="n">
        <v>46155</v>
      </c>
      <c r="J847" t="inlineStr">
        <is>
          <t>Pagado</t>
        </is>
      </c>
      <c r="K847" t="inlineStr">
        <is>
          <t>Luis Bedoya</t>
        </is>
      </c>
    </row>
    <row r="848" ht="15.75" customHeight="1" s="25">
      <c r="A848" t="inlineStr">
        <is>
          <t>PAG-0846</t>
        </is>
      </c>
      <c r="B848" t="inlineStr">
        <is>
          <t>Santiago Toro Mejía</t>
        </is>
      </c>
      <c r="C848" t="inlineStr">
        <is>
          <t>PRY-002</t>
        </is>
      </c>
      <c r="D848" t="inlineStr">
        <is>
          <t>Cuota inicial</t>
        </is>
      </c>
      <c r="E848" t="n">
        <v>237000000</v>
      </c>
      <c r="F848" t="n">
        <v>10000000</v>
      </c>
      <c r="G848">
        <f>E848-F848</f>
        <v/>
      </c>
      <c r="H848">
        <f>IF(E848&gt;0,F848/E848,0)</f>
        <v/>
      </c>
      <c r="I848" s="28" t="n">
        <v>46228</v>
      </c>
      <c r="J848" t="inlineStr">
        <is>
          <t>Al día</t>
        </is>
      </c>
      <c r="K848" t="inlineStr">
        <is>
          <t>Andrés Torres</t>
        </is>
      </c>
    </row>
    <row r="849" ht="15.75" customHeight="1" s="25">
      <c r="A849" t="inlineStr">
        <is>
          <t>PAG-0847</t>
        </is>
      </c>
      <c r="B849" t="inlineStr">
        <is>
          <t>Alejandra Giraldo Cifuentes</t>
        </is>
      </c>
      <c r="C849" t="inlineStr">
        <is>
          <t>PRY-003</t>
        </is>
      </c>
      <c r="D849" t="inlineStr">
        <is>
          <t>Cuota inicial</t>
        </is>
      </c>
      <c r="E849" t="n">
        <v>133000000</v>
      </c>
      <c r="F849" t="n">
        <v>10000000</v>
      </c>
      <c r="G849">
        <f>E849-F849</f>
        <v/>
      </c>
      <c r="H849">
        <f>IF(E849&gt;0,F849/E849,0)</f>
        <v/>
      </c>
      <c r="I849" s="28" t="n">
        <v>46228</v>
      </c>
      <c r="J849" t="inlineStr">
        <is>
          <t>Al día</t>
        </is>
      </c>
      <c r="K849" t="inlineStr">
        <is>
          <t>Santiago Muñoz</t>
        </is>
      </c>
    </row>
    <row r="850" ht="15.75" customHeight="1" s="25">
      <c r="A850" t="inlineStr">
        <is>
          <t>PAG-0848</t>
        </is>
      </c>
      <c r="B850" t="inlineStr">
        <is>
          <t>Paula Muñoz Cardona</t>
        </is>
      </c>
      <c r="C850" t="inlineStr">
        <is>
          <t>PRY-003</t>
        </is>
      </c>
      <c r="D850" t="inlineStr">
        <is>
          <t>Cuota inicial</t>
        </is>
      </c>
      <c r="E850" t="n">
        <v>109000000</v>
      </c>
      <c r="F850" t="n">
        <v>10000000</v>
      </c>
      <c r="G850">
        <f>E850-F850</f>
        <v/>
      </c>
      <c r="H850">
        <f>IF(E850&gt;0,F850/E850,0)</f>
        <v/>
      </c>
      <c r="I850" s="28" t="n">
        <v>46228</v>
      </c>
      <c r="J850" t="inlineStr">
        <is>
          <t>Al día</t>
        </is>
      </c>
      <c r="K850" t="inlineStr">
        <is>
          <t>Juliana Vélez</t>
        </is>
      </c>
    </row>
    <row r="851" ht="15.75" customHeight="1" s="25">
      <c r="A851" t="inlineStr">
        <is>
          <t>PAG-0849</t>
        </is>
      </c>
      <c r="B851" t="inlineStr">
        <is>
          <t>Cristian Palacio Salcedo</t>
        </is>
      </c>
      <c r="C851" t="inlineStr">
        <is>
          <t>PRY-001</t>
        </is>
      </c>
      <c r="D851" t="inlineStr">
        <is>
          <t>Cuota inicial</t>
        </is>
      </c>
      <c r="E851" t="n">
        <v>261000000</v>
      </c>
      <c r="F851" t="n">
        <v>10000000</v>
      </c>
      <c r="G851">
        <f>E851-F851</f>
        <v/>
      </c>
      <c r="H851">
        <f>IF(E851&gt;0,F851/E851,0)</f>
        <v/>
      </c>
      <c r="I851" s="28" t="n">
        <v>46229</v>
      </c>
      <c r="J851" t="inlineStr">
        <is>
          <t>Al día</t>
        </is>
      </c>
      <c r="K851" t="inlineStr">
        <is>
          <t>Andrés Torres</t>
        </is>
      </c>
    </row>
    <row r="852" ht="15.75" customHeight="1" s="25">
      <c r="A852" t="inlineStr">
        <is>
          <t>PAG-0850</t>
        </is>
      </c>
      <c r="B852" t="inlineStr">
        <is>
          <t>Cristian Ríos Rojas</t>
        </is>
      </c>
      <c r="C852" t="inlineStr">
        <is>
          <t>PRY-007</t>
        </is>
      </c>
      <c r="D852" t="inlineStr">
        <is>
          <t>Cuota inicial</t>
        </is>
      </c>
      <c r="E852" t="n">
        <v>180000000</v>
      </c>
      <c r="F852" t="n">
        <v>10000000</v>
      </c>
      <c r="G852">
        <f>E852-F852</f>
        <v/>
      </c>
      <c r="H852">
        <f>IF(E852&gt;0,F852/E852,0)</f>
        <v/>
      </c>
      <c r="I852" s="28" t="n">
        <v>46231</v>
      </c>
      <c r="J852" t="inlineStr">
        <is>
          <t>Al día</t>
        </is>
      </c>
      <c r="K852" t="inlineStr">
        <is>
          <t>Santiago Muñoz</t>
        </is>
      </c>
    </row>
    <row r="853" ht="15.75" customHeight="1" s="25">
      <c r="A853" t="inlineStr">
        <is>
          <t>PAG-0851</t>
        </is>
      </c>
      <c r="B853" t="inlineStr">
        <is>
          <t>Julián Zapata Salcedo</t>
        </is>
      </c>
      <c r="C853" t="inlineStr">
        <is>
          <t>PRY-003</t>
        </is>
      </c>
      <c r="D853" t="inlineStr">
        <is>
          <t>Cuota inicial</t>
        </is>
      </c>
      <c r="E853" t="n">
        <v>109000000</v>
      </c>
      <c r="F853" t="n">
        <v>10000000</v>
      </c>
      <c r="G853">
        <f>E853-F853</f>
        <v/>
      </c>
      <c r="H853">
        <f>IF(E853&gt;0,F853/E853,0)</f>
        <v/>
      </c>
      <c r="I853" s="28" t="n">
        <v>46232</v>
      </c>
      <c r="J853" t="inlineStr">
        <is>
          <t>Al día</t>
        </is>
      </c>
      <c r="K853" t="inlineStr">
        <is>
          <t>Santiago Muñoz</t>
        </is>
      </c>
    </row>
    <row r="854" ht="15.75" customHeight="1" s="25">
      <c r="A854" t="inlineStr">
        <is>
          <t>PAG-0852</t>
        </is>
      </c>
      <c r="B854" t="inlineStr">
        <is>
          <t>Alejandra Pérez Cifuentes</t>
        </is>
      </c>
      <c r="C854" t="inlineStr">
        <is>
          <t>PRY-002</t>
        </is>
      </c>
      <c r="D854" t="inlineStr">
        <is>
          <t>Cuota inicial</t>
        </is>
      </c>
      <c r="E854" t="n">
        <v>230000000</v>
      </c>
      <c r="F854" t="n">
        <v>10000000</v>
      </c>
      <c r="G854">
        <f>E854-F854</f>
        <v/>
      </c>
      <c r="H854">
        <f>IF(E854&gt;0,F854/E854,0)</f>
        <v/>
      </c>
      <c r="I854" s="28" t="n">
        <v>46233</v>
      </c>
      <c r="J854" t="inlineStr">
        <is>
          <t>Al día</t>
        </is>
      </c>
      <c r="K854" t="inlineStr">
        <is>
          <t>Santiago Muñoz</t>
        </is>
      </c>
    </row>
    <row r="855" ht="15.75" customHeight="1" s="25">
      <c r="A855" t="inlineStr">
        <is>
          <t>PAG-0853</t>
        </is>
      </c>
      <c r="B855" t="inlineStr">
        <is>
          <t>Alejandro Salazar López</t>
        </is>
      </c>
      <c r="C855" t="inlineStr">
        <is>
          <t>PRY-006</t>
        </is>
      </c>
      <c r="D855" t="inlineStr">
        <is>
          <t>Cuota inicial</t>
        </is>
      </c>
      <c r="E855" t="n">
        <v>155000000</v>
      </c>
      <c r="F855" t="n">
        <v>10000000</v>
      </c>
      <c r="G855">
        <f>E855-F855</f>
        <v/>
      </c>
      <c r="H855">
        <f>IF(E855&gt;0,F855/E855,0)</f>
        <v/>
      </c>
      <c r="I855" s="28" t="n">
        <v>46233</v>
      </c>
      <c r="J855" t="inlineStr">
        <is>
          <t>Al día</t>
        </is>
      </c>
      <c r="K855" t="inlineStr">
        <is>
          <t>Juliana Vélez</t>
        </is>
      </c>
    </row>
    <row r="856" ht="15.75" customHeight="1" s="25"/>
    <row r="857" ht="15.75" customHeight="1" s="25"/>
    <row r="858" ht="15.75" customHeight="1" s="25"/>
    <row r="859" ht="15.75" customHeight="1" s="25"/>
    <row r="860" ht="15.75" customHeight="1" s="25"/>
    <row r="861" ht="15.75" customHeight="1" s="25"/>
    <row r="862" ht="15.75" customHeight="1" s="25"/>
    <row r="863" ht="15.75" customHeight="1" s="25"/>
    <row r="864" ht="15.75" customHeight="1" s="25"/>
    <row r="865" ht="15.75" customHeight="1" s="25"/>
    <row r="866" ht="15.75" customHeight="1" s="25"/>
    <row r="867" ht="15.75" customHeight="1" s="25"/>
    <row r="868" ht="15.75" customHeight="1" s="25"/>
    <row r="869" ht="15.75" customHeight="1" s="25"/>
    <row r="870" ht="15.75" customHeight="1" s="25"/>
    <row r="871" ht="15.75" customHeight="1" s="25"/>
    <row r="872" ht="15.75" customHeight="1" s="25"/>
    <row r="873" ht="15.75" customHeight="1" s="25"/>
    <row r="874" ht="15.75" customHeight="1" s="25"/>
    <row r="875" ht="15.75" customHeight="1" s="25"/>
    <row r="876" ht="15.75" customHeight="1" s="25"/>
    <row r="877" ht="15.75" customHeight="1" s="25"/>
    <row r="878" ht="15.75" customHeight="1" s="25"/>
    <row r="879" ht="15.75" customHeight="1" s="25"/>
    <row r="880" ht="15.75" customHeight="1" s="25"/>
    <row r="881" ht="15.75" customHeight="1" s="25"/>
    <row r="882" ht="15.75" customHeight="1" s="25"/>
    <row r="883" ht="15.75" customHeight="1" s="25"/>
    <row r="884" ht="15.75" customHeight="1" s="25"/>
    <row r="885" ht="15.75" customHeight="1" s="25"/>
    <row r="886" ht="15.75" customHeight="1" s="25"/>
    <row r="887" ht="15.75" customHeight="1" s="25"/>
    <row r="888" ht="15.75" customHeight="1" s="25"/>
    <row r="889" ht="15.75" customHeight="1" s="25"/>
    <row r="890" ht="15.75" customHeight="1" s="25"/>
    <row r="891" ht="15.75" customHeight="1" s="25"/>
    <row r="892" ht="15.75" customHeight="1" s="25"/>
    <row r="893" ht="15.75" customHeight="1" s="25"/>
    <row r="894" ht="15.75" customHeight="1" s="25"/>
    <row r="895" ht="15.75" customHeight="1" s="25"/>
    <row r="896" ht="15.75" customHeight="1" s="25"/>
    <row r="897" ht="15.75" customHeight="1" s="25"/>
    <row r="898" ht="15.75" customHeight="1" s="25"/>
    <row r="899" ht="15.75" customHeight="1" s="25"/>
    <row r="900" ht="15.75" customHeight="1" s="25"/>
    <row r="901" ht="15.75" customHeight="1" s="25"/>
    <row r="902" ht="15.75" customHeight="1" s="25"/>
    <row r="903" ht="15.75" customHeight="1" s="25"/>
    <row r="904" ht="15.75" customHeight="1" s="25"/>
    <row r="905" ht="15.75" customHeight="1" s="25"/>
    <row r="906" ht="15.75" customHeight="1" s="25"/>
    <row r="907" ht="15.75" customHeight="1" s="25"/>
    <row r="908" ht="15.75" customHeight="1" s="25"/>
    <row r="909" ht="15.75" customHeight="1" s="25"/>
    <row r="910" ht="15.75" customHeight="1" s="25"/>
    <row r="911" ht="15.75" customHeight="1" s="25"/>
    <row r="912" ht="15.75" customHeight="1" s="25"/>
    <row r="913" ht="15.75" customHeight="1" s="25"/>
    <row r="914" ht="15.75" customHeight="1" s="25"/>
    <row r="915" ht="15.75" customHeight="1" s="25"/>
    <row r="916" ht="15.75" customHeight="1" s="25"/>
    <row r="917" ht="15.75" customHeight="1" s="25"/>
    <row r="918" ht="15.75" customHeight="1" s="25"/>
    <row r="919" ht="15.75" customHeight="1" s="25"/>
    <row r="920" ht="15.75" customHeight="1" s="25"/>
    <row r="921" ht="15.75" customHeight="1" s="25"/>
    <row r="922" ht="15.75" customHeight="1" s="25"/>
    <row r="923" ht="15.75" customHeight="1" s="25"/>
    <row r="924" ht="15.75" customHeight="1" s="25"/>
    <row r="925" ht="15.75" customHeight="1" s="25"/>
    <row r="926" ht="15.75" customHeight="1" s="25"/>
    <row r="927" ht="15.75" customHeight="1" s="25"/>
    <row r="928" ht="15.75" customHeight="1" s="25"/>
    <row r="929" ht="15.75" customHeight="1" s="25"/>
    <row r="930" ht="15.75" customHeight="1" s="25"/>
    <row r="931" ht="15.75" customHeight="1" s="25"/>
    <row r="932" ht="15.75" customHeight="1" s="25"/>
    <row r="933" ht="15.75" customHeight="1" s="25"/>
    <row r="934" ht="15.75" customHeight="1" s="25"/>
    <row r="935" ht="15.75" customHeight="1" s="25"/>
    <row r="936" ht="15.75" customHeight="1" s="25"/>
    <row r="937" ht="15.75" customHeight="1" s="25"/>
    <row r="938" ht="15.75" customHeight="1" s="25"/>
    <row r="939" ht="15.75" customHeight="1" s="25"/>
    <row r="940" ht="15.75" customHeight="1" s="25"/>
    <row r="941" ht="15.75" customHeight="1" s="25"/>
    <row r="942" ht="15.75" customHeight="1" s="25"/>
    <row r="943" ht="15.75" customHeight="1" s="25"/>
    <row r="944" ht="15.75" customHeight="1" s="25"/>
    <row r="945" ht="15.75" customHeight="1" s="25"/>
    <row r="946" ht="15.75" customHeight="1" s="25"/>
    <row r="947" ht="15.75" customHeight="1" s="25"/>
    <row r="948" ht="15.75" customHeight="1" s="25"/>
    <row r="949" ht="15.75" customHeight="1" s="25"/>
    <row r="950" ht="15.75" customHeight="1" s="25"/>
    <row r="951" ht="15.75" customHeight="1" s="25"/>
    <row r="952" ht="15.75" customHeight="1" s="25"/>
    <row r="953" ht="15.75" customHeight="1" s="25"/>
    <row r="954" ht="15.75" customHeight="1" s="25"/>
    <row r="955" ht="15.75" customHeight="1" s="25"/>
    <row r="956" ht="15.75" customHeight="1" s="25"/>
    <row r="957" ht="15.75" customHeight="1" s="25"/>
    <row r="958" ht="15.75" customHeight="1" s="25"/>
    <row r="959" ht="15.75" customHeight="1" s="25"/>
    <row r="960" ht="15.75" customHeight="1" s="25"/>
    <row r="961" ht="15.75" customHeight="1" s="25"/>
    <row r="962" ht="15.75" customHeight="1" s="25"/>
    <row r="963" ht="15.75" customHeight="1" s="25"/>
    <row r="964" ht="15.75" customHeight="1" s="25"/>
    <row r="965" ht="15.75" customHeight="1" s="25"/>
    <row r="966" ht="15.75" customHeight="1" s="25"/>
    <row r="967" ht="15.75" customHeight="1" s="25"/>
    <row r="968" ht="15.75" customHeight="1" s="25"/>
    <row r="969" ht="15.75" customHeight="1" s="25"/>
    <row r="970" ht="15.75" customHeight="1" s="25"/>
    <row r="971" ht="15.75" customHeight="1" s="25"/>
    <row r="972" ht="15.75" customHeight="1" s="25"/>
    <row r="973" ht="15.75" customHeight="1" s="25"/>
    <row r="974" ht="15.75" customHeight="1" s="25"/>
    <row r="975" ht="15.75" customHeight="1" s="25"/>
    <row r="976" ht="15.75" customHeight="1" s="25"/>
    <row r="977" ht="15.75" customHeight="1" s="25"/>
    <row r="978" ht="15.75" customHeight="1" s="25"/>
    <row r="979" ht="15.75" customHeight="1" s="25"/>
    <row r="980" ht="15.75" customHeight="1" s="25"/>
    <row r="981" ht="15.75" customHeight="1" s="25"/>
    <row r="982" ht="15.75" customHeight="1" s="25"/>
    <row r="983" ht="15.75" customHeight="1" s="25"/>
    <row r="984" ht="15.75" customHeight="1" s="25"/>
    <row r="985" ht="15.75" customHeight="1" s="25"/>
    <row r="986" ht="15.75" customHeight="1" s="25"/>
    <row r="987" ht="15.75" customHeight="1" s="25"/>
    <row r="988" ht="15.75" customHeight="1" s="25"/>
    <row r="989" ht="15.75" customHeight="1" s="25"/>
    <row r="990" ht="15.75" customHeight="1" s="25"/>
    <row r="991" ht="15.75" customHeight="1" s="25"/>
    <row r="992" ht="15.75" customHeight="1" s="25"/>
    <row r="993" ht="15.75" customHeight="1" s="25"/>
    <row r="994" ht="15.75" customHeight="1" s="25"/>
    <row r="995" ht="15.75" customHeight="1" s="25"/>
    <row r="996" ht="15.75" customHeight="1" s="25"/>
    <row r="997" ht="15.75" customHeight="1" s="25"/>
    <row r="998" ht="15.75" customHeight="1" s="25"/>
    <row r="999" ht="15.75" customHeight="1" s="25"/>
    <row r="1000" ht="15.75" customHeight="1" s="25"/>
  </sheetData>
  <mergeCells count="1">
    <mergeCell ref="A1:K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2026-08-31T02:01:21Z</dcterms:created>
  <dcterms:modified xmlns:dcterms="http://purl.org/dc/terms/" xmlns:xsi="http://www.w3.org/2001/XMLSchema-instance" xsi:type="dcterms:W3CDTF">2026-10-20T03:52:45Z</dcterms:modified>
</cp:coreProperties>
</file>